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Store\1668030 Abdur Rohim\"/>
    </mc:Choice>
  </mc:AlternateContent>
  <bookViews>
    <workbookView xWindow="0" yWindow="0" windowWidth="20490" windowHeight="7755"/>
  </bookViews>
  <sheets>
    <sheet name="Week  (4)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5" i="1" l="1"/>
  <c r="E274" i="1"/>
  <c r="V274" i="1" s="1"/>
  <c r="E273" i="1"/>
  <c r="V273" i="1" s="1"/>
  <c r="E272" i="1"/>
  <c r="V272" i="1" s="1"/>
  <c r="E271" i="1"/>
  <c r="V271" i="1" s="1"/>
  <c r="E270" i="1"/>
  <c r="V270" i="1" s="1"/>
  <c r="E269" i="1"/>
  <c r="V269" i="1" s="1"/>
  <c r="E268" i="1"/>
  <c r="V268" i="1" s="1"/>
  <c r="E267" i="1"/>
  <c r="V267" i="1" s="1"/>
  <c r="E266" i="1"/>
  <c r="V266" i="1" s="1"/>
  <c r="E265" i="1"/>
  <c r="V265" i="1" s="1"/>
  <c r="E264" i="1"/>
  <c r="V264" i="1" s="1"/>
  <c r="E263" i="1"/>
  <c r="V263" i="1" s="1"/>
  <c r="E262" i="1"/>
  <c r="V262" i="1" s="1"/>
  <c r="E261" i="1"/>
  <c r="V261" i="1" s="1"/>
  <c r="E260" i="1"/>
  <c r="V260" i="1" s="1"/>
  <c r="E259" i="1"/>
  <c r="V259" i="1" s="1"/>
  <c r="E258" i="1"/>
  <c r="V258" i="1" s="1"/>
  <c r="E257" i="1"/>
  <c r="V257" i="1" s="1"/>
  <c r="E256" i="1"/>
  <c r="V256" i="1" s="1"/>
  <c r="E255" i="1"/>
  <c r="V255" i="1" s="1"/>
  <c r="E254" i="1"/>
  <c r="V254" i="1" s="1"/>
  <c r="E253" i="1"/>
  <c r="V253" i="1" s="1"/>
  <c r="E252" i="1"/>
  <c r="V252" i="1" s="1"/>
  <c r="E251" i="1"/>
  <c r="V251" i="1" s="1"/>
  <c r="E250" i="1"/>
  <c r="V250" i="1" s="1"/>
  <c r="E249" i="1"/>
  <c r="V249" i="1" s="1"/>
  <c r="E248" i="1"/>
  <c r="V248" i="1" s="1"/>
  <c r="E247" i="1"/>
  <c r="V247" i="1" s="1"/>
  <c r="E246" i="1"/>
  <c r="V246" i="1" s="1"/>
  <c r="E245" i="1"/>
  <c r="V245" i="1" s="1"/>
  <c r="E244" i="1"/>
  <c r="V244" i="1" s="1"/>
  <c r="E243" i="1"/>
  <c r="V243" i="1" s="1"/>
  <c r="E242" i="1"/>
  <c r="V242" i="1" s="1"/>
  <c r="E241" i="1"/>
  <c r="V241" i="1" s="1"/>
  <c r="E240" i="1"/>
  <c r="V240" i="1" s="1"/>
  <c r="E239" i="1"/>
  <c r="V239" i="1" s="1"/>
  <c r="E238" i="1"/>
  <c r="V238" i="1" s="1"/>
  <c r="E237" i="1"/>
  <c r="V237" i="1" s="1"/>
  <c r="E236" i="1"/>
  <c r="V236" i="1" s="1"/>
  <c r="E235" i="1"/>
  <c r="V235" i="1" s="1"/>
  <c r="E234" i="1"/>
  <c r="V234" i="1" s="1"/>
  <c r="E233" i="1"/>
  <c r="V233" i="1" s="1"/>
  <c r="E232" i="1"/>
  <c r="V232" i="1" s="1"/>
  <c r="E231" i="1"/>
  <c r="V231" i="1" s="1"/>
  <c r="E230" i="1"/>
  <c r="V230" i="1" s="1"/>
  <c r="E229" i="1"/>
  <c r="V229" i="1" s="1"/>
  <c r="E228" i="1"/>
  <c r="V228" i="1" s="1"/>
  <c r="E227" i="1"/>
  <c r="V227" i="1" s="1"/>
  <c r="E226" i="1"/>
  <c r="V226" i="1" s="1"/>
  <c r="E225" i="1"/>
  <c r="V225" i="1" s="1"/>
  <c r="E224" i="1"/>
  <c r="V224" i="1" s="1"/>
  <c r="E223" i="1"/>
  <c r="V223" i="1" s="1"/>
  <c r="E222" i="1"/>
  <c r="V222" i="1" s="1"/>
  <c r="E221" i="1"/>
  <c r="V221" i="1" s="1"/>
  <c r="E220" i="1"/>
  <c r="V220" i="1" s="1"/>
  <c r="E219" i="1"/>
  <c r="V219" i="1" s="1"/>
  <c r="E218" i="1"/>
  <c r="V218" i="1" s="1"/>
  <c r="E217" i="1"/>
  <c r="V217" i="1" s="1"/>
  <c r="E216" i="1"/>
  <c r="V216" i="1" s="1"/>
  <c r="E215" i="1"/>
  <c r="V215" i="1" s="1"/>
  <c r="E214" i="1"/>
  <c r="V214" i="1" s="1"/>
  <c r="E213" i="1"/>
  <c r="V213" i="1" s="1"/>
  <c r="E212" i="1"/>
  <c r="V212" i="1" s="1"/>
  <c r="E211" i="1"/>
  <c r="V211" i="1" s="1"/>
  <c r="E210" i="1"/>
  <c r="V210" i="1" s="1"/>
  <c r="E209" i="1"/>
  <c r="V209" i="1" s="1"/>
  <c r="E208" i="1"/>
  <c r="V208" i="1" s="1"/>
  <c r="E207" i="1"/>
  <c r="V207" i="1" s="1"/>
  <c r="E206" i="1"/>
  <c r="V206" i="1" s="1"/>
  <c r="V205" i="1"/>
  <c r="E205" i="1"/>
  <c r="E204" i="1"/>
  <c r="V204" i="1" s="1"/>
  <c r="E203" i="1"/>
  <c r="V203" i="1" s="1"/>
  <c r="E202" i="1"/>
  <c r="V202" i="1" s="1"/>
  <c r="E201" i="1"/>
  <c r="V201" i="1" s="1"/>
  <c r="E200" i="1"/>
  <c r="V200" i="1" s="1"/>
  <c r="E199" i="1"/>
  <c r="V199" i="1" s="1"/>
  <c r="E198" i="1"/>
  <c r="V198" i="1" s="1"/>
  <c r="E197" i="1"/>
  <c r="V197" i="1" s="1"/>
  <c r="E196" i="1"/>
  <c r="V196" i="1" s="1"/>
  <c r="E195" i="1"/>
  <c r="V195" i="1" s="1"/>
  <c r="E194" i="1"/>
  <c r="V194" i="1" s="1"/>
  <c r="E193" i="1"/>
  <c r="V193" i="1" s="1"/>
  <c r="E192" i="1"/>
  <c r="V192" i="1" s="1"/>
  <c r="E191" i="1"/>
  <c r="V191" i="1" s="1"/>
  <c r="E190" i="1"/>
  <c r="V190" i="1" s="1"/>
  <c r="E189" i="1"/>
  <c r="V189" i="1" s="1"/>
  <c r="E188" i="1"/>
  <c r="V188" i="1" s="1"/>
  <c r="E187" i="1"/>
  <c r="V187" i="1" s="1"/>
  <c r="E186" i="1"/>
  <c r="V186" i="1" s="1"/>
  <c r="E185" i="1"/>
  <c r="V185" i="1" s="1"/>
  <c r="E184" i="1"/>
  <c r="V184" i="1" s="1"/>
  <c r="E183" i="1"/>
  <c r="V183" i="1" s="1"/>
  <c r="E182" i="1"/>
  <c r="V182" i="1" s="1"/>
  <c r="E181" i="1"/>
  <c r="V181" i="1" s="1"/>
  <c r="E180" i="1"/>
  <c r="V180" i="1" s="1"/>
  <c r="E179" i="1"/>
  <c r="V179" i="1" s="1"/>
  <c r="E178" i="1"/>
  <c r="V178" i="1" s="1"/>
  <c r="E177" i="1"/>
  <c r="V177" i="1" s="1"/>
  <c r="E176" i="1"/>
  <c r="V176" i="1" s="1"/>
  <c r="E175" i="1"/>
  <c r="V175" i="1" s="1"/>
  <c r="E174" i="1"/>
  <c r="V174" i="1" s="1"/>
  <c r="E173" i="1"/>
  <c r="V173" i="1" s="1"/>
  <c r="E172" i="1"/>
  <c r="V172" i="1" s="1"/>
  <c r="E171" i="1"/>
  <c r="V171" i="1" s="1"/>
  <c r="E170" i="1"/>
  <c r="V170" i="1" s="1"/>
  <c r="E169" i="1"/>
  <c r="V169" i="1" s="1"/>
  <c r="E168" i="1"/>
  <c r="V168" i="1" s="1"/>
  <c r="E167" i="1"/>
  <c r="V167" i="1" s="1"/>
  <c r="E166" i="1"/>
  <c r="V166" i="1" s="1"/>
  <c r="E165" i="1"/>
  <c r="V165" i="1" s="1"/>
  <c r="E164" i="1"/>
  <c r="V164" i="1" s="1"/>
  <c r="E163" i="1"/>
  <c r="V163" i="1" s="1"/>
  <c r="E162" i="1"/>
  <c r="V162" i="1" s="1"/>
  <c r="E161" i="1"/>
  <c r="V161" i="1" s="1"/>
  <c r="E160" i="1"/>
  <c r="V160" i="1" s="1"/>
  <c r="E159" i="1"/>
  <c r="V159" i="1" s="1"/>
  <c r="E158" i="1"/>
  <c r="V158" i="1" s="1"/>
  <c r="E157" i="1"/>
  <c r="V157" i="1" s="1"/>
  <c r="M156" i="1"/>
  <c r="E156" i="1"/>
  <c r="E155" i="1"/>
  <c r="V155" i="1" s="1"/>
  <c r="E154" i="1"/>
  <c r="V154" i="1" s="1"/>
  <c r="E153" i="1"/>
  <c r="V153" i="1" s="1"/>
  <c r="E152" i="1"/>
  <c r="V152" i="1" s="1"/>
  <c r="E151" i="1"/>
  <c r="V151" i="1" s="1"/>
  <c r="E150" i="1"/>
  <c r="V150" i="1" s="1"/>
  <c r="E149" i="1"/>
  <c r="V149" i="1" s="1"/>
  <c r="E148" i="1"/>
  <c r="V148" i="1" s="1"/>
  <c r="E147" i="1"/>
  <c r="V147" i="1" s="1"/>
  <c r="E146" i="1"/>
  <c r="V146" i="1" s="1"/>
  <c r="E145" i="1"/>
  <c r="V145" i="1" s="1"/>
  <c r="E144" i="1"/>
  <c r="V144" i="1" s="1"/>
  <c r="E143" i="1"/>
  <c r="V143" i="1" s="1"/>
  <c r="E142" i="1"/>
  <c r="V142" i="1" s="1"/>
  <c r="E141" i="1"/>
  <c r="V141" i="1" s="1"/>
  <c r="E140" i="1"/>
  <c r="V140" i="1" s="1"/>
  <c r="E139" i="1"/>
  <c r="V139" i="1" s="1"/>
  <c r="E138" i="1"/>
  <c r="V138" i="1" s="1"/>
  <c r="E137" i="1"/>
  <c r="V137" i="1" s="1"/>
  <c r="E136" i="1"/>
  <c r="V136" i="1" s="1"/>
  <c r="E135" i="1"/>
  <c r="V135" i="1" s="1"/>
  <c r="E134" i="1"/>
  <c r="V134" i="1" s="1"/>
  <c r="E133" i="1"/>
  <c r="V133" i="1" s="1"/>
  <c r="E132" i="1"/>
  <c r="V132" i="1" s="1"/>
  <c r="E131" i="1"/>
  <c r="V131" i="1" s="1"/>
  <c r="E130" i="1"/>
  <c r="V130" i="1" s="1"/>
  <c r="E129" i="1"/>
  <c r="V129" i="1" s="1"/>
  <c r="E128" i="1"/>
  <c r="V128" i="1" s="1"/>
  <c r="E127" i="1"/>
  <c r="V127" i="1" s="1"/>
  <c r="E126" i="1"/>
  <c r="V126" i="1" s="1"/>
  <c r="E125" i="1"/>
  <c r="V125" i="1" s="1"/>
  <c r="E124" i="1"/>
  <c r="V124" i="1" s="1"/>
  <c r="E123" i="1"/>
  <c r="V123" i="1" s="1"/>
  <c r="E122" i="1"/>
  <c r="V122" i="1" s="1"/>
  <c r="E121" i="1"/>
  <c r="V121" i="1" s="1"/>
  <c r="E120" i="1"/>
  <c r="V120" i="1" s="1"/>
  <c r="E119" i="1"/>
  <c r="V119" i="1" s="1"/>
  <c r="E118" i="1"/>
  <c r="V118" i="1" s="1"/>
  <c r="V117" i="1"/>
  <c r="E117" i="1"/>
  <c r="E116" i="1"/>
  <c r="V116" i="1" s="1"/>
  <c r="E115" i="1"/>
  <c r="V115" i="1" s="1"/>
  <c r="E114" i="1"/>
  <c r="V114" i="1" s="1"/>
  <c r="E113" i="1"/>
  <c r="V113" i="1" s="1"/>
  <c r="E112" i="1"/>
  <c r="V112" i="1" s="1"/>
  <c r="E111" i="1"/>
  <c r="V111" i="1" s="1"/>
  <c r="E110" i="1"/>
  <c r="V110" i="1" s="1"/>
  <c r="E109" i="1"/>
  <c r="V109" i="1" s="1"/>
  <c r="E108" i="1"/>
  <c r="V108" i="1" s="1"/>
  <c r="E107" i="1"/>
  <c r="V107" i="1" s="1"/>
  <c r="E106" i="1"/>
  <c r="V106" i="1" s="1"/>
  <c r="E105" i="1"/>
  <c r="V105" i="1" s="1"/>
  <c r="E104" i="1"/>
  <c r="V104" i="1" s="1"/>
  <c r="E103" i="1"/>
  <c r="V103" i="1" s="1"/>
  <c r="E102" i="1"/>
  <c r="V102" i="1" s="1"/>
  <c r="E101" i="1"/>
  <c r="V101" i="1" s="1"/>
  <c r="E100" i="1"/>
  <c r="V100" i="1" s="1"/>
  <c r="E99" i="1"/>
  <c r="V99" i="1" s="1"/>
  <c r="E98" i="1"/>
  <c r="V98" i="1" s="1"/>
  <c r="E97" i="1"/>
  <c r="V97" i="1" s="1"/>
  <c r="E96" i="1"/>
  <c r="V96" i="1" s="1"/>
  <c r="E95" i="1"/>
  <c r="V95" i="1" s="1"/>
  <c r="E94" i="1"/>
  <c r="V94" i="1" s="1"/>
  <c r="E93" i="1"/>
  <c r="V93" i="1" s="1"/>
  <c r="A93" i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E92" i="1"/>
  <c r="V92" i="1" s="1"/>
  <c r="E91" i="1"/>
  <c r="V91" i="1" s="1"/>
  <c r="E90" i="1"/>
  <c r="V90" i="1" s="1"/>
  <c r="A90" i="1"/>
  <c r="A91" i="1" s="1"/>
  <c r="A92" i="1" s="1"/>
  <c r="E89" i="1"/>
  <c r="V89" i="1" s="1"/>
  <c r="E88" i="1"/>
  <c r="V88" i="1" s="1"/>
  <c r="E87" i="1"/>
  <c r="V87" i="1" s="1"/>
  <c r="E86" i="1"/>
  <c r="V86" i="1" s="1"/>
  <c r="A86" i="1"/>
  <c r="A87" i="1" s="1"/>
  <c r="A88" i="1" s="1"/>
  <c r="A89" i="1" s="1"/>
  <c r="E85" i="1"/>
  <c r="V85" i="1" s="1"/>
  <c r="E84" i="1"/>
  <c r="V84" i="1" s="1"/>
  <c r="E83" i="1"/>
  <c r="V83" i="1" s="1"/>
  <c r="E82" i="1"/>
  <c r="V82" i="1" s="1"/>
  <c r="E81" i="1"/>
  <c r="V81" i="1" s="1"/>
  <c r="E80" i="1"/>
  <c r="V80" i="1" s="1"/>
  <c r="E79" i="1"/>
  <c r="V79" i="1" s="1"/>
  <c r="E78" i="1"/>
  <c r="V78" i="1" s="1"/>
  <c r="E77" i="1"/>
  <c r="V77" i="1" s="1"/>
  <c r="E76" i="1"/>
  <c r="V76" i="1" s="1"/>
  <c r="E75" i="1"/>
  <c r="V75" i="1" s="1"/>
  <c r="E74" i="1"/>
  <c r="V74" i="1" s="1"/>
  <c r="E73" i="1"/>
  <c r="V73" i="1" s="1"/>
  <c r="E72" i="1"/>
  <c r="V72" i="1" s="1"/>
  <c r="E71" i="1"/>
  <c r="V71" i="1" s="1"/>
  <c r="E70" i="1"/>
  <c r="V70" i="1" s="1"/>
  <c r="E69" i="1"/>
  <c r="V69" i="1" s="1"/>
  <c r="E68" i="1"/>
  <c r="V68" i="1" s="1"/>
  <c r="E67" i="1"/>
  <c r="V67" i="1" s="1"/>
  <c r="E66" i="1"/>
  <c r="V66" i="1" s="1"/>
  <c r="E65" i="1"/>
  <c r="V65" i="1" s="1"/>
  <c r="E64" i="1"/>
  <c r="V64" i="1" s="1"/>
  <c r="E63" i="1"/>
  <c r="V63" i="1" s="1"/>
  <c r="E62" i="1"/>
  <c r="V62" i="1" s="1"/>
  <c r="E61" i="1"/>
  <c r="V61" i="1" s="1"/>
  <c r="E60" i="1"/>
  <c r="V60" i="1" s="1"/>
  <c r="O59" i="1"/>
  <c r="E59" i="1"/>
  <c r="V59" i="1" s="1"/>
  <c r="E58" i="1"/>
  <c r="V58" i="1" s="1"/>
  <c r="E57" i="1"/>
  <c r="V57" i="1" s="1"/>
  <c r="E56" i="1"/>
  <c r="V56" i="1" s="1"/>
  <c r="E55" i="1"/>
  <c r="V55" i="1" s="1"/>
  <c r="E54" i="1"/>
  <c r="V54" i="1" s="1"/>
  <c r="E53" i="1"/>
  <c r="V53" i="1" s="1"/>
  <c r="E52" i="1"/>
  <c r="V52" i="1" s="1"/>
  <c r="E51" i="1"/>
  <c r="V51" i="1" s="1"/>
  <c r="E50" i="1"/>
  <c r="V50" i="1" s="1"/>
  <c r="E49" i="1"/>
  <c r="V49" i="1" s="1"/>
  <c r="E48" i="1"/>
  <c r="V48" i="1" s="1"/>
  <c r="E47" i="1"/>
  <c r="V47" i="1" s="1"/>
  <c r="E46" i="1"/>
  <c r="V46" i="1" s="1"/>
  <c r="E45" i="1"/>
  <c r="V45" i="1" s="1"/>
  <c r="E44" i="1"/>
  <c r="V44" i="1" s="1"/>
  <c r="E43" i="1"/>
  <c r="V43" i="1" s="1"/>
  <c r="E42" i="1"/>
  <c r="V42" i="1" s="1"/>
  <c r="E41" i="1"/>
  <c r="V41" i="1" s="1"/>
  <c r="E40" i="1"/>
  <c r="V40" i="1" s="1"/>
  <c r="E39" i="1"/>
  <c r="V39" i="1" s="1"/>
  <c r="E38" i="1"/>
  <c r="V38" i="1" s="1"/>
  <c r="E37" i="1"/>
  <c r="V37" i="1" s="1"/>
  <c r="E36" i="1"/>
  <c r="V36" i="1" s="1"/>
  <c r="E35" i="1"/>
  <c r="V35" i="1" s="1"/>
  <c r="E34" i="1"/>
  <c r="V34" i="1" s="1"/>
  <c r="E33" i="1"/>
  <c r="V33" i="1" s="1"/>
  <c r="E32" i="1"/>
  <c r="V32" i="1" s="1"/>
  <c r="E31" i="1"/>
  <c r="V31" i="1" s="1"/>
  <c r="E30" i="1"/>
  <c r="V30" i="1" s="1"/>
  <c r="E29" i="1"/>
  <c r="V29" i="1" s="1"/>
  <c r="E28" i="1"/>
  <c r="V28" i="1" s="1"/>
  <c r="E27" i="1"/>
  <c r="V27" i="1" s="1"/>
  <c r="E26" i="1"/>
  <c r="V26" i="1" s="1"/>
  <c r="E25" i="1"/>
  <c r="V25" i="1" s="1"/>
  <c r="E24" i="1"/>
  <c r="V24" i="1" s="1"/>
  <c r="E23" i="1"/>
  <c r="V23" i="1" s="1"/>
  <c r="E22" i="1"/>
  <c r="V22" i="1" s="1"/>
  <c r="E21" i="1"/>
  <c r="V21" i="1" s="1"/>
  <c r="E20" i="1"/>
  <c r="V20" i="1" s="1"/>
  <c r="E19" i="1"/>
  <c r="V19" i="1" s="1"/>
  <c r="E18" i="1"/>
  <c r="V18" i="1" s="1"/>
  <c r="E17" i="1"/>
  <c r="V17" i="1" s="1"/>
  <c r="E16" i="1"/>
  <c r="V16" i="1" s="1"/>
  <c r="E15" i="1"/>
  <c r="V15" i="1" s="1"/>
  <c r="E14" i="1"/>
  <c r="V14" i="1" s="1"/>
  <c r="E13" i="1"/>
  <c r="V13" i="1" s="1"/>
  <c r="E12" i="1"/>
  <c r="V12" i="1" s="1"/>
  <c r="E11" i="1"/>
  <c r="V11" i="1" s="1"/>
  <c r="E10" i="1"/>
  <c r="V10" i="1" s="1"/>
  <c r="E9" i="1"/>
  <c r="V9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E8" i="1"/>
  <c r="V8" i="1" s="1"/>
  <c r="A8" i="1"/>
  <c r="E7" i="1"/>
  <c r="V7" i="1" s="1"/>
  <c r="A7" i="1"/>
  <c r="E6" i="1"/>
  <c r="V156" i="1" l="1"/>
  <c r="E275" i="1"/>
  <c r="V6" i="1"/>
  <c r="V275" i="1" s="1"/>
</calcChain>
</file>

<file path=xl/sharedStrings.xml><?xml version="1.0" encoding="utf-8"?>
<sst xmlns="http://schemas.openxmlformats.org/spreadsheetml/2006/main" count="861" uniqueCount="328">
  <si>
    <t>Weekly Issued (Buffer Stock POMI)- POH 1</t>
  </si>
  <si>
    <t>Mnth</t>
  </si>
  <si>
    <t>Week</t>
  </si>
  <si>
    <t>IV</t>
  </si>
  <si>
    <t>No.</t>
  </si>
  <si>
    <t xml:space="preserve">Nama Barang </t>
  </si>
  <si>
    <t>Satuan</t>
  </si>
  <si>
    <t>Stock Awal</t>
  </si>
  <si>
    <t xml:space="preserve">Tanggal Buffer Stock </t>
  </si>
  <si>
    <t>Jumlah</t>
  </si>
  <si>
    <t>Ending Stock</t>
  </si>
  <si>
    <t xml:space="preserve">Lokasi </t>
  </si>
  <si>
    <t>AC Compressor 1 PK, PANASONIC R 22</t>
  </si>
  <si>
    <t>Unit</t>
  </si>
  <si>
    <t>AC Compressor 1,5  PK, PANASONIC R 22</t>
  </si>
  <si>
    <t>AC Compressor 2 PK, PANASONIC</t>
  </si>
  <si>
    <t>AC Compressor 3 PK, PANASONIC</t>
  </si>
  <si>
    <t>AC Compressor 1 PK, PANASONIC R 32</t>
  </si>
  <si>
    <t>AC Compressor 1,5  PK, PANASONIC R 32</t>
  </si>
  <si>
    <t>Amplas NO 1</t>
  </si>
  <si>
    <t xml:space="preserve">Lbr </t>
  </si>
  <si>
    <t>Amplas NO 180</t>
  </si>
  <si>
    <t>Avur bak cuci piring</t>
  </si>
  <si>
    <t>pcs</t>
  </si>
  <si>
    <t>Lombok 6</t>
  </si>
  <si>
    <t>RESIBON CUTTING WHEEL</t>
  </si>
  <si>
    <t>RESIBON GRINDING WHEEL</t>
  </si>
  <si>
    <t>Ball Valve 1/2" ONDA Kuningan</t>
  </si>
  <si>
    <t>Pcs</t>
  </si>
  <si>
    <t>Ball Valve 3/4" ONDA Kuningan</t>
  </si>
  <si>
    <t>BATTERY ALKALINE AA</t>
  </si>
  <si>
    <t>PCS</t>
  </si>
  <si>
    <t>BATTERY ALKALINE AAA</t>
  </si>
  <si>
    <t>BATTERY KERING 6 VOLT</t>
  </si>
  <si>
    <t>Battery Kotak 9 Volt</t>
  </si>
  <si>
    <t>Baut Dipan</t>
  </si>
  <si>
    <t>BATTERY ABC BESAR</t>
  </si>
  <si>
    <t>BEARING 608  ZZ</t>
  </si>
  <si>
    <t>Bearing 6202-2Z, SKF</t>
  </si>
  <si>
    <t>BEARING 6203 ZZ</t>
  </si>
  <si>
    <t>Bearing 6303</t>
  </si>
  <si>
    <t>Bearing 6304 ZZ</t>
  </si>
  <si>
    <t>Bearing 6305 SKF</t>
  </si>
  <si>
    <t>Bearing SKF 6306 ZZ</t>
  </si>
  <si>
    <t>Bearing SKF 6307 ZZ</t>
  </si>
  <si>
    <t>Bearing SKF 6309 / C3</t>
  </si>
  <si>
    <t>Bearing SKF 63305 ZZ</t>
  </si>
  <si>
    <t>Bearing SKF 6309 C3</t>
  </si>
  <si>
    <t xml:space="preserve">Bulb Lamp 25 W, A 35  Clear Philips,  </t>
  </si>
  <si>
    <t>Bulb Lamp 40 W, B 35  Clear Philips,  E 14 ( cooker hood )</t>
  </si>
  <si>
    <t xml:space="preserve">Capacitor 2,5µf + 2 µf </t>
  </si>
  <si>
    <t>Capacitor 30µf</t>
  </si>
  <si>
    <t>Capacitor 40µf</t>
  </si>
  <si>
    <t>Capacitor 35µf</t>
  </si>
  <si>
    <t>Su;lawesi 21</t>
  </si>
  <si>
    <t>Capacitor 50 µf</t>
  </si>
  <si>
    <t>Capacitor AC 25 µf</t>
  </si>
  <si>
    <t>Capacitor Ceiling Fan 5 Cable</t>
  </si>
  <si>
    <t>Capacitor Washing Machine 12 µf</t>
  </si>
  <si>
    <t>Capacitor 60 µf</t>
  </si>
  <si>
    <t>CAT DULUX CATYLAC INVERNES  25KG</t>
  </si>
  <si>
    <t>Pail</t>
  </si>
  <si>
    <t>CAT DULUX CATYLAC INVERNES 5 KG</t>
  </si>
  <si>
    <t>GLN</t>
  </si>
  <si>
    <t>CAT DULUX MORNING STAR 2,5 LTR</t>
  </si>
  <si>
    <t>CAT JAVA EXTERIOR</t>
  </si>
  <si>
    <t>PAIL</t>
  </si>
  <si>
    <t>CAT JAVA INTERIOR NO. 31</t>
  </si>
  <si>
    <t>CAT JAVA INTERIOR NO. 32</t>
  </si>
  <si>
    <t>Cat NIPPE 2000 No.012 ( CHAMONIK)</t>
  </si>
  <si>
    <t>KG</t>
  </si>
  <si>
    <t>Cat Pylox Hitam</t>
  </si>
  <si>
    <t>Btl</t>
  </si>
  <si>
    <t>Cat Pylox Merah</t>
  </si>
  <si>
    <t>Cat Pylox Putih</t>
  </si>
  <si>
    <t>Cat Zynchromate</t>
  </si>
  <si>
    <t>Kg</t>
  </si>
  <si>
    <t>Cat Avian Putih</t>
  </si>
  <si>
    <t>Semen, Gresik</t>
  </si>
  <si>
    <t>SACK</t>
  </si>
  <si>
    <t>Sulawesi 4</t>
  </si>
  <si>
    <t>Semen Putih</t>
  </si>
  <si>
    <t>Ceramic size 20x25 PUTIH</t>
  </si>
  <si>
    <t>DUs</t>
  </si>
  <si>
    <t>Ceramic size 30x30</t>
  </si>
  <si>
    <t>Dus</t>
  </si>
  <si>
    <t>Contactor LC1D09M7, Scheider</t>
  </si>
  <si>
    <t>Contactor LC1D12M7, Scheider</t>
  </si>
  <si>
    <t>Contactor LC1D18M7, Scheider</t>
  </si>
  <si>
    <t>Contactor LC1D25M7, Scheider</t>
  </si>
  <si>
    <t>Contactor LC1D32M7, Scheider</t>
  </si>
  <si>
    <t>Coupler  Equal Tee 20 x 20</t>
  </si>
  <si>
    <t>Coupler  Equal Tee 32 x 32</t>
  </si>
  <si>
    <t>Coupler HDPE Mechanical Joint ø 110</t>
  </si>
  <si>
    <t>Coupler HDPE Mechanical Joint ø 63</t>
  </si>
  <si>
    <t>Coupler HDPE Mechanical Joint ø 90 X 75</t>
  </si>
  <si>
    <t>Coupler of Reducing  25 x 20</t>
  </si>
  <si>
    <t>Coupler Straight 20 x 20</t>
  </si>
  <si>
    <t xml:space="preserve">Coupler Straight 25 x 25 </t>
  </si>
  <si>
    <t>Coupler Straight 32 x 32</t>
  </si>
  <si>
    <t xml:space="preserve">Cylinder Lock, Muller </t>
  </si>
  <si>
    <t>Defrost Kulkas LG</t>
  </si>
  <si>
    <t>Defrost Kulkas samsung / panasonic</t>
  </si>
  <si>
    <t>Defrost Kulkas SANYO</t>
  </si>
  <si>
    <t>Doble Neple Besi 1/2"</t>
  </si>
  <si>
    <t>Elbow Drat Dalam  20 x 1/2" hdpe</t>
  </si>
  <si>
    <t>Elbow PVC AW  1"</t>
  </si>
  <si>
    <t>Elbow PVC AW  1/2"</t>
  </si>
  <si>
    <t>Elbow PVC AW 2"</t>
  </si>
  <si>
    <t>ELCB 2P, 25A SCHNEIDER</t>
  </si>
  <si>
    <t>ELCB 2P, 30A SCHNEIDER</t>
  </si>
  <si>
    <t>ELCB 2P, 40A SCHNEIDER</t>
  </si>
  <si>
    <t>ELCB 2P, 63A SCHNEIDER</t>
  </si>
  <si>
    <t>ELCB 4P, 25A SCHNEIDER</t>
  </si>
  <si>
    <t>ELCB 4P, 40A SCHNEIDER</t>
  </si>
  <si>
    <t>ELCB 4P, 63A SCHNEIDER</t>
  </si>
  <si>
    <t>Emco Paint Biru No. 75</t>
  </si>
  <si>
    <t>Klg</t>
  </si>
  <si>
    <t xml:space="preserve">Emco Paint, Black Color </t>
  </si>
  <si>
    <t>Emco Paint, Blue Color No. 102</t>
  </si>
  <si>
    <t>Emco Paint Coklat 83</t>
  </si>
  <si>
    <t>Emco Paint, Chili Red No. 132</t>
  </si>
  <si>
    <t>Emco Paint, Green Color No. 64</t>
  </si>
  <si>
    <t>Emco Paint, Traffic Red Color No. 78</t>
  </si>
  <si>
    <t>Emco Paint, White Color</t>
  </si>
  <si>
    <t>Emco Paint, Yellow Color No. 67</t>
  </si>
  <si>
    <t>Engsel Jendela 3 "</t>
  </si>
  <si>
    <t>Engsel Pintu 4"</t>
  </si>
  <si>
    <t>Engsel Sendok</t>
  </si>
  <si>
    <t>Equal Elbow 20 x20</t>
  </si>
  <si>
    <t>Equal Elbow 25 x 25</t>
  </si>
  <si>
    <t>Equal Elbow 32 x 32</t>
  </si>
  <si>
    <t>Equal Tee 32 x 20</t>
  </si>
  <si>
    <t>Male thread adaptor 32 x 1"</t>
  </si>
  <si>
    <t>FITING LAMPU</t>
  </si>
  <si>
    <t>Sensor Photo cell</t>
  </si>
  <si>
    <t>Filter Fleet Guard WF 2071 (Filter Udara)</t>
  </si>
  <si>
    <t>Filter Fleet Guard FS 1212 (Filter Solar)</t>
  </si>
  <si>
    <t>Filter Fleet Guard LF 3000 (Oil Filter )</t>
  </si>
  <si>
    <t>Filter Fleet Guard WF 2076 (Filter Udara)</t>
  </si>
  <si>
    <t>Flexible Hose  50 CM</t>
  </si>
  <si>
    <t>Lombok 28</t>
  </si>
  <si>
    <t>Flexible Hose  60 CM STAINLESS</t>
  </si>
  <si>
    <t>Flexible Hose 40 Cm</t>
  </si>
  <si>
    <t>Flexible Hose of Washbasin, DUPON</t>
  </si>
  <si>
    <t>SET</t>
  </si>
  <si>
    <t>Flexible Hose of Washbasin, MOVE</t>
  </si>
  <si>
    <t>Floating Valve of Closet ( Tombol Atas )</t>
  </si>
  <si>
    <t>Floating Valve of Closet ( Tombol Samping  )</t>
  </si>
  <si>
    <t>Floor Drain</t>
  </si>
  <si>
    <t>FREON R 22 DUPONT ( 13,62 Kg )</t>
  </si>
  <si>
    <t>BTL</t>
  </si>
  <si>
    <t xml:space="preserve">FREON R 32 </t>
  </si>
  <si>
    <t>FLANGE PVC 2,5"</t>
  </si>
  <si>
    <t>FLANGE PVC 2"</t>
  </si>
  <si>
    <t xml:space="preserve">Grendel </t>
  </si>
  <si>
    <t xml:space="preserve">Hand Shower </t>
  </si>
  <si>
    <t xml:space="preserve">HANDLE PINTU </t>
  </si>
  <si>
    <t>Set</t>
  </si>
  <si>
    <t>Hose of Washing Machine Drain</t>
  </si>
  <si>
    <t>Ignition of Stove</t>
  </si>
  <si>
    <t xml:space="preserve">Jati Plywood </t>
  </si>
  <si>
    <t>Kabel NYY 4 x 2,5</t>
  </si>
  <si>
    <t>Meter</t>
  </si>
  <si>
    <t>Kabel NYYHY 4 x 2,5</t>
  </si>
  <si>
    <t>Kabel NYY 3 x 2,5</t>
  </si>
  <si>
    <t>Kabel NYM 3 x 2,5</t>
  </si>
  <si>
    <t>Kabel NYM 3 x 1,5</t>
  </si>
  <si>
    <t>Kawat Seling Calfit</t>
  </si>
  <si>
    <t>M</t>
  </si>
  <si>
    <t>Kayu 3 x 20 x 4</t>
  </si>
  <si>
    <t>Batang</t>
  </si>
  <si>
    <t>Kayu 6 x 12 x 4</t>
  </si>
  <si>
    <t>Kayu 6 x 15 x 4</t>
  </si>
  <si>
    <t>Kayu 8 x 12 x 4</t>
  </si>
  <si>
    <t>Klem Selang LPG</t>
  </si>
  <si>
    <t>Bali 7</t>
  </si>
  <si>
    <t>Klem Seling Calfit</t>
  </si>
  <si>
    <t>Kuas 3"</t>
  </si>
  <si>
    <t>Kuas 2"</t>
  </si>
  <si>
    <t>Jawa 1</t>
  </si>
  <si>
    <t xml:space="preserve">Pipa AC Inverter 1 PK </t>
  </si>
  <si>
    <t xml:space="preserve">Pipa AC Inverter 1,5 PK </t>
  </si>
  <si>
    <t>LAMPU LED PHILIPS 6 WATT KUNING</t>
  </si>
  <si>
    <t>Lampu HPLN Philips 250  Watt</t>
  </si>
  <si>
    <t>LED  DRIVER POWER 56 WATT 50/60 HZ</t>
  </si>
  <si>
    <t xml:space="preserve">LAMPU LED PHILIPS 10 WATT </t>
  </si>
  <si>
    <t xml:space="preserve">LAMPU LED PHILIPS  8 WATT </t>
  </si>
  <si>
    <t>LAMPU LED PHILIPS 14,5 WATT</t>
  </si>
  <si>
    <t>LAMPU LED PHILIPS 6 WATT</t>
  </si>
  <si>
    <t>Madura 11</t>
  </si>
  <si>
    <t>Cafe = 1, Sulawesi 21 =1</t>
  </si>
  <si>
    <t>Bali 17</t>
  </si>
  <si>
    <t>Lampu REFLEKTOR TOKI RF220V 500W</t>
  </si>
  <si>
    <t>Lem Fox</t>
  </si>
  <si>
    <t>Jawa 2</t>
  </si>
  <si>
    <t>Level Switch, RADAR</t>
  </si>
  <si>
    <t>FLOAT SWITCH</t>
  </si>
  <si>
    <t>Lock 808</t>
  </si>
  <si>
    <t>Pad Lock (Gembok )</t>
  </si>
  <si>
    <t>Magneto Stove 4 Burner</t>
  </si>
  <si>
    <t>Magneto Stove 6 Burner</t>
  </si>
  <si>
    <t>MCB 10 A - 1 Phase, Schneider</t>
  </si>
  <si>
    <t>MCB 16 A - 1 Phase, Schneider</t>
  </si>
  <si>
    <t>MCB 16 A - 3 phase</t>
  </si>
  <si>
    <t>MCB 20 A - 1 phase</t>
  </si>
  <si>
    <t>MCB 20 A - 3 phase</t>
  </si>
  <si>
    <t>MCB 32 A - 1 phase</t>
  </si>
  <si>
    <t>MCB 63 A - 1 Phase, Schneider</t>
  </si>
  <si>
    <t>MCB 32 A - 3 phase</t>
  </si>
  <si>
    <t>MCB 50 A - 1 phase</t>
  </si>
  <si>
    <t>MCB 6 A - 1 Phase, Schneider</t>
  </si>
  <si>
    <t>MCB 63 A - 3 Phase, Schneider</t>
  </si>
  <si>
    <t>MCCB 60 A EZC 1000BSchneider</t>
  </si>
  <si>
    <t>Mechanical seal 560-20</t>
  </si>
  <si>
    <t>Modul Indoor AC 1,5 PK Panasonic</t>
  </si>
  <si>
    <t>Mowilek  503</t>
  </si>
  <si>
    <t>NO DROP</t>
  </si>
  <si>
    <t>Madura 7</t>
  </si>
  <si>
    <t>NO DROP KASSA</t>
  </si>
  <si>
    <t>OIL COMPRESSOR SUNISO, 4 TR</t>
  </si>
  <si>
    <t>OIL MEDITRAN SX , 4 LTR</t>
  </si>
  <si>
    <t>Over Load Relay  LRD 08, SCHNEIDER 4 A</t>
  </si>
  <si>
    <t>Over Load  Relay LRD 10, SCHNEIDER 6 A</t>
  </si>
  <si>
    <t>Over Load  Relay LRD 12 , SCHNEIDER 8 A</t>
  </si>
  <si>
    <t>Over Load  Relay LRD 14, SCHNEIDER 10 A</t>
  </si>
  <si>
    <t>Over Load  Relay LRD 16, SCHNEIDER 13</t>
  </si>
  <si>
    <t>Over Load  Relay LRD 21, SCHNEIDER 18 A</t>
  </si>
  <si>
    <t>Over Load  Relay LRD 22, SCHNEIDER 24 A</t>
  </si>
  <si>
    <t>Over Load  Relay LRD 32, SCHNEIDER 32 A</t>
  </si>
  <si>
    <t>Overload of Water Dispencer 1/5 PK</t>
  </si>
  <si>
    <t xml:space="preserve">Overload Refrigerator </t>
  </si>
  <si>
    <t>PAKAN LAS RD 460 2,0</t>
  </si>
  <si>
    <t>PRESSURE GAUGE WIKA 10</t>
  </si>
  <si>
    <t>Pee Pipe DUPON 4160 NC ( Syphon Kitchen sink )</t>
  </si>
  <si>
    <t xml:space="preserve">PESAWAT TELEPHONE </t>
  </si>
  <si>
    <t>Plug Besi 1/2"</t>
  </si>
  <si>
    <t>Plywood Meranti 6mm</t>
  </si>
  <si>
    <t>Madura 19</t>
  </si>
  <si>
    <t>Plywood Meranti 20 mm</t>
  </si>
  <si>
    <t>PIPA PVC 2"</t>
  </si>
  <si>
    <t>PIPA PVC 1"</t>
  </si>
  <si>
    <t>PIPA PVC 3/4"</t>
  </si>
  <si>
    <t>PIPA PVC 1/2"</t>
  </si>
  <si>
    <t>Push Drainage ( Avur Wash Basin )</t>
  </si>
  <si>
    <t>Regulator LPG</t>
  </si>
  <si>
    <t>REMOTE AC MULTI</t>
  </si>
  <si>
    <t>REMOTE TV  MULTI</t>
  </si>
  <si>
    <t xml:space="preserve">SAKLAR DOBLE </t>
  </si>
  <si>
    <t>SAKLAR TUNGGAL</t>
  </si>
  <si>
    <t>Sock Drat LUAR 20 x 1/2" HDPE</t>
  </si>
  <si>
    <t>Seat &amp; Cover Closet</t>
  </si>
  <si>
    <t xml:space="preserve">Selang LPG </t>
  </si>
  <si>
    <t>SELENOID DRAIN MESIN CUCI</t>
  </si>
  <si>
    <t xml:space="preserve">Shower Curtain </t>
  </si>
  <si>
    <t>Silicon Sealant Clear</t>
  </si>
  <si>
    <t>SEAL TAPE</t>
  </si>
  <si>
    <t>Plant dispenser</t>
  </si>
  <si>
    <t>Sock Drat Dalam 20 x 1/2"</t>
  </si>
  <si>
    <t>Sock PVC AW  1"</t>
  </si>
  <si>
    <t>Sock PVC AW  2"</t>
  </si>
  <si>
    <t>Sock PVC AW  3/4"</t>
  </si>
  <si>
    <t>Sock PVC AW 1/2"</t>
  </si>
  <si>
    <t>Stater TLD 40 W (TLD-S10), Philips</t>
  </si>
  <si>
    <t>STECKER ARDE BROCO</t>
  </si>
  <si>
    <t>Stick of Shower Curtain</t>
  </si>
  <si>
    <t>Stop Contact  AC</t>
  </si>
  <si>
    <t>Stop Contact  Tanam</t>
  </si>
  <si>
    <t>Stop Contact  TEMPEL</t>
  </si>
  <si>
    <t>Straight Coupler  25x 20</t>
  </si>
  <si>
    <t>Straight Coupler 32 x 25</t>
  </si>
  <si>
    <t>Switch Ceiling Fan</t>
  </si>
  <si>
    <t>Bali 24</t>
  </si>
  <si>
    <t>Switch Ceiling Lamp</t>
  </si>
  <si>
    <t>Tap  for Kitchen Sink Dupon 8938 NC, Hot and Cold</t>
  </si>
  <si>
    <t>Tap  for Washbasin Dupon, Hot and Cold</t>
  </si>
  <si>
    <t>Tap  for Washbasin FIORENTINO , Hot and Cold</t>
  </si>
  <si>
    <t>Tap  Mono Wash Basin</t>
  </si>
  <si>
    <t>Tap for Mono  Shower</t>
  </si>
  <si>
    <t xml:space="preserve">Tap for Shower, Dupon  Hot &amp; Clod </t>
  </si>
  <si>
    <t xml:space="preserve">Tap for Shower, WASER  Hot &amp; Clod </t>
  </si>
  <si>
    <t>Tap of Bath Tub, Dupon</t>
  </si>
  <si>
    <t xml:space="preserve">Tap of Bath Tub, WASSER </t>
  </si>
  <si>
    <t>Tap of Water Dispenser</t>
  </si>
  <si>
    <t>Tap size 0.5", ONDA ( KRAN ONDA )</t>
  </si>
  <si>
    <t>Tee Besi 1/2"</t>
  </si>
  <si>
    <t>Tee Galvanis</t>
  </si>
  <si>
    <t>TEE PVC AW  1"</t>
  </si>
  <si>
    <t>TEE PVC AW  3/4"</t>
  </si>
  <si>
    <t>TEE PVC AW 1/2"</t>
  </si>
  <si>
    <t>TEE PVC AW 2"</t>
  </si>
  <si>
    <t>TERMINAL 4 PAIR</t>
  </si>
  <si>
    <t>TEMPAT HANDUK</t>
  </si>
  <si>
    <t>Thinner A Special</t>
  </si>
  <si>
    <t>LTR</t>
  </si>
  <si>
    <t>TL Lamp 18 W, Ballas Philips</t>
  </si>
  <si>
    <t>TL Lamp 18 W, Philips</t>
  </si>
  <si>
    <t>TL Lamp 36 W, Ballas Philips</t>
  </si>
  <si>
    <t>TL Lamp 36/40 W, Philips</t>
  </si>
  <si>
    <t>TL RING 22 W, Philips</t>
  </si>
  <si>
    <t>TL RING 32 W, Philips</t>
  </si>
  <si>
    <t>Toilet Shower, San-Ei</t>
  </si>
  <si>
    <t>TL  LED 16 W, Philips</t>
  </si>
  <si>
    <t>TL  LED 8 W, Philips</t>
  </si>
  <si>
    <t>Tornado Lamp 20 W, Philips</t>
  </si>
  <si>
    <t>Tornado Lamp 5 W, Philips</t>
  </si>
  <si>
    <t>Tornado Lamp 8 W, Philips</t>
  </si>
  <si>
    <t>V Sock PVC  4" x 2  1/2"</t>
  </si>
  <si>
    <t>V Sock PVC  4" x 2  "</t>
  </si>
  <si>
    <t>V Sock PVC  2" x 2  1/2"</t>
  </si>
  <si>
    <t>VALVE BALL 1/2' ONDA PVC</t>
  </si>
  <si>
    <t>VALVE BALL 3/4' ONDA PVC</t>
  </si>
  <si>
    <t>VALVE GATE 1/2" ONDA</t>
  </si>
  <si>
    <t>VALVE GATE 3/4" ONDA</t>
  </si>
  <si>
    <t>Washbasin Lamp, Essential Batten 7 W, Philips</t>
  </si>
  <si>
    <t>Wastavel American Standard ( Wash Basin )</t>
  </si>
  <si>
    <t>Water Closet American Standard</t>
  </si>
  <si>
    <t>KATEGORI</t>
  </si>
  <si>
    <t>SPAREPART</t>
  </si>
  <si>
    <t>AC</t>
  </si>
  <si>
    <t>CONSUMABLE</t>
  </si>
  <si>
    <t>CIVIL</t>
  </si>
  <si>
    <t>LAMP</t>
  </si>
  <si>
    <t>ELECTRICAL</t>
  </si>
  <si>
    <t>VALVE AND PIPE</t>
  </si>
  <si>
    <t>SANITARY</t>
  </si>
  <si>
    <t>MECHANICAL</t>
  </si>
  <si>
    <t>OIL &amp;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</si>
</sst>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[$-409]mmmm\ d\,\ yyyy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 Unicode MS"/>
      <family val="2"/>
    </font>
    <font>
      <sz val="11"/>
      <name val="Tahoma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2" fontId="1" fillId="2" borderId="0" xfId="1" applyNumberFormat="1" applyFill="1" applyAlignment="1">
      <alignment horizontal="center"/>
    </xf>
    <xf numFmtId="0" fontId="1" fillId="0" borderId="0" xfId="1"/>
    <xf numFmtId="0" fontId="2" fillId="3" borderId="0" xfId="1" applyFont="1" applyFill="1" applyAlignment="1">
      <alignment horizontal="center"/>
    </xf>
    <xf numFmtId="17" fontId="2" fillId="0" borderId="0" xfId="1" applyNumberFormat="1" applyFont="1" applyAlignment="1">
      <alignment horizontal="left" wrapText="1"/>
    </xf>
    <xf numFmtId="17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 vertical="center" wrapText="1"/>
    </xf>
    <xf numFmtId="0" fontId="1" fillId="3" borderId="0" xfId="1" applyFill="1" applyAlignment="1">
      <alignment horizontal="center"/>
    </xf>
    <xf numFmtId="0" fontId="1" fillId="0" borderId="0" xfId="1" applyFont="1" applyAlignment="1">
      <alignment horizontal="left" wrapText="1"/>
    </xf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1" fillId="0" borderId="4" xfId="1" applyBorder="1" applyAlignment="1">
      <alignment horizontal="center" wrapText="1"/>
    </xf>
    <xf numFmtId="1" fontId="1" fillId="0" borderId="6" xfId="1" applyNumberFormat="1" applyBorder="1" applyAlignment="1">
      <alignment horizontal="center"/>
    </xf>
    <xf numFmtId="0" fontId="1" fillId="0" borderId="6" xfId="1" applyBorder="1" applyAlignment="1">
      <alignment horizontal="center" wrapText="1"/>
    </xf>
    <xf numFmtId="0" fontId="1" fillId="0" borderId="6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1" fillId="0" borderId="6" xfId="1" applyBorder="1" applyAlignment="1">
      <alignment horizontal="center"/>
    </xf>
    <xf numFmtId="0" fontId="1" fillId="3" borderId="6" xfId="1" applyFill="1" applyBorder="1" applyAlignment="1">
      <alignment horizontal="center"/>
    </xf>
    <xf numFmtId="165" fontId="3" fillId="0" borderId="6" xfId="1" applyNumberFormat="1" applyFont="1" applyBorder="1" applyAlignment="1">
      <alignment horizontal="left" vertical="center" wrapText="1"/>
    </xf>
    <xf numFmtId="165" fontId="3" fillId="0" borderId="7" xfId="1" applyNumberFormat="1" applyFont="1" applyBorder="1" applyAlignment="1">
      <alignment horizontal="center" wrapText="1"/>
    </xf>
    <xf numFmtId="2" fontId="1" fillId="2" borderId="6" xfId="1" applyNumberFormat="1" applyFill="1" applyBorder="1" applyAlignment="1">
      <alignment horizontal="center"/>
    </xf>
    <xf numFmtId="164" fontId="1" fillId="0" borderId="6" xfId="1" applyNumberFormat="1" applyFont="1" applyBorder="1" applyAlignment="1">
      <alignment horizontal="center" vertical="center"/>
    </xf>
    <xf numFmtId="1" fontId="1" fillId="0" borderId="6" xfId="1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1" fontId="1" fillId="0" borderId="6" xfId="1" applyNumberFormat="1" applyBorder="1" applyAlignment="1">
      <alignment horizontal="center" vertical="center" wrapText="1"/>
    </xf>
    <xf numFmtId="1" fontId="1" fillId="0" borderId="6" xfId="1" applyNumberFormat="1" applyBorder="1" applyAlignment="1">
      <alignment horizontal="center" wrapText="1"/>
    </xf>
    <xf numFmtId="164" fontId="1" fillId="2" borderId="6" xfId="1" applyNumberFormat="1" applyFill="1" applyBorder="1" applyAlignment="1">
      <alignment horizontal="center"/>
    </xf>
    <xf numFmtId="1" fontId="1" fillId="2" borderId="6" xfId="1" applyNumberFormat="1" applyFill="1" applyBorder="1" applyAlignment="1">
      <alignment horizontal="center"/>
    </xf>
    <xf numFmtId="2" fontId="1" fillId="2" borderId="4" xfId="1" applyNumberFormat="1" applyFill="1" applyBorder="1" applyAlignment="1">
      <alignment horizontal="center"/>
    </xf>
    <xf numFmtId="2" fontId="1" fillId="2" borderId="6" xfId="1" applyNumberFormat="1" applyFill="1" applyBorder="1" applyAlignment="1">
      <alignment horizontal="center" wrapText="1"/>
    </xf>
    <xf numFmtId="0" fontId="1" fillId="0" borderId="6" xfId="1" applyBorder="1"/>
    <xf numFmtId="0" fontId="1" fillId="0" borderId="6" xfId="1" applyBorder="1" applyAlignment="1">
      <alignment horizontal="left" wrapText="1"/>
    </xf>
    <xf numFmtId="0" fontId="4" fillId="0" borderId="7" xfId="1" applyFont="1" applyBorder="1" applyAlignment="1">
      <alignment horizontal="center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0" xfId="1" applyBorder="1"/>
    <xf numFmtId="0" fontId="1" fillId="0" borderId="1" xfId="1" applyBorder="1"/>
    <xf numFmtId="165" fontId="3" fillId="0" borderId="8" xfId="1" applyNumberFormat="1" applyFont="1" applyBorder="1" applyAlignment="1">
      <alignment horizontal="center" wrapText="1"/>
    </xf>
    <xf numFmtId="0" fontId="1" fillId="0" borderId="2" xfId="1" applyBorder="1" applyAlignment="1">
      <alignment horizontal="left" wrapText="1"/>
    </xf>
    <xf numFmtId="165" fontId="3" fillId="0" borderId="2" xfId="1" applyNumberFormat="1" applyFont="1" applyBorder="1" applyAlignment="1">
      <alignment horizontal="left" vertical="center" wrapText="1"/>
    </xf>
    <xf numFmtId="165" fontId="3" fillId="0" borderId="6" xfId="1" applyNumberFormat="1" applyFont="1" applyBorder="1" applyAlignment="1">
      <alignment vertical="center" wrapText="1"/>
    </xf>
    <xf numFmtId="166" fontId="1" fillId="0" borderId="6" xfId="1" applyNumberFormat="1" applyBorder="1" applyAlignment="1">
      <alignment horizontal="center" vertical="center" wrapText="1"/>
    </xf>
    <xf numFmtId="0" fontId="1" fillId="0" borderId="5" xfId="1" applyBorder="1" applyAlignment="1">
      <alignment horizontal="left" wrapText="1"/>
    </xf>
    <xf numFmtId="164" fontId="1" fillId="0" borderId="6" xfId="1" applyNumberFormat="1" applyFont="1" applyBorder="1" applyAlignment="1">
      <alignment horizontal="center" vertical="center" wrapText="1"/>
    </xf>
    <xf numFmtId="4" fontId="1" fillId="0" borderId="6" xfId="1" applyNumberFormat="1" applyBorder="1" applyAlignment="1">
      <alignment horizontal="center" vertical="center" wrapText="1"/>
    </xf>
    <xf numFmtId="2" fontId="1" fillId="0" borderId="6" xfId="1" applyNumberFormat="1" applyBorder="1" applyAlignment="1">
      <alignment horizont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1" fillId="0" borderId="7" xfId="1" applyBorder="1" applyAlignment="1">
      <alignment horizontal="center"/>
    </xf>
    <xf numFmtId="0" fontId="1" fillId="0" borderId="7" xfId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2" fontId="1" fillId="2" borderId="4" xfId="1" applyNumberFormat="1" applyFill="1" applyBorder="1" applyAlignment="1">
      <alignment horizontal="center" wrapText="1"/>
    </xf>
    <xf numFmtId="0" fontId="3" fillId="0" borderId="6" xfId="1" applyFont="1" applyBorder="1" applyAlignment="1">
      <alignment vertical="center" wrapText="1"/>
    </xf>
    <xf numFmtId="164" fontId="1" fillId="2" borderId="6" xfId="1" applyNumberFormat="1" applyFill="1" applyBorder="1" applyAlignment="1">
      <alignment horizontal="center" wrapText="1"/>
    </xf>
    <xf numFmtId="0" fontId="6" fillId="0" borderId="6" xfId="0" applyFont="1" applyBorder="1"/>
    <xf numFmtId="0" fontId="7" fillId="0" borderId="6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left" wrapText="1"/>
    </xf>
    <xf numFmtId="0" fontId="1" fillId="0" borderId="4" xfId="1" applyNumberFormat="1" applyFont="1" applyBorder="1" applyAlignment="1">
      <alignment horizontal="center" vertical="center" wrapText="1"/>
    </xf>
    <xf numFmtId="166" fontId="1" fillId="2" borderId="6" xfId="1" applyNumberFormat="1" applyFill="1" applyBorder="1" applyAlignment="1">
      <alignment horizontal="center"/>
    </xf>
    <xf numFmtId="2" fontId="1" fillId="0" borderId="6" xfId="1" applyNumberForma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166" fontId="1" fillId="0" borderId="6" xfId="1" applyNumberForma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165" fontId="3" fillId="0" borderId="5" xfId="1" applyNumberFormat="1" applyFont="1" applyBorder="1" applyAlignment="1">
      <alignment horizont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" fillId="0" borderId="5" xfId="1" applyBorder="1" applyAlignment="1">
      <alignment horizontal="center" wrapText="1"/>
    </xf>
    <xf numFmtId="16" fontId="1" fillId="0" borderId="6" xfId="1" applyNumberFormat="1" applyBorder="1" applyAlignment="1">
      <alignment horizontal="center"/>
    </xf>
    <xf numFmtId="0" fontId="1" fillId="0" borderId="0" xfId="1" applyAlignment="1">
      <alignment horizontal="left" wrapText="1"/>
    </xf>
    <xf numFmtId="1" fontId="1" fillId="0" borderId="0" xfId="1" applyNumberFormat="1" applyFont="1" applyAlignment="1">
      <alignment horizontal="center"/>
    </xf>
    <xf numFmtId="0" fontId="1" fillId="0" borderId="0" xfId="1" applyAlignment="1">
      <alignment horizontal="center" vertical="center"/>
    </xf>
    <xf numFmtId="164" fontId="1" fillId="0" borderId="3" xfId="1" applyNumberFormat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2" fontId="1" fillId="2" borderId="2" xfId="1" applyNumberFormat="1" applyFill="1" applyBorder="1" applyAlignment="1">
      <alignment horizontal="center" wrapText="1"/>
    </xf>
    <xf numFmtId="2" fontId="1" fillId="2" borderId="5" xfId="1" applyNumberFormat="1" applyFill="1" applyBorder="1" applyAlignment="1">
      <alignment horizontal="center" wrapText="1"/>
    </xf>
    <xf numFmtId="0" fontId="2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0" borderId="2" xfId="1" applyBorder="1" applyAlignment="1">
      <alignment horizontal="left" wrapText="1"/>
    </xf>
    <xf numFmtId="0" fontId="1" fillId="0" borderId="5" xfId="1" applyBorder="1" applyAlignment="1">
      <alignment horizontal="left" wrapText="1"/>
    </xf>
    <xf numFmtId="0" fontId="1" fillId="0" borderId="2" xfId="1" applyBorder="1" applyAlignment="1">
      <alignment horizontal="center"/>
    </xf>
    <xf numFmtId="0" fontId="1" fillId="0" borderId="5" xfId="1" applyBorder="1" applyAlignment="1">
      <alignment horizontal="center"/>
    </xf>
    <xf numFmtId="2" fontId="1" fillId="0" borderId="2" xfId="1" applyNumberFormat="1" applyBorder="1" applyAlignment="1">
      <alignment horizontal="center" wrapText="1"/>
    </xf>
    <xf numFmtId="2" fontId="1" fillId="0" borderId="5" xfId="1" applyNumberFormat="1" applyBorder="1" applyAlignment="1">
      <alignment horizontal="center" wrapText="1"/>
    </xf>
    <xf numFmtId="164" fontId="1" fillId="0" borderId="2" xfId="1" applyNumberFormat="1" applyBorder="1" applyAlignment="1">
      <alignment horizontal="center" wrapText="1"/>
    </xf>
    <xf numFmtId="164" fontId="1" fillId="0" borderId="5" xfId="1" applyNumberFormat="1" applyBorder="1" applyAlignment="1">
      <alignment horizontal="center" wrapText="1"/>
    </xf>
    <xf numFmtId="1" fontId="1" fillId="0" borderId="2" xfId="1" applyNumberFormat="1" applyBorder="1" applyAlignment="1">
      <alignment horizontal="center" wrapText="1"/>
    </xf>
    <xf numFmtId="1" fontId="1" fillId="0" borderId="5" xfId="1" applyNumberFormat="1" applyBorder="1" applyAlignment="1">
      <alignment horizont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3" fillId="0" borderId="6" xfId="1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MI%20STOCK/Buffer%20Stock%20POMI/Weekly%20Report%20Buffer%20Stock/Weekly%202025/011125%20Stock%20POMI%20Nopember%202025%20POH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     1"/>
      <sheetName val="Week  (2)"/>
      <sheetName val="Week  (3)"/>
      <sheetName val="Week  (4)"/>
    </sheetNames>
    <sheetDataSet>
      <sheetData sheetId="0"/>
      <sheetData sheetId="1"/>
      <sheetData sheetId="2">
        <row r="6">
          <cell r="U6">
            <v>2</v>
          </cell>
        </row>
        <row r="7">
          <cell r="U7">
            <v>1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1</v>
          </cell>
        </row>
        <row r="11">
          <cell r="U11">
            <v>0</v>
          </cell>
        </row>
        <row r="12">
          <cell r="U12">
            <v>17</v>
          </cell>
        </row>
        <row r="13">
          <cell r="U13">
            <v>26</v>
          </cell>
        </row>
        <row r="14">
          <cell r="U14">
            <v>8</v>
          </cell>
        </row>
        <row r="15">
          <cell r="U15">
            <v>0</v>
          </cell>
        </row>
        <row r="16">
          <cell r="U16">
            <v>11</v>
          </cell>
        </row>
        <row r="17">
          <cell r="U17">
            <v>3</v>
          </cell>
        </row>
        <row r="18">
          <cell r="U18">
            <v>7</v>
          </cell>
        </row>
        <row r="19">
          <cell r="U19">
            <v>0</v>
          </cell>
        </row>
        <row r="20">
          <cell r="U20">
            <v>5</v>
          </cell>
        </row>
        <row r="21">
          <cell r="U21">
            <v>6</v>
          </cell>
        </row>
        <row r="22">
          <cell r="U22">
            <v>14</v>
          </cell>
        </row>
        <row r="23">
          <cell r="U23">
            <v>30</v>
          </cell>
        </row>
        <row r="24">
          <cell r="U24">
            <v>8</v>
          </cell>
        </row>
        <row r="25">
          <cell r="U25">
            <v>16</v>
          </cell>
        </row>
        <row r="26">
          <cell r="U26">
            <v>10</v>
          </cell>
        </row>
        <row r="27">
          <cell r="U27">
            <v>10</v>
          </cell>
        </row>
        <row r="28">
          <cell r="U28">
            <v>18</v>
          </cell>
        </row>
        <row r="29">
          <cell r="U29">
            <v>12</v>
          </cell>
        </row>
        <row r="30">
          <cell r="U30">
            <v>15</v>
          </cell>
        </row>
        <row r="31">
          <cell r="U31">
            <v>18</v>
          </cell>
        </row>
        <row r="32">
          <cell r="U32">
            <v>8</v>
          </cell>
        </row>
        <row r="33">
          <cell r="U33">
            <v>21</v>
          </cell>
        </row>
        <row r="34">
          <cell r="U34">
            <v>1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34</v>
          </cell>
        </row>
        <row r="38">
          <cell r="U38">
            <v>26</v>
          </cell>
        </row>
        <row r="39">
          <cell r="U39">
            <v>16</v>
          </cell>
        </row>
        <row r="40">
          <cell r="U40">
            <v>6</v>
          </cell>
        </row>
        <row r="41">
          <cell r="U41">
            <v>13</v>
          </cell>
        </row>
        <row r="42">
          <cell r="U42">
            <v>19</v>
          </cell>
        </row>
        <row r="43">
          <cell r="U43">
            <v>15</v>
          </cell>
        </row>
        <row r="44">
          <cell r="U44">
            <v>12</v>
          </cell>
        </row>
        <row r="45">
          <cell r="U45">
            <v>0</v>
          </cell>
        </row>
        <row r="46">
          <cell r="U46">
            <v>2</v>
          </cell>
        </row>
        <row r="47">
          <cell r="U47">
            <v>1.52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0.66857142857142882</v>
          </cell>
        </row>
        <row r="52">
          <cell r="U52">
            <v>1.4</v>
          </cell>
        </row>
        <row r="53">
          <cell r="U53">
            <v>4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1</v>
          </cell>
        </row>
        <row r="57">
          <cell r="U57">
            <v>5</v>
          </cell>
        </row>
        <row r="58">
          <cell r="U58">
            <v>0</v>
          </cell>
        </row>
        <row r="59">
          <cell r="U59">
            <v>3.8724999999999987</v>
          </cell>
        </row>
        <row r="60">
          <cell r="U60">
            <v>0</v>
          </cell>
        </row>
        <row r="61">
          <cell r="U61">
            <v>2</v>
          </cell>
        </row>
        <row r="62">
          <cell r="U62">
            <v>0</v>
          </cell>
        </row>
        <row r="63">
          <cell r="U63">
            <v>5</v>
          </cell>
        </row>
        <row r="64">
          <cell r="U64">
            <v>6</v>
          </cell>
        </row>
        <row r="65">
          <cell r="U65">
            <v>4</v>
          </cell>
        </row>
        <row r="66">
          <cell r="U66">
            <v>3</v>
          </cell>
        </row>
        <row r="67">
          <cell r="U67">
            <v>4</v>
          </cell>
        </row>
        <row r="68">
          <cell r="U68">
            <v>4</v>
          </cell>
        </row>
        <row r="69">
          <cell r="U69">
            <v>23</v>
          </cell>
        </row>
        <row r="70">
          <cell r="U70">
            <v>3</v>
          </cell>
        </row>
        <row r="71">
          <cell r="U71">
            <v>2</v>
          </cell>
        </row>
        <row r="72">
          <cell r="U72">
            <v>1</v>
          </cell>
        </row>
        <row r="73">
          <cell r="U73">
            <v>10</v>
          </cell>
        </row>
        <row r="74">
          <cell r="U74">
            <v>8</v>
          </cell>
        </row>
        <row r="75">
          <cell r="U75">
            <v>5</v>
          </cell>
        </row>
        <row r="76">
          <cell r="U76">
            <v>1</v>
          </cell>
        </row>
        <row r="77">
          <cell r="U77">
            <v>9</v>
          </cell>
        </row>
        <row r="78">
          <cell r="U78">
            <v>7</v>
          </cell>
        </row>
        <row r="79">
          <cell r="U79">
            <v>7</v>
          </cell>
        </row>
        <row r="80">
          <cell r="U80">
            <v>6</v>
          </cell>
        </row>
        <row r="81">
          <cell r="U81">
            <v>4</v>
          </cell>
        </row>
        <row r="82">
          <cell r="U82">
            <v>7</v>
          </cell>
        </row>
        <row r="83">
          <cell r="U83">
            <v>8</v>
          </cell>
        </row>
        <row r="84">
          <cell r="U84">
            <v>19</v>
          </cell>
        </row>
        <row r="85">
          <cell r="U85">
            <v>0</v>
          </cell>
        </row>
        <row r="86">
          <cell r="U86">
            <v>5</v>
          </cell>
        </row>
        <row r="87">
          <cell r="U87">
            <v>0</v>
          </cell>
        </row>
        <row r="88">
          <cell r="U88">
            <v>2</v>
          </cell>
        </row>
        <row r="89">
          <cell r="U89">
            <v>5</v>
          </cell>
        </row>
        <row r="90">
          <cell r="U90">
            <v>4</v>
          </cell>
        </row>
        <row r="91">
          <cell r="U91">
            <v>5</v>
          </cell>
        </row>
        <row r="92">
          <cell r="U92">
            <v>5</v>
          </cell>
        </row>
        <row r="93">
          <cell r="U93">
            <v>9</v>
          </cell>
        </row>
        <row r="94">
          <cell r="U94">
            <v>7</v>
          </cell>
        </row>
        <row r="95">
          <cell r="U95">
            <v>10</v>
          </cell>
        </row>
        <row r="96">
          <cell r="U96">
            <v>6</v>
          </cell>
        </row>
        <row r="97">
          <cell r="U97">
            <v>6</v>
          </cell>
        </row>
        <row r="98">
          <cell r="U98">
            <v>14.5</v>
          </cell>
        </row>
        <row r="99">
          <cell r="U99">
            <v>9.5</v>
          </cell>
        </row>
        <row r="100">
          <cell r="U100">
            <v>3</v>
          </cell>
        </row>
        <row r="101">
          <cell r="U101">
            <v>6.5</v>
          </cell>
        </row>
        <row r="102">
          <cell r="U102">
            <v>5</v>
          </cell>
        </row>
        <row r="103">
          <cell r="U103">
            <v>9</v>
          </cell>
        </row>
        <row r="104">
          <cell r="U104">
            <v>14</v>
          </cell>
        </row>
        <row r="105">
          <cell r="U105">
            <v>1</v>
          </cell>
        </row>
        <row r="106">
          <cell r="U106">
            <v>15</v>
          </cell>
        </row>
        <row r="107">
          <cell r="U107">
            <v>7</v>
          </cell>
        </row>
        <row r="108">
          <cell r="U108">
            <v>5</v>
          </cell>
        </row>
        <row r="109">
          <cell r="U109">
            <v>6</v>
          </cell>
        </row>
        <row r="110">
          <cell r="U110">
            <v>14</v>
          </cell>
        </row>
        <row r="111">
          <cell r="U111">
            <v>5</v>
          </cell>
        </row>
        <row r="112">
          <cell r="U112">
            <v>0</v>
          </cell>
        </row>
        <row r="113">
          <cell r="U113">
            <v>4</v>
          </cell>
        </row>
        <row r="114">
          <cell r="U114">
            <v>1</v>
          </cell>
        </row>
        <row r="115">
          <cell r="U115">
            <v>2</v>
          </cell>
        </row>
        <row r="116">
          <cell r="U116">
            <v>11</v>
          </cell>
        </row>
        <row r="117">
          <cell r="U117">
            <v>4</v>
          </cell>
        </row>
        <row r="118">
          <cell r="U118">
            <v>6</v>
          </cell>
        </row>
        <row r="119">
          <cell r="U119">
            <v>5</v>
          </cell>
        </row>
        <row r="120">
          <cell r="U120">
            <v>0</v>
          </cell>
        </row>
        <row r="121">
          <cell r="U121">
            <v>2</v>
          </cell>
        </row>
        <row r="122">
          <cell r="U122">
            <v>2</v>
          </cell>
        </row>
        <row r="123">
          <cell r="U123">
            <v>7</v>
          </cell>
        </row>
        <row r="124">
          <cell r="U124">
            <v>0</v>
          </cell>
        </row>
        <row r="125">
          <cell r="U125">
            <v>0</v>
          </cell>
        </row>
        <row r="126">
          <cell r="U126">
            <v>5</v>
          </cell>
        </row>
        <row r="127">
          <cell r="U127">
            <v>2</v>
          </cell>
        </row>
        <row r="128">
          <cell r="U128">
            <v>40</v>
          </cell>
        </row>
        <row r="129">
          <cell r="U129">
            <v>2</v>
          </cell>
        </row>
        <row r="130">
          <cell r="U130">
            <v>0</v>
          </cell>
        </row>
        <row r="131">
          <cell r="U131">
            <v>2</v>
          </cell>
        </row>
        <row r="132">
          <cell r="U132">
            <v>2</v>
          </cell>
        </row>
        <row r="133">
          <cell r="U133">
            <v>13</v>
          </cell>
        </row>
        <row r="134">
          <cell r="U134">
            <v>18</v>
          </cell>
        </row>
        <row r="135">
          <cell r="U135">
            <v>0</v>
          </cell>
        </row>
        <row r="136">
          <cell r="U136">
            <v>34</v>
          </cell>
        </row>
        <row r="137">
          <cell r="U137">
            <v>100</v>
          </cell>
        </row>
        <row r="138">
          <cell r="U138">
            <v>68</v>
          </cell>
        </row>
        <row r="139">
          <cell r="U139">
            <v>8</v>
          </cell>
        </row>
        <row r="140">
          <cell r="U140">
            <v>0</v>
          </cell>
        </row>
        <row r="141">
          <cell r="U141">
            <v>0</v>
          </cell>
        </row>
        <row r="142">
          <cell r="U142">
            <v>3</v>
          </cell>
        </row>
        <row r="143">
          <cell r="U143">
            <v>4</v>
          </cell>
        </row>
        <row r="144">
          <cell r="U144">
            <v>14</v>
          </cell>
        </row>
        <row r="145">
          <cell r="U145">
            <v>0</v>
          </cell>
        </row>
        <row r="146">
          <cell r="U146">
            <v>17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20</v>
          </cell>
        </row>
        <row r="151">
          <cell r="U151">
            <v>1</v>
          </cell>
        </row>
        <row r="152">
          <cell r="U152">
            <v>1</v>
          </cell>
        </row>
        <row r="153">
          <cell r="U153">
            <v>4</v>
          </cell>
        </row>
        <row r="154">
          <cell r="U154">
            <v>2</v>
          </cell>
        </row>
        <row r="155">
          <cell r="U155">
            <v>0</v>
          </cell>
        </row>
        <row r="156">
          <cell r="U156">
            <v>23</v>
          </cell>
        </row>
        <row r="157">
          <cell r="U157">
            <v>2</v>
          </cell>
        </row>
        <row r="158">
          <cell r="U158">
            <v>15</v>
          </cell>
        </row>
        <row r="159">
          <cell r="U159">
            <v>4</v>
          </cell>
        </row>
        <row r="160">
          <cell r="U160">
            <v>7</v>
          </cell>
        </row>
        <row r="161">
          <cell r="U161">
            <v>20</v>
          </cell>
        </row>
        <row r="162">
          <cell r="U162">
            <v>4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8</v>
          </cell>
        </row>
        <row r="166">
          <cell r="U166">
            <v>5</v>
          </cell>
        </row>
        <row r="167">
          <cell r="U167">
            <v>3</v>
          </cell>
        </row>
        <row r="168">
          <cell r="U168">
            <v>16</v>
          </cell>
        </row>
        <row r="169">
          <cell r="U169">
            <v>7</v>
          </cell>
        </row>
        <row r="170">
          <cell r="U170">
            <v>5</v>
          </cell>
        </row>
        <row r="171">
          <cell r="U171">
            <v>15</v>
          </cell>
        </row>
        <row r="172">
          <cell r="U172">
            <v>12</v>
          </cell>
        </row>
        <row r="173">
          <cell r="U173">
            <v>10</v>
          </cell>
        </row>
        <row r="174">
          <cell r="U174">
            <v>7</v>
          </cell>
        </row>
        <row r="175">
          <cell r="U175">
            <v>5</v>
          </cell>
        </row>
        <row r="176">
          <cell r="U176">
            <v>1</v>
          </cell>
        </row>
        <row r="177">
          <cell r="U177">
            <v>0</v>
          </cell>
        </row>
        <row r="178">
          <cell r="U178">
            <v>0</v>
          </cell>
        </row>
        <row r="179">
          <cell r="U179">
            <v>15</v>
          </cell>
        </row>
        <row r="180">
          <cell r="U180">
            <v>8</v>
          </cell>
        </row>
        <row r="181">
          <cell r="U181">
            <v>22</v>
          </cell>
        </row>
        <row r="182">
          <cell r="U182">
            <v>0</v>
          </cell>
        </row>
        <row r="183">
          <cell r="U183">
            <v>0</v>
          </cell>
        </row>
        <row r="184">
          <cell r="U184">
            <v>3</v>
          </cell>
        </row>
        <row r="185">
          <cell r="U185">
            <v>1</v>
          </cell>
        </row>
        <row r="186">
          <cell r="U186">
            <v>3</v>
          </cell>
        </row>
        <row r="187">
          <cell r="U187">
            <v>3</v>
          </cell>
        </row>
        <row r="188">
          <cell r="U188">
            <v>3</v>
          </cell>
        </row>
        <row r="189">
          <cell r="U189">
            <v>4</v>
          </cell>
        </row>
        <row r="190">
          <cell r="U190">
            <v>3</v>
          </cell>
        </row>
        <row r="191">
          <cell r="U191">
            <v>3</v>
          </cell>
        </row>
        <row r="192">
          <cell r="U192">
            <v>0</v>
          </cell>
        </row>
        <row r="193">
          <cell r="U193">
            <v>0</v>
          </cell>
        </row>
        <row r="194">
          <cell r="U194">
            <v>3.9999999999999982</v>
          </cell>
        </row>
        <row r="195">
          <cell r="U195">
            <v>4</v>
          </cell>
        </row>
        <row r="196">
          <cell r="U196">
            <v>3</v>
          </cell>
        </row>
        <row r="197">
          <cell r="U197">
            <v>3</v>
          </cell>
        </row>
        <row r="198">
          <cell r="U198">
            <v>16</v>
          </cell>
        </row>
        <row r="199">
          <cell r="U199">
            <v>7</v>
          </cell>
        </row>
        <row r="200">
          <cell r="U200">
            <v>3</v>
          </cell>
        </row>
        <row r="201">
          <cell r="U201">
            <v>7</v>
          </cell>
        </row>
        <row r="202">
          <cell r="U202">
            <v>9</v>
          </cell>
        </row>
        <row r="203">
          <cell r="U203">
            <v>12</v>
          </cell>
        </row>
        <row r="204">
          <cell r="U204">
            <v>9</v>
          </cell>
        </row>
        <row r="205">
          <cell r="U205">
            <v>3</v>
          </cell>
        </row>
        <row r="206">
          <cell r="U206">
            <v>1</v>
          </cell>
        </row>
        <row r="207">
          <cell r="U207">
            <v>9</v>
          </cell>
        </row>
        <row r="208">
          <cell r="U208">
            <v>5</v>
          </cell>
        </row>
        <row r="209">
          <cell r="U209">
            <v>20</v>
          </cell>
        </row>
        <row r="210">
          <cell r="U210">
            <v>21</v>
          </cell>
        </row>
        <row r="211">
          <cell r="U211">
            <v>5</v>
          </cell>
        </row>
        <row r="212">
          <cell r="U212">
            <v>16</v>
          </cell>
        </row>
        <row r="213">
          <cell r="U213">
            <v>18</v>
          </cell>
        </row>
        <row r="214">
          <cell r="U214">
            <v>0</v>
          </cell>
        </row>
        <row r="215">
          <cell r="U215">
            <v>6</v>
          </cell>
        </row>
        <row r="216">
          <cell r="U216">
            <v>3</v>
          </cell>
        </row>
        <row r="217">
          <cell r="U217">
            <v>0</v>
          </cell>
        </row>
        <row r="218">
          <cell r="U218">
            <v>0</v>
          </cell>
        </row>
        <row r="219">
          <cell r="U219">
            <v>14</v>
          </cell>
        </row>
        <row r="220">
          <cell r="U220">
            <v>0</v>
          </cell>
        </row>
        <row r="221">
          <cell r="U221">
            <v>20</v>
          </cell>
        </row>
        <row r="222">
          <cell r="U222">
            <v>16</v>
          </cell>
        </row>
        <row r="223">
          <cell r="U223">
            <v>1</v>
          </cell>
        </row>
        <row r="224">
          <cell r="U224">
            <v>13</v>
          </cell>
        </row>
        <row r="225">
          <cell r="U225">
            <v>1</v>
          </cell>
        </row>
        <row r="226">
          <cell r="U226">
            <v>0</v>
          </cell>
        </row>
        <row r="227">
          <cell r="U227">
            <v>12</v>
          </cell>
        </row>
        <row r="228">
          <cell r="U228">
            <v>4</v>
          </cell>
        </row>
        <row r="229">
          <cell r="U229">
            <v>0</v>
          </cell>
        </row>
        <row r="230">
          <cell r="U230">
            <v>0</v>
          </cell>
        </row>
        <row r="231">
          <cell r="U231">
            <v>5</v>
          </cell>
        </row>
        <row r="232">
          <cell r="U232">
            <v>19</v>
          </cell>
        </row>
        <row r="233">
          <cell r="U233">
            <v>6</v>
          </cell>
        </row>
        <row r="234">
          <cell r="U234">
            <v>0</v>
          </cell>
        </row>
        <row r="235">
          <cell r="U235">
            <v>0</v>
          </cell>
        </row>
        <row r="236">
          <cell r="U236">
            <v>16</v>
          </cell>
        </row>
        <row r="237">
          <cell r="U237">
            <v>9</v>
          </cell>
        </row>
        <row r="238">
          <cell r="U238">
            <v>1</v>
          </cell>
        </row>
        <row r="239">
          <cell r="U239">
            <v>0</v>
          </cell>
        </row>
        <row r="240">
          <cell r="U240">
            <v>2</v>
          </cell>
        </row>
        <row r="241">
          <cell r="U241">
            <v>0</v>
          </cell>
        </row>
        <row r="242">
          <cell r="U242">
            <v>0</v>
          </cell>
        </row>
        <row r="243">
          <cell r="U243">
            <v>0</v>
          </cell>
        </row>
        <row r="244">
          <cell r="U244">
            <v>10</v>
          </cell>
        </row>
        <row r="245">
          <cell r="U245">
            <v>0</v>
          </cell>
        </row>
        <row r="246">
          <cell r="U246">
            <v>10</v>
          </cell>
        </row>
        <row r="247">
          <cell r="U247">
            <v>15</v>
          </cell>
        </row>
        <row r="248">
          <cell r="U248">
            <v>30</v>
          </cell>
        </row>
        <row r="249">
          <cell r="U249">
            <v>8</v>
          </cell>
        </row>
        <row r="250">
          <cell r="U250">
            <v>5</v>
          </cell>
        </row>
        <row r="251">
          <cell r="U251">
            <v>1</v>
          </cell>
        </row>
        <row r="252">
          <cell r="U252">
            <v>36</v>
          </cell>
        </row>
        <row r="253">
          <cell r="U253">
            <v>0</v>
          </cell>
        </row>
        <row r="254">
          <cell r="U254">
            <v>19</v>
          </cell>
        </row>
        <row r="255">
          <cell r="U255">
            <v>0</v>
          </cell>
        </row>
        <row r="256">
          <cell r="U256">
            <v>0</v>
          </cell>
        </row>
        <row r="257">
          <cell r="U257">
            <v>2</v>
          </cell>
        </row>
        <row r="258">
          <cell r="U258">
            <v>2</v>
          </cell>
        </row>
        <row r="259">
          <cell r="U259">
            <v>2</v>
          </cell>
        </row>
        <row r="260">
          <cell r="U260">
            <v>23</v>
          </cell>
        </row>
        <row r="261">
          <cell r="U261">
            <v>53</v>
          </cell>
        </row>
        <row r="262">
          <cell r="U262">
            <v>0</v>
          </cell>
        </row>
        <row r="263">
          <cell r="U263">
            <v>4</v>
          </cell>
        </row>
        <row r="264">
          <cell r="U264">
            <v>2</v>
          </cell>
        </row>
        <row r="265">
          <cell r="U265">
            <v>5</v>
          </cell>
        </row>
        <row r="266">
          <cell r="U266">
            <v>5</v>
          </cell>
        </row>
        <row r="267">
          <cell r="U267">
            <v>4</v>
          </cell>
        </row>
        <row r="268">
          <cell r="U268">
            <v>5</v>
          </cell>
        </row>
        <row r="269">
          <cell r="U269">
            <v>5</v>
          </cell>
        </row>
        <row r="270">
          <cell r="U270">
            <v>8</v>
          </cell>
        </row>
        <row r="271">
          <cell r="U271">
            <v>6</v>
          </cell>
        </row>
        <row r="272">
          <cell r="U272">
            <v>8</v>
          </cell>
        </row>
        <row r="273">
          <cell r="U273">
            <v>0</v>
          </cell>
        </row>
        <row r="274">
          <cell r="U274">
            <v>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Q275"/>
  <sheetViews>
    <sheetView tabSelected="1" zoomScale="95" zoomScaleNormal="95" workbookViewId="0">
      <pane xSplit="5" ySplit="5" topLeftCell="F147" activePane="bottomRight" state="frozenSplit"/>
      <selection activeCell="P25" sqref="P25"/>
      <selection pane="topRight" activeCell="P25" sqref="P25"/>
      <selection pane="bottomLeft" activeCell="P25" sqref="P25"/>
      <selection pane="bottomRight" activeCell="C34" sqref="C34"/>
    </sheetView>
  </sheetViews>
  <sheetFormatPr defaultRowHeight="12.75" x14ac:dyDescent="0.2"/>
  <cols>
    <col min="1" max="1" width="9.5703125" style="14" customWidth="1"/>
    <col min="2" max="2" width="30.7109375" style="82" customWidth="1"/>
    <col min="3" max="4" width="14.7109375" style="16" customWidth="1"/>
    <col min="5" max="5" width="10.42578125" style="17" customWidth="1"/>
    <col min="6" max="6" width="11.85546875" style="18" customWidth="1"/>
    <col min="7" max="7" width="8.28515625" style="19" customWidth="1"/>
    <col min="8" max="8" width="17.28515625" style="21" customWidth="1"/>
    <col min="9" max="9" width="6.140625" style="19" customWidth="1"/>
    <col min="10" max="10" width="15.140625" style="20" customWidth="1"/>
    <col min="11" max="11" width="9.140625" style="19"/>
    <col min="12" max="12" width="15.7109375" style="21" customWidth="1"/>
    <col min="13" max="13" width="6.85546875" style="84" customWidth="1"/>
    <col min="14" max="14" width="13.28515625" style="21" customWidth="1"/>
    <col min="15" max="15" width="9.42578125" style="16" customWidth="1"/>
    <col min="16" max="16" width="12.85546875" style="20" customWidth="1"/>
    <col min="17" max="17" width="10.140625" style="16" customWidth="1"/>
    <col min="18" max="18" width="11.140625" style="21" customWidth="1"/>
    <col min="19" max="19" width="7" style="16" customWidth="1"/>
    <col min="20" max="20" width="10.85546875" style="16" customWidth="1"/>
    <col min="21" max="21" width="5.85546875" style="16" customWidth="1"/>
    <col min="22" max="22" width="10" style="1" customWidth="1"/>
    <col min="23" max="256" width="9.140625" style="2"/>
    <col min="257" max="257" width="9.5703125" style="2" customWidth="1"/>
    <col min="258" max="258" width="30.7109375" style="2" customWidth="1"/>
    <col min="259" max="259" width="14.7109375" style="2" customWidth="1"/>
    <col min="260" max="260" width="8.28515625" style="2" customWidth="1"/>
    <col min="261" max="261" width="11.85546875" style="2" customWidth="1"/>
    <col min="262" max="262" width="8.28515625" style="2" customWidth="1"/>
    <col min="263" max="263" width="17.28515625" style="2" customWidth="1"/>
    <col min="264" max="264" width="6.140625" style="2" customWidth="1"/>
    <col min="265" max="265" width="15.140625" style="2" customWidth="1"/>
    <col min="266" max="266" width="9.140625" style="2"/>
    <col min="267" max="267" width="15" style="2" customWidth="1"/>
    <col min="268" max="268" width="6.85546875" style="2" customWidth="1"/>
    <col min="269" max="269" width="13.28515625" style="2" customWidth="1"/>
    <col min="270" max="270" width="9.42578125" style="2" customWidth="1"/>
    <col min="271" max="271" width="11" style="2" customWidth="1"/>
    <col min="272" max="272" width="10.140625" style="2" customWidth="1"/>
    <col min="273" max="273" width="11.140625" style="2" customWidth="1"/>
    <col min="274" max="274" width="7" style="2" customWidth="1"/>
    <col min="275" max="275" width="10.85546875" style="2" customWidth="1"/>
    <col min="276" max="276" width="5.85546875" style="2" customWidth="1"/>
    <col min="277" max="277" width="10" style="2" customWidth="1"/>
    <col min="278" max="512" width="9.140625" style="2"/>
    <col min="513" max="513" width="9.5703125" style="2" customWidth="1"/>
    <col min="514" max="514" width="30.7109375" style="2" customWidth="1"/>
    <col min="515" max="515" width="14.7109375" style="2" customWidth="1"/>
    <col min="516" max="516" width="8.28515625" style="2" customWidth="1"/>
    <col min="517" max="517" width="11.85546875" style="2" customWidth="1"/>
    <col min="518" max="518" width="8.28515625" style="2" customWidth="1"/>
    <col min="519" max="519" width="17.28515625" style="2" customWidth="1"/>
    <col min="520" max="520" width="6.140625" style="2" customWidth="1"/>
    <col min="521" max="521" width="15.140625" style="2" customWidth="1"/>
    <col min="522" max="522" width="9.140625" style="2"/>
    <col min="523" max="523" width="15" style="2" customWidth="1"/>
    <col min="524" max="524" width="6.85546875" style="2" customWidth="1"/>
    <col min="525" max="525" width="13.28515625" style="2" customWidth="1"/>
    <col min="526" max="526" width="9.42578125" style="2" customWidth="1"/>
    <col min="527" max="527" width="11" style="2" customWidth="1"/>
    <col min="528" max="528" width="10.140625" style="2" customWidth="1"/>
    <col min="529" max="529" width="11.140625" style="2" customWidth="1"/>
    <col min="530" max="530" width="7" style="2" customWidth="1"/>
    <col min="531" max="531" width="10.85546875" style="2" customWidth="1"/>
    <col min="532" max="532" width="5.85546875" style="2" customWidth="1"/>
    <col min="533" max="533" width="10" style="2" customWidth="1"/>
    <col min="534" max="768" width="9.140625" style="2"/>
    <col min="769" max="769" width="9.5703125" style="2" customWidth="1"/>
    <col min="770" max="770" width="30.7109375" style="2" customWidth="1"/>
    <col min="771" max="771" width="14.7109375" style="2" customWidth="1"/>
    <col min="772" max="772" width="8.28515625" style="2" customWidth="1"/>
    <col min="773" max="773" width="11.85546875" style="2" customWidth="1"/>
    <col min="774" max="774" width="8.28515625" style="2" customWidth="1"/>
    <col min="775" max="775" width="17.28515625" style="2" customWidth="1"/>
    <col min="776" max="776" width="6.140625" style="2" customWidth="1"/>
    <col min="777" max="777" width="15.140625" style="2" customWidth="1"/>
    <col min="778" max="778" width="9.140625" style="2"/>
    <col min="779" max="779" width="15" style="2" customWidth="1"/>
    <col min="780" max="780" width="6.85546875" style="2" customWidth="1"/>
    <col min="781" max="781" width="13.28515625" style="2" customWidth="1"/>
    <col min="782" max="782" width="9.42578125" style="2" customWidth="1"/>
    <col min="783" max="783" width="11" style="2" customWidth="1"/>
    <col min="784" max="784" width="10.140625" style="2" customWidth="1"/>
    <col min="785" max="785" width="11.140625" style="2" customWidth="1"/>
    <col min="786" max="786" width="7" style="2" customWidth="1"/>
    <col min="787" max="787" width="10.85546875" style="2" customWidth="1"/>
    <col min="788" max="788" width="5.85546875" style="2" customWidth="1"/>
    <col min="789" max="789" width="10" style="2" customWidth="1"/>
    <col min="790" max="1024" width="9.140625" style="2"/>
    <col min="1025" max="1025" width="9.5703125" style="2" customWidth="1"/>
    <col min="1026" max="1026" width="30.7109375" style="2" customWidth="1"/>
    <col min="1027" max="1027" width="14.7109375" style="2" customWidth="1"/>
    <col min="1028" max="1028" width="8.28515625" style="2" customWidth="1"/>
    <col min="1029" max="1029" width="11.85546875" style="2" customWidth="1"/>
    <col min="1030" max="1030" width="8.28515625" style="2" customWidth="1"/>
    <col min="1031" max="1031" width="17.28515625" style="2" customWidth="1"/>
    <col min="1032" max="1032" width="6.140625" style="2" customWidth="1"/>
    <col min="1033" max="1033" width="15.140625" style="2" customWidth="1"/>
    <col min="1034" max="1034" width="9.140625" style="2"/>
    <col min="1035" max="1035" width="15" style="2" customWidth="1"/>
    <col min="1036" max="1036" width="6.85546875" style="2" customWidth="1"/>
    <col min="1037" max="1037" width="13.28515625" style="2" customWidth="1"/>
    <col min="1038" max="1038" width="9.42578125" style="2" customWidth="1"/>
    <col min="1039" max="1039" width="11" style="2" customWidth="1"/>
    <col min="1040" max="1040" width="10.140625" style="2" customWidth="1"/>
    <col min="1041" max="1041" width="11.140625" style="2" customWidth="1"/>
    <col min="1042" max="1042" width="7" style="2" customWidth="1"/>
    <col min="1043" max="1043" width="10.85546875" style="2" customWidth="1"/>
    <col min="1044" max="1044" width="5.85546875" style="2" customWidth="1"/>
    <col min="1045" max="1045" width="10" style="2" customWidth="1"/>
    <col min="1046" max="1280" width="9.140625" style="2"/>
    <col min="1281" max="1281" width="9.5703125" style="2" customWidth="1"/>
    <col min="1282" max="1282" width="30.7109375" style="2" customWidth="1"/>
    <col min="1283" max="1283" width="14.7109375" style="2" customWidth="1"/>
    <col min="1284" max="1284" width="8.28515625" style="2" customWidth="1"/>
    <col min="1285" max="1285" width="11.85546875" style="2" customWidth="1"/>
    <col min="1286" max="1286" width="8.28515625" style="2" customWidth="1"/>
    <col min="1287" max="1287" width="17.28515625" style="2" customWidth="1"/>
    <col min="1288" max="1288" width="6.140625" style="2" customWidth="1"/>
    <col min="1289" max="1289" width="15.140625" style="2" customWidth="1"/>
    <col min="1290" max="1290" width="9.140625" style="2"/>
    <col min="1291" max="1291" width="15" style="2" customWidth="1"/>
    <col min="1292" max="1292" width="6.85546875" style="2" customWidth="1"/>
    <col min="1293" max="1293" width="13.28515625" style="2" customWidth="1"/>
    <col min="1294" max="1294" width="9.42578125" style="2" customWidth="1"/>
    <col min="1295" max="1295" width="11" style="2" customWidth="1"/>
    <col min="1296" max="1296" width="10.140625" style="2" customWidth="1"/>
    <col min="1297" max="1297" width="11.140625" style="2" customWidth="1"/>
    <col min="1298" max="1298" width="7" style="2" customWidth="1"/>
    <col min="1299" max="1299" width="10.85546875" style="2" customWidth="1"/>
    <col min="1300" max="1300" width="5.85546875" style="2" customWidth="1"/>
    <col min="1301" max="1301" width="10" style="2" customWidth="1"/>
    <col min="1302" max="1536" width="9.140625" style="2"/>
    <col min="1537" max="1537" width="9.5703125" style="2" customWidth="1"/>
    <col min="1538" max="1538" width="30.7109375" style="2" customWidth="1"/>
    <col min="1539" max="1539" width="14.7109375" style="2" customWidth="1"/>
    <col min="1540" max="1540" width="8.28515625" style="2" customWidth="1"/>
    <col min="1541" max="1541" width="11.85546875" style="2" customWidth="1"/>
    <col min="1542" max="1542" width="8.28515625" style="2" customWidth="1"/>
    <col min="1543" max="1543" width="17.28515625" style="2" customWidth="1"/>
    <col min="1544" max="1544" width="6.140625" style="2" customWidth="1"/>
    <col min="1545" max="1545" width="15.140625" style="2" customWidth="1"/>
    <col min="1546" max="1546" width="9.140625" style="2"/>
    <col min="1547" max="1547" width="15" style="2" customWidth="1"/>
    <col min="1548" max="1548" width="6.85546875" style="2" customWidth="1"/>
    <col min="1549" max="1549" width="13.28515625" style="2" customWidth="1"/>
    <col min="1550" max="1550" width="9.42578125" style="2" customWidth="1"/>
    <col min="1551" max="1551" width="11" style="2" customWidth="1"/>
    <col min="1552" max="1552" width="10.140625" style="2" customWidth="1"/>
    <col min="1553" max="1553" width="11.140625" style="2" customWidth="1"/>
    <col min="1554" max="1554" width="7" style="2" customWidth="1"/>
    <col min="1555" max="1555" width="10.85546875" style="2" customWidth="1"/>
    <col min="1556" max="1556" width="5.85546875" style="2" customWidth="1"/>
    <col min="1557" max="1557" width="10" style="2" customWidth="1"/>
    <col min="1558" max="1792" width="9.140625" style="2"/>
    <col min="1793" max="1793" width="9.5703125" style="2" customWidth="1"/>
    <col min="1794" max="1794" width="30.7109375" style="2" customWidth="1"/>
    <col min="1795" max="1795" width="14.7109375" style="2" customWidth="1"/>
    <col min="1796" max="1796" width="8.28515625" style="2" customWidth="1"/>
    <col min="1797" max="1797" width="11.85546875" style="2" customWidth="1"/>
    <col min="1798" max="1798" width="8.28515625" style="2" customWidth="1"/>
    <col min="1799" max="1799" width="17.28515625" style="2" customWidth="1"/>
    <col min="1800" max="1800" width="6.140625" style="2" customWidth="1"/>
    <col min="1801" max="1801" width="15.140625" style="2" customWidth="1"/>
    <col min="1802" max="1802" width="9.140625" style="2"/>
    <col min="1803" max="1803" width="15" style="2" customWidth="1"/>
    <col min="1804" max="1804" width="6.85546875" style="2" customWidth="1"/>
    <col min="1805" max="1805" width="13.28515625" style="2" customWidth="1"/>
    <col min="1806" max="1806" width="9.42578125" style="2" customWidth="1"/>
    <col min="1807" max="1807" width="11" style="2" customWidth="1"/>
    <col min="1808" max="1808" width="10.140625" style="2" customWidth="1"/>
    <col min="1809" max="1809" width="11.140625" style="2" customWidth="1"/>
    <col min="1810" max="1810" width="7" style="2" customWidth="1"/>
    <col min="1811" max="1811" width="10.85546875" style="2" customWidth="1"/>
    <col min="1812" max="1812" width="5.85546875" style="2" customWidth="1"/>
    <col min="1813" max="1813" width="10" style="2" customWidth="1"/>
    <col min="1814" max="2048" width="9.140625" style="2"/>
    <col min="2049" max="2049" width="9.5703125" style="2" customWidth="1"/>
    <col min="2050" max="2050" width="30.7109375" style="2" customWidth="1"/>
    <col min="2051" max="2051" width="14.7109375" style="2" customWidth="1"/>
    <col min="2052" max="2052" width="8.28515625" style="2" customWidth="1"/>
    <col min="2053" max="2053" width="11.85546875" style="2" customWidth="1"/>
    <col min="2054" max="2054" width="8.28515625" style="2" customWidth="1"/>
    <col min="2055" max="2055" width="17.28515625" style="2" customWidth="1"/>
    <col min="2056" max="2056" width="6.140625" style="2" customWidth="1"/>
    <col min="2057" max="2057" width="15.140625" style="2" customWidth="1"/>
    <col min="2058" max="2058" width="9.140625" style="2"/>
    <col min="2059" max="2059" width="15" style="2" customWidth="1"/>
    <col min="2060" max="2060" width="6.85546875" style="2" customWidth="1"/>
    <col min="2061" max="2061" width="13.28515625" style="2" customWidth="1"/>
    <col min="2062" max="2062" width="9.42578125" style="2" customWidth="1"/>
    <col min="2063" max="2063" width="11" style="2" customWidth="1"/>
    <col min="2064" max="2064" width="10.140625" style="2" customWidth="1"/>
    <col min="2065" max="2065" width="11.140625" style="2" customWidth="1"/>
    <col min="2066" max="2066" width="7" style="2" customWidth="1"/>
    <col min="2067" max="2067" width="10.85546875" style="2" customWidth="1"/>
    <col min="2068" max="2068" width="5.85546875" style="2" customWidth="1"/>
    <col min="2069" max="2069" width="10" style="2" customWidth="1"/>
    <col min="2070" max="2304" width="9.140625" style="2"/>
    <col min="2305" max="2305" width="9.5703125" style="2" customWidth="1"/>
    <col min="2306" max="2306" width="30.7109375" style="2" customWidth="1"/>
    <col min="2307" max="2307" width="14.7109375" style="2" customWidth="1"/>
    <col min="2308" max="2308" width="8.28515625" style="2" customWidth="1"/>
    <col min="2309" max="2309" width="11.85546875" style="2" customWidth="1"/>
    <col min="2310" max="2310" width="8.28515625" style="2" customWidth="1"/>
    <col min="2311" max="2311" width="17.28515625" style="2" customWidth="1"/>
    <col min="2312" max="2312" width="6.140625" style="2" customWidth="1"/>
    <col min="2313" max="2313" width="15.140625" style="2" customWidth="1"/>
    <col min="2314" max="2314" width="9.140625" style="2"/>
    <col min="2315" max="2315" width="15" style="2" customWidth="1"/>
    <col min="2316" max="2316" width="6.85546875" style="2" customWidth="1"/>
    <col min="2317" max="2317" width="13.28515625" style="2" customWidth="1"/>
    <col min="2318" max="2318" width="9.42578125" style="2" customWidth="1"/>
    <col min="2319" max="2319" width="11" style="2" customWidth="1"/>
    <col min="2320" max="2320" width="10.140625" style="2" customWidth="1"/>
    <col min="2321" max="2321" width="11.140625" style="2" customWidth="1"/>
    <col min="2322" max="2322" width="7" style="2" customWidth="1"/>
    <col min="2323" max="2323" width="10.85546875" style="2" customWidth="1"/>
    <col min="2324" max="2324" width="5.85546875" style="2" customWidth="1"/>
    <col min="2325" max="2325" width="10" style="2" customWidth="1"/>
    <col min="2326" max="2560" width="9.140625" style="2"/>
    <col min="2561" max="2561" width="9.5703125" style="2" customWidth="1"/>
    <col min="2562" max="2562" width="30.7109375" style="2" customWidth="1"/>
    <col min="2563" max="2563" width="14.7109375" style="2" customWidth="1"/>
    <col min="2564" max="2564" width="8.28515625" style="2" customWidth="1"/>
    <col min="2565" max="2565" width="11.85546875" style="2" customWidth="1"/>
    <col min="2566" max="2566" width="8.28515625" style="2" customWidth="1"/>
    <col min="2567" max="2567" width="17.28515625" style="2" customWidth="1"/>
    <col min="2568" max="2568" width="6.140625" style="2" customWidth="1"/>
    <col min="2569" max="2569" width="15.140625" style="2" customWidth="1"/>
    <col min="2570" max="2570" width="9.140625" style="2"/>
    <col min="2571" max="2571" width="15" style="2" customWidth="1"/>
    <col min="2572" max="2572" width="6.85546875" style="2" customWidth="1"/>
    <col min="2573" max="2573" width="13.28515625" style="2" customWidth="1"/>
    <col min="2574" max="2574" width="9.42578125" style="2" customWidth="1"/>
    <col min="2575" max="2575" width="11" style="2" customWidth="1"/>
    <col min="2576" max="2576" width="10.140625" style="2" customWidth="1"/>
    <col min="2577" max="2577" width="11.140625" style="2" customWidth="1"/>
    <col min="2578" max="2578" width="7" style="2" customWidth="1"/>
    <col min="2579" max="2579" width="10.85546875" style="2" customWidth="1"/>
    <col min="2580" max="2580" width="5.85546875" style="2" customWidth="1"/>
    <col min="2581" max="2581" width="10" style="2" customWidth="1"/>
    <col min="2582" max="2816" width="9.140625" style="2"/>
    <col min="2817" max="2817" width="9.5703125" style="2" customWidth="1"/>
    <col min="2818" max="2818" width="30.7109375" style="2" customWidth="1"/>
    <col min="2819" max="2819" width="14.7109375" style="2" customWidth="1"/>
    <col min="2820" max="2820" width="8.28515625" style="2" customWidth="1"/>
    <col min="2821" max="2821" width="11.85546875" style="2" customWidth="1"/>
    <col min="2822" max="2822" width="8.28515625" style="2" customWidth="1"/>
    <col min="2823" max="2823" width="17.28515625" style="2" customWidth="1"/>
    <col min="2824" max="2824" width="6.140625" style="2" customWidth="1"/>
    <col min="2825" max="2825" width="15.140625" style="2" customWidth="1"/>
    <col min="2826" max="2826" width="9.140625" style="2"/>
    <col min="2827" max="2827" width="15" style="2" customWidth="1"/>
    <col min="2828" max="2828" width="6.85546875" style="2" customWidth="1"/>
    <col min="2829" max="2829" width="13.28515625" style="2" customWidth="1"/>
    <col min="2830" max="2830" width="9.42578125" style="2" customWidth="1"/>
    <col min="2831" max="2831" width="11" style="2" customWidth="1"/>
    <col min="2832" max="2832" width="10.140625" style="2" customWidth="1"/>
    <col min="2833" max="2833" width="11.140625" style="2" customWidth="1"/>
    <col min="2834" max="2834" width="7" style="2" customWidth="1"/>
    <col min="2835" max="2835" width="10.85546875" style="2" customWidth="1"/>
    <col min="2836" max="2836" width="5.85546875" style="2" customWidth="1"/>
    <col min="2837" max="2837" width="10" style="2" customWidth="1"/>
    <col min="2838" max="3072" width="9.140625" style="2"/>
    <col min="3073" max="3073" width="9.5703125" style="2" customWidth="1"/>
    <col min="3074" max="3074" width="30.7109375" style="2" customWidth="1"/>
    <col min="3075" max="3075" width="14.7109375" style="2" customWidth="1"/>
    <col min="3076" max="3076" width="8.28515625" style="2" customWidth="1"/>
    <col min="3077" max="3077" width="11.85546875" style="2" customWidth="1"/>
    <col min="3078" max="3078" width="8.28515625" style="2" customWidth="1"/>
    <col min="3079" max="3079" width="17.28515625" style="2" customWidth="1"/>
    <col min="3080" max="3080" width="6.140625" style="2" customWidth="1"/>
    <col min="3081" max="3081" width="15.140625" style="2" customWidth="1"/>
    <col min="3082" max="3082" width="9.140625" style="2"/>
    <col min="3083" max="3083" width="15" style="2" customWidth="1"/>
    <col min="3084" max="3084" width="6.85546875" style="2" customWidth="1"/>
    <col min="3085" max="3085" width="13.28515625" style="2" customWidth="1"/>
    <col min="3086" max="3086" width="9.42578125" style="2" customWidth="1"/>
    <col min="3087" max="3087" width="11" style="2" customWidth="1"/>
    <col min="3088" max="3088" width="10.140625" style="2" customWidth="1"/>
    <col min="3089" max="3089" width="11.140625" style="2" customWidth="1"/>
    <col min="3090" max="3090" width="7" style="2" customWidth="1"/>
    <col min="3091" max="3091" width="10.85546875" style="2" customWidth="1"/>
    <col min="3092" max="3092" width="5.85546875" style="2" customWidth="1"/>
    <col min="3093" max="3093" width="10" style="2" customWidth="1"/>
    <col min="3094" max="3328" width="9.140625" style="2"/>
    <col min="3329" max="3329" width="9.5703125" style="2" customWidth="1"/>
    <col min="3330" max="3330" width="30.7109375" style="2" customWidth="1"/>
    <col min="3331" max="3331" width="14.7109375" style="2" customWidth="1"/>
    <col min="3332" max="3332" width="8.28515625" style="2" customWidth="1"/>
    <col min="3333" max="3333" width="11.85546875" style="2" customWidth="1"/>
    <col min="3334" max="3334" width="8.28515625" style="2" customWidth="1"/>
    <col min="3335" max="3335" width="17.28515625" style="2" customWidth="1"/>
    <col min="3336" max="3336" width="6.140625" style="2" customWidth="1"/>
    <col min="3337" max="3337" width="15.140625" style="2" customWidth="1"/>
    <col min="3338" max="3338" width="9.140625" style="2"/>
    <col min="3339" max="3339" width="15" style="2" customWidth="1"/>
    <col min="3340" max="3340" width="6.85546875" style="2" customWidth="1"/>
    <col min="3341" max="3341" width="13.28515625" style="2" customWidth="1"/>
    <col min="3342" max="3342" width="9.42578125" style="2" customWidth="1"/>
    <col min="3343" max="3343" width="11" style="2" customWidth="1"/>
    <col min="3344" max="3344" width="10.140625" style="2" customWidth="1"/>
    <col min="3345" max="3345" width="11.140625" style="2" customWidth="1"/>
    <col min="3346" max="3346" width="7" style="2" customWidth="1"/>
    <col min="3347" max="3347" width="10.85546875" style="2" customWidth="1"/>
    <col min="3348" max="3348" width="5.85546875" style="2" customWidth="1"/>
    <col min="3349" max="3349" width="10" style="2" customWidth="1"/>
    <col min="3350" max="3584" width="9.140625" style="2"/>
    <col min="3585" max="3585" width="9.5703125" style="2" customWidth="1"/>
    <col min="3586" max="3586" width="30.7109375" style="2" customWidth="1"/>
    <col min="3587" max="3587" width="14.7109375" style="2" customWidth="1"/>
    <col min="3588" max="3588" width="8.28515625" style="2" customWidth="1"/>
    <col min="3589" max="3589" width="11.85546875" style="2" customWidth="1"/>
    <col min="3590" max="3590" width="8.28515625" style="2" customWidth="1"/>
    <col min="3591" max="3591" width="17.28515625" style="2" customWidth="1"/>
    <col min="3592" max="3592" width="6.140625" style="2" customWidth="1"/>
    <col min="3593" max="3593" width="15.140625" style="2" customWidth="1"/>
    <col min="3594" max="3594" width="9.140625" style="2"/>
    <col min="3595" max="3595" width="15" style="2" customWidth="1"/>
    <col min="3596" max="3596" width="6.85546875" style="2" customWidth="1"/>
    <col min="3597" max="3597" width="13.28515625" style="2" customWidth="1"/>
    <col min="3598" max="3598" width="9.42578125" style="2" customWidth="1"/>
    <col min="3599" max="3599" width="11" style="2" customWidth="1"/>
    <col min="3600" max="3600" width="10.140625" style="2" customWidth="1"/>
    <col min="3601" max="3601" width="11.140625" style="2" customWidth="1"/>
    <col min="3602" max="3602" width="7" style="2" customWidth="1"/>
    <col min="3603" max="3603" width="10.85546875" style="2" customWidth="1"/>
    <col min="3604" max="3604" width="5.85546875" style="2" customWidth="1"/>
    <col min="3605" max="3605" width="10" style="2" customWidth="1"/>
    <col min="3606" max="3840" width="9.140625" style="2"/>
    <col min="3841" max="3841" width="9.5703125" style="2" customWidth="1"/>
    <col min="3842" max="3842" width="30.7109375" style="2" customWidth="1"/>
    <col min="3843" max="3843" width="14.7109375" style="2" customWidth="1"/>
    <col min="3844" max="3844" width="8.28515625" style="2" customWidth="1"/>
    <col min="3845" max="3845" width="11.85546875" style="2" customWidth="1"/>
    <col min="3846" max="3846" width="8.28515625" style="2" customWidth="1"/>
    <col min="3847" max="3847" width="17.28515625" style="2" customWidth="1"/>
    <col min="3848" max="3848" width="6.140625" style="2" customWidth="1"/>
    <col min="3849" max="3849" width="15.140625" style="2" customWidth="1"/>
    <col min="3850" max="3850" width="9.140625" style="2"/>
    <col min="3851" max="3851" width="15" style="2" customWidth="1"/>
    <col min="3852" max="3852" width="6.85546875" style="2" customWidth="1"/>
    <col min="3853" max="3853" width="13.28515625" style="2" customWidth="1"/>
    <col min="3854" max="3854" width="9.42578125" style="2" customWidth="1"/>
    <col min="3855" max="3855" width="11" style="2" customWidth="1"/>
    <col min="3856" max="3856" width="10.140625" style="2" customWidth="1"/>
    <col min="3857" max="3857" width="11.140625" style="2" customWidth="1"/>
    <col min="3858" max="3858" width="7" style="2" customWidth="1"/>
    <col min="3859" max="3859" width="10.85546875" style="2" customWidth="1"/>
    <col min="3860" max="3860" width="5.85546875" style="2" customWidth="1"/>
    <col min="3861" max="3861" width="10" style="2" customWidth="1"/>
    <col min="3862" max="4096" width="9.140625" style="2"/>
    <col min="4097" max="4097" width="9.5703125" style="2" customWidth="1"/>
    <col min="4098" max="4098" width="30.7109375" style="2" customWidth="1"/>
    <col min="4099" max="4099" width="14.7109375" style="2" customWidth="1"/>
    <col min="4100" max="4100" width="8.28515625" style="2" customWidth="1"/>
    <col min="4101" max="4101" width="11.85546875" style="2" customWidth="1"/>
    <col min="4102" max="4102" width="8.28515625" style="2" customWidth="1"/>
    <col min="4103" max="4103" width="17.28515625" style="2" customWidth="1"/>
    <col min="4104" max="4104" width="6.140625" style="2" customWidth="1"/>
    <col min="4105" max="4105" width="15.140625" style="2" customWidth="1"/>
    <col min="4106" max="4106" width="9.140625" style="2"/>
    <col min="4107" max="4107" width="15" style="2" customWidth="1"/>
    <col min="4108" max="4108" width="6.85546875" style="2" customWidth="1"/>
    <col min="4109" max="4109" width="13.28515625" style="2" customWidth="1"/>
    <col min="4110" max="4110" width="9.42578125" style="2" customWidth="1"/>
    <col min="4111" max="4111" width="11" style="2" customWidth="1"/>
    <col min="4112" max="4112" width="10.140625" style="2" customWidth="1"/>
    <col min="4113" max="4113" width="11.140625" style="2" customWidth="1"/>
    <col min="4114" max="4114" width="7" style="2" customWidth="1"/>
    <col min="4115" max="4115" width="10.85546875" style="2" customWidth="1"/>
    <col min="4116" max="4116" width="5.85546875" style="2" customWidth="1"/>
    <col min="4117" max="4117" width="10" style="2" customWidth="1"/>
    <col min="4118" max="4352" width="9.140625" style="2"/>
    <col min="4353" max="4353" width="9.5703125" style="2" customWidth="1"/>
    <col min="4354" max="4354" width="30.7109375" style="2" customWidth="1"/>
    <col min="4355" max="4355" width="14.7109375" style="2" customWidth="1"/>
    <col min="4356" max="4356" width="8.28515625" style="2" customWidth="1"/>
    <col min="4357" max="4357" width="11.85546875" style="2" customWidth="1"/>
    <col min="4358" max="4358" width="8.28515625" style="2" customWidth="1"/>
    <col min="4359" max="4359" width="17.28515625" style="2" customWidth="1"/>
    <col min="4360" max="4360" width="6.140625" style="2" customWidth="1"/>
    <col min="4361" max="4361" width="15.140625" style="2" customWidth="1"/>
    <col min="4362" max="4362" width="9.140625" style="2"/>
    <col min="4363" max="4363" width="15" style="2" customWidth="1"/>
    <col min="4364" max="4364" width="6.85546875" style="2" customWidth="1"/>
    <col min="4365" max="4365" width="13.28515625" style="2" customWidth="1"/>
    <col min="4366" max="4366" width="9.42578125" style="2" customWidth="1"/>
    <col min="4367" max="4367" width="11" style="2" customWidth="1"/>
    <col min="4368" max="4368" width="10.140625" style="2" customWidth="1"/>
    <col min="4369" max="4369" width="11.140625" style="2" customWidth="1"/>
    <col min="4370" max="4370" width="7" style="2" customWidth="1"/>
    <col min="4371" max="4371" width="10.85546875" style="2" customWidth="1"/>
    <col min="4372" max="4372" width="5.85546875" style="2" customWidth="1"/>
    <col min="4373" max="4373" width="10" style="2" customWidth="1"/>
    <col min="4374" max="4608" width="9.140625" style="2"/>
    <col min="4609" max="4609" width="9.5703125" style="2" customWidth="1"/>
    <col min="4610" max="4610" width="30.7109375" style="2" customWidth="1"/>
    <col min="4611" max="4611" width="14.7109375" style="2" customWidth="1"/>
    <col min="4612" max="4612" width="8.28515625" style="2" customWidth="1"/>
    <col min="4613" max="4613" width="11.85546875" style="2" customWidth="1"/>
    <col min="4614" max="4614" width="8.28515625" style="2" customWidth="1"/>
    <col min="4615" max="4615" width="17.28515625" style="2" customWidth="1"/>
    <col min="4616" max="4616" width="6.140625" style="2" customWidth="1"/>
    <col min="4617" max="4617" width="15.140625" style="2" customWidth="1"/>
    <col min="4618" max="4618" width="9.140625" style="2"/>
    <col min="4619" max="4619" width="15" style="2" customWidth="1"/>
    <col min="4620" max="4620" width="6.85546875" style="2" customWidth="1"/>
    <col min="4621" max="4621" width="13.28515625" style="2" customWidth="1"/>
    <col min="4622" max="4622" width="9.42578125" style="2" customWidth="1"/>
    <col min="4623" max="4623" width="11" style="2" customWidth="1"/>
    <col min="4624" max="4624" width="10.140625" style="2" customWidth="1"/>
    <col min="4625" max="4625" width="11.140625" style="2" customWidth="1"/>
    <col min="4626" max="4626" width="7" style="2" customWidth="1"/>
    <col min="4627" max="4627" width="10.85546875" style="2" customWidth="1"/>
    <col min="4628" max="4628" width="5.85546875" style="2" customWidth="1"/>
    <col min="4629" max="4629" width="10" style="2" customWidth="1"/>
    <col min="4630" max="4864" width="9.140625" style="2"/>
    <col min="4865" max="4865" width="9.5703125" style="2" customWidth="1"/>
    <col min="4866" max="4866" width="30.7109375" style="2" customWidth="1"/>
    <col min="4867" max="4867" width="14.7109375" style="2" customWidth="1"/>
    <col min="4868" max="4868" width="8.28515625" style="2" customWidth="1"/>
    <col min="4869" max="4869" width="11.85546875" style="2" customWidth="1"/>
    <col min="4870" max="4870" width="8.28515625" style="2" customWidth="1"/>
    <col min="4871" max="4871" width="17.28515625" style="2" customWidth="1"/>
    <col min="4872" max="4872" width="6.140625" style="2" customWidth="1"/>
    <col min="4873" max="4873" width="15.140625" style="2" customWidth="1"/>
    <col min="4874" max="4874" width="9.140625" style="2"/>
    <col min="4875" max="4875" width="15" style="2" customWidth="1"/>
    <col min="4876" max="4876" width="6.85546875" style="2" customWidth="1"/>
    <col min="4877" max="4877" width="13.28515625" style="2" customWidth="1"/>
    <col min="4878" max="4878" width="9.42578125" style="2" customWidth="1"/>
    <col min="4879" max="4879" width="11" style="2" customWidth="1"/>
    <col min="4880" max="4880" width="10.140625" style="2" customWidth="1"/>
    <col min="4881" max="4881" width="11.140625" style="2" customWidth="1"/>
    <col min="4882" max="4882" width="7" style="2" customWidth="1"/>
    <col min="4883" max="4883" width="10.85546875" style="2" customWidth="1"/>
    <col min="4884" max="4884" width="5.85546875" style="2" customWidth="1"/>
    <col min="4885" max="4885" width="10" style="2" customWidth="1"/>
    <col min="4886" max="5120" width="9.140625" style="2"/>
    <col min="5121" max="5121" width="9.5703125" style="2" customWidth="1"/>
    <col min="5122" max="5122" width="30.7109375" style="2" customWidth="1"/>
    <col min="5123" max="5123" width="14.7109375" style="2" customWidth="1"/>
    <col min="5124" max="5124" width="8.28515625" style="2" customWidth="1"/>
    <col min="5125" max="5125" width="11.85546875" style="2" customWidth="1"/>
    <col min="5126" max="5126" width="8.28515625" style="2" customWidth="1"/>
    <col min="5127" max="5127" width="17.28515625" style="2" customWidth="1"/>
    <col min="5128" max="5128" width="6.140625" style="2" customWidth="1"/>
    <col min="5129" max="5129" width="15.140625" style="2" customWidth="1"/>
    <col min="5130" max="5130" width="9.140625" style="2"/>
    <col min="5131" max="5131" width="15" style="2" customWidth="1"/>
    <col min="5132" max="5132" width="6.85546875" style="2" customWidth="1"/>
    <col min="5133" max="5133" width="13.28515625" style="2" customWidth="1"/>
    <col min="5134" max="5134" width="9.42578125" style="2" customWidth="1"/>
    <col min="5135" max="5135" width="11" style="2" customWidth="1"/>
    <col min="5136" max="5136" width="10.140625" style="2" customWidth="1"/>
    <col min="5137" max="5137" width="11.140625" style="2" customWidth="1"/>
    <col min="5138" max="5138" width="7" style="2" customWidth="1"/>
    <col min="5139" max="5139" width="10.85546875" style="2" customWidth="1"/>
    <col min="5140" max="5140" width="5.85546875" style="2" customWidth="1"/>
    <col min="5141" max="5141" width="10" style="2" customWidth="1"/>
    <col min="5142" max="5376" width="9.140625" style="2"/>
    <col min="5377" max="5377" width="9.5703125" style="2" customWidth="1"/>
    <col min="5378" max="5378" width="30.7109375" style="2" customWidth="1"/>
    <col min="5379" max="5379" width="14.7109375" style="2" customWidth="1"/>
    <col min="5380" max="5380" width="8.28515625" style="2" customWidth="1"/>
    <col min="5381" max="5381" width="11.85546875" style="2" customWidth="1"/>
    <col min="5382" max="5382" width="8.28515625" style="2" customWidth="1"/>
    <col min="5383" max="5383" width="17.28515625" style="2" customWidth="1"/>
    <col min="5384" max="5384" width="6.140625" style="2" customWidth="1"/>
    <col min="5385" max="5385" width="15.140625" style="2" customWidth="1"/>
    <col min="5386" max="5386" width="9.140625" style="2"/>
    <col min="5387" max="5387" width="15" style="2" customWidth="1"/>
    <col min="5388" max="5388" width="6.85546875" style="2" customWidth="1"/>
    <col min="5389" max="5389" width="13.28515625" style="2" customWidth="1"/>
    <col min="5390" max="5390" width="9.42578125" style="2" customWidth="1"/>
    <col min="5391" max="5391" width="11" style="2" customWidth="1"/>
    <col min="5392" max="5392" width="10.140625" style="2" customWidth="1"/>
    <col min="5393" max="5393" width="11.140625" style="2" customWidth="1"/>
    <col min="5394" max="5394" width="7" style="2" customWidth="1"/>
    <col min="5395" max="5395" width="10.85546875" style="2" customWidth="1"/>
    <col min="5396" max="5396" width="5.85546875" style="2" customWidth="1"/>
    <col min="5397" max="5397" width="10" style="2" customWidth="1"/>
    <col min="5398" max="5632" width="9.140625" style="2"/>
    <col min="5633" max="5633" width="9.5703125" style="2" customWidth="1"/>
    <col min="5634" max="5634" width="30.7109375" style="2" customWidth="1"/>
    <col min="5635" max="5635" width="14.7109375" style="2" customWidth="1"/>
    <col min="5636" max="5636" width="8.28515625" style="2" customWidth="1"/>
    <col min="5637" max="5637" width="11.85546875" style="2" customWidth="1"/>
    <col min="5638" max="5638" width="8.28515625" style="2" customWidth="1"/>
    <col min="5639" max="5639" width="17.28515625" style="2" customWidth="1"/>
    <col min="5640" max="5640" width="6.140625" style="2" customWidth="1"/>
    <col min="5641" max="5641" width="15.140625" style="2" customWidth="1"/>
    <col min="5642" max="5642" width="9.140625" style="2"/>
    <col min="5643" max="5643" width="15" style="2" customWidth="1"/>
    <col min="5644" max="5644" width="6.85546875" style="2" customWidth="1"/>
    <col min="5645" max="5645" width="13.28515625" style="2" customWidth="1"/>
    <col min="5646" max="5646" width="9.42578125" style="2" customWidth="1"/>
    <col min="5647" max="5647" width="11" style="2" customWidth="1"/>
    <col min="5648" max="5648" width="10.140625" style="2" customWidth="1"/>
    <col min="5649" max="5649" width="11.140625" style="2" customWidth="1"/>
    <col min="5650" max="5650" width="7" style="2" customWidth="1"/>
    <col min="5651" max="5651" width="10.85546875" style="2" customWidth="1"/>
    <col min="5652" max="5652" width="5.85546875" style="2" customWidth="1"/>
    <col min="5653" max="5653" width="10" style="2" customWidth="1"/>
    <col min="5654" max="5888" width="9.140625" style="2"/>
    <col min="5889" max="5889" width="9.5703125" style="2" customWidth="1"/>
    <col min="5890" max="5890" width="30.7109375" style="2" customWidth="1"/>
    <col min="5891" max="5891" width="14.7109375" style="2" customWidth="1"/>
    <col min="5892" max="5892" width="8.28515625" style="2" customWidth="1"/>
    <col min="5893" max="5893" width="11.85546875" style="2" customWidth="1"/>
    <col min="5894" max="5894" width="8.28515625" style="2" customWidth="1"/>
    <col min="5895" max="5895" width="17.28515625" style="2" customWidth="1"/>
    <col min="5896" max="5896" width="6.140625" style="2" customWidth="1"/>
    <col min="5897" max="5897" width="15.140625" style="2" customWidth="1"/>
    <col min="5898" max="5898" width="9.140625" style="2"/>
    <col min="5899" max="5899" width="15" style="2" customWidth="1"/>
    <col min="5900" max="5900" width="6.85546875" style="2" customWidth="1"/>
    <col min="5901" max="5901" width="13.28515625" style="2" customWidth="1"/>
    <col min="5902" max="5902" width="9.42578125" style="2" customWidth="1"/>
    <col min="5903" max="5903" width="11" style="2" customWidth="1"/>
    <col min="5904" max="5904" width="10.140625" style="2" customWidth="1"/>
    <col min="5905" max="5905" width="11.140625" style="2" customWidth="1"/>
    <col min="5906" max="5906" width="7" style="2" customWidth="1"/>
    <col min="5907" max="5907" width="10.85546875" style="2" customWidth="1"/>
    <col min="5908" max="5908" width="5.85546875" style="2" customWidth="1"/>
    <col min="5909" max="5909" width="10" style="2" customWidth="1"/>
    <col min="5910" max="6144" width="9.140625" style="2"/>
    <col min="6145" max="6145" width="9.5703125" style="2" customWidth="1"/>
    <col min="6146" max="6146" width="30.7109375" style="2" customWidth="1"/>
    <col min="6147" max="6147" width="14.7109375" style="2" customWidth="1"/>
    <col min="6148" max="6148" width="8.28515625" style="2" customWidth="1"/>
    <col min="6149" max="6149" width="11.85546875" style="2" customWidth="1"/>
    <col min="6150" max="6150" width="8.28515625" style="2" customWidth="1"/>
    <col min="6151" max="6151" width="17.28515625" style="2" customWidth="1"/>
    <col min="6152" max="6152" width="6.140625" style="2" customWidth="1"/>
    <col min="6153" max="6153" width="15.140625" style="2" customWidth="1"/>
    <col min="6154" max="6154" width="9.140625" style="2"/>
    <col min="6155" max="6155" width="15" style="2" customWidth="1"/>
    <col min="6156" max="6156" width="6.85546875" style="2" customWidth="1"/>
    <col min="6157" max="6157" width="13.28515625" style="2" customWidth="1"/>
    <col min="6158" max="6158" width="9.42578125" style="2" customWidth="1"/>
    <col min="6159" max="6159" width="11" style="2" customWidth="1"/>
    <col min="6160" max="6160" width="10.140625" style="2" customWidth="1"/>
    <col min="6161" max="6161" width="11.140625" style="2" customWidth="1"/>
    <col min="6162" max="6162" width="7" style="2" customWidth="1"/>
    <col min="6163" max="6163" width="10.85546875" style="2" customWidth="1"/>
    <col min="6164" max="6164" width="5.85546875" style="2" customWidth="1"/>
    <col min="6165" max="6165" width="10" style="2" customWidth="1"/>
    <col min="6166" max="6400" width="9.140625" style="2"/>
    <col min="6401" max="6401" width="9.5703125" style="2" customWidth="1"/>
    <col min="6402" max="6402" width="30.7109375" style="2" customWidth="1"/>
    <col min="6403" max="6403" width="14.7109375" style="2" customWidth="1"/>
    <col min="6404" max="6404" width="8.28515625" style="2" customWidth="1"/>
    <col min="6405" max="6405" width="11.85546875" style="2" customWidth="1"/>
    <col min="6406" max="6406" width="8.28515625" style="2" customWidth="1"/>
    <col min="6407" max="6407" width="17.28515625" style="2" customWidth="1"/>
    <col min="6408" max="6408" width="6.140625" style="2" customWidth="1"/>
    <col min="6409" max="6409" width="15.140625" style="2" customWidth="1"/>
    <col min="6410" max="6410" width="9.140625" style="2"/>
    <col min="6411" max="6411" width="15" style="2" customWidth="1"/>
    <col min="6412" max="6412" width="6.85546875" style="2" customWidth="1"/>
    <col min="6413" max="6413" width="13.28515625" style="2" customWidth="1"/>
    <col min="6414" max="6414" width="9.42578125" style="2" customWidth="1"/>
    <col min="6415" max="6415" width="11" style="2" customWidth="1"/>
    <col min="6416" max="6416" width="10.140625" style="2" customWidth="1"/>
    <col min="6417" max="6417" width="11.140625" style="2" customWidth="1"/>
    <col min="6418" max="6418" width="7" style="2" customWidth="1"/>
    <col min="6419" max="6419" width="10.85546875" style="2" customWidth="1"/>
    <col min="6420" max="6420" width="5.85546875" style="2" customWidth="1"/>
    <col min="6421" max="6421" width="10" style="2" customWidth="1"/>
    <col min="6422" max="6656" width="9.140625" style="2"/>
    <col min="6657" max="6657" width="9.5703125" style="2" customWidth="1"/>
    <col min="6658" max="6658" width="30.7109375" style="2" customWidth="1"/>
    <col min="6659" max="6659" width="14.7109375" style="2" customWidth="1"/>
    <col min="6660" max="6660" width="8.28515625" style="2" customWidth="1"/>
    <col min="6661" max="6661" width="11.85546875" style="2" customWidth="1"/>
    <col min="6662" max="6662" width="8.28515625" style="2" customWidth="1"/>
    <col min="6663" max="6663" width="17.28515625" style="2" customWidth="1"/>
    <col min="6664" max="6664" width="6.140625" style="2" customWidth="1"/>
    <col min="6665" max="6665" width="15.140625" style="2" customWidth="1"/>
    <col min="6666" max="6666" width="9.140625" style="2"/>
    <col min="6667" max="6667" width="15" style="2" customWidth="1"/>
    <col min="6668" max="6668" width="6.85546875" style="2" customWidth="1"/>
    <col min="6669" max="6669" width="13.28515625" style="2" customWidth="1"/>
    <col min="6670" max="6670" width="9.42578125" style="2" customWidth="1"/>
    <col min="6671" max="6671" width="11" style="2" customWidth="1"/>
    <col min="6672" max="6672" width="10.140625" style="2" customWidth="1"/>
    <col min="6673" max="6673" width="11.140625" style="2" customWidth="1"/>
    <col min="6674" max="6674" width="7" style="2" customWidth="1"/>
    <col min="6675" max="6675" width="10.85546875" style="2" customWidth="1"/>
    <col min="6676" max="6676" width="5.85546875" style="2" customWidth="1"/>
    <col min="6677" max="6677" width="10" style="2" customWidth="1"/>
    <col min="6678" max="6912" width="9.140625" style="2"/>
    <col min="6913" max="6913" width="9.5703125" style="2" customWidth="1"/>
    <col min="6914" max="6914" width="30.7109375" style="2" customWidth="1"/>
    <col min="6915" max="6915" width="14.7109375" style="2" customWidth="1"/>
    <col min="6916" max="6916" width="8.28515625" style="2" customWidth="1"/>
    <col min="6917" max="6917" width="11.85546875" style="2" customWidth="1"/>
    <col min="6918" max="6918" width="8.28515625" style="2" customWidth="1"/>
    <col min="6919" max="6919" width="17.28515625" style="2" customWidth="1"/>
    <col min="6920" max="6920" width="6.140625" style="2" customWidth="1"/>
    <col min="6921" max="6921" width="15.140625" style="2" customWidth="1"/>
    <col min="6922" max="6922" width="9.140625" style="2"/>
    <col min="6923" max="6923" width="15" style="2" customWidth="1"/>
    <col min="6924" max="6924" width="6.85546875" style="2" customWidth="1"/>
    <col min="6925" max="6925" width="13.28515625" style="2" customWidth="1"/>
    <col min="6926" max="6926" width="9.42578125" style="2" customWidth="1"/>
    <col min="6927" max="6927" width="11" style="2" customWidth="1"/>
    <col min="6928" max="6928" width="10.140625" style="2" customWidth="1"/>
    <col min="6929" max="6929" width="11.140625" style="2" customWidth="1"/>
    <col min="6930" max="6930" width="7" style="2" customWidth="1"/>
    <col min="6931" max="6931" width="10.85546875" style="2" customWidth="1"/>
    <col min="6932" max="6932" width="5.85546875" style="2" customWidth="1"/>
    <col min="6933" max="6933" width="10" style="2" customWidth="1"/>
    <col min="6934" max="7168" width="9.140625" style="2"/>
    <col min="7169" max="7169" width="9.5703125" style="2" customWidth="1"/>
    <col min="7170" max="7170" width="30.7109375" style="2" customWidth="1"/>
    <col min="7171" max="7171" width="14.7109375" style="2" customWidth="1"/>
    <col min="7172" max="7172" width="8.28515625" style="2" customWidth="1"/>
    <col min="7173" max="7173" width="11.85546875" style="2" customWidth="1"/>
    <col min="7174" max="7174" width="8.28515625" style="2" customWidth="1"/>
    <col min="7175" max="7175" width="17.28515625" style="2" customWidth="1"/>
    <col min="7176" max="7176" width="6.140625" style="2" customWidth="1"/>
    <col min="7177" max="7177" width="15.140625" style="2" customWidth="1"/>
    <col min="7178" max="7178" width="9.140625" style="2"/>
    <col min="7179" max="7179" width="15" style="2" customWidth="1"/>
    <col min="7180" max="7180" width="6.85546875" style="2" customWidth="1"/>
    <col min="7181" max="7181" width="13.28515625" style="2" customWidth="1"/>
    <col min="7182" max="7182" width="9.42578125" style="2" customWidth="1"/>
    <col min="7183" max="7183" width="11" style="2" customWidth="1"/>
    <col min="7184" max="7184" width="10.140625" style="2" customWidth="1"/>
    <col min="7185" max="7185" width="11.140625" style="2" customWidth="1"/>
    <col min="7186" max="7186" width="7" style="2" customWidth="1"/>
    <col min="7187" max="7187" width="10.85546875" style="2" customWidth="1"/>
    <col min="7188" max="7188" width="5.85546875" style="2" customWidth="1"/>
    <col min="7189" max="7189" width="10" style="2" customWidth="1"/>
    <col min="7190" max="7424" width="9.140625" style="2"/>
    <col min="7425" max="7425" width="9.5703125" style="2" customWidth="1"/>
    <col min="7426" max="7426" width="30.7109375" style="2" customWidth="1"/>
    <col min="7427" max="7427" width="14.7109375" style="2" customWidth="1"/>
    <col min="7428" max="7428" width="8.28515625" style="2" customWidth="1"/>
    <col min="7429" max="7429" width="11.85546875" style="2" customWidth="1"/>
    <col min="7430" max="7430" width="8.28515625" style="2" customWidth="1"/>
    <col min="7431" max="7431" width="17.28515625" style="2" customWidth="1"/>
    <col min="7432" max="7432" width="6.140625" style="2" customWidth="1"/>
    <col min="7433" max="7433" width="15.140625" style="2" customWidth="1"/>
    <col min="7434" max="7434" width="9.140625" style="2"/>
    <col min="7435" max="7435" width="15" style="2" customWidth="1"/>
    <col min="7436" max="7436" width="6.85546875" style="2" customWidth="1"/>
    <col min="7437" max="7437" width="13.28515625" style="2" customWidth="1"/>
    <col min="7438" max="7438" width="9.42578125" style="2" customWidth="1"/>
    <col min="7439" max="7439" width="11" style="2" customWidth="1"/>
    <col min="7440" max="7440" width="10.140625" style="2" customWidth="1"/>
    <col min="7441" max="7441" width="11.140625" style="2" customWidth="1"/>
    <col min="7442" max="7442" width="7" style="2" customWidth="1"/>
    <col min="7443" max="7443" width="10.85546875" style="2" customWidth="1"/>
    <col min="7444" max="7444" width="5.85546875" style="2" customWidth="1"/>
    <col min="7445" max="7445" width="10" style="2" customWidth="1"/>
    <col min="7446" max="7680" width="9.140625" style="2"/>
    <col min="7681" max="7681" width="9.5703125" style="2" customWidth="1"/>
    <col min="7682" max="7682" width="30.7109375" style="2" customWidth="1"/>
    <col min="7683" max="7683" width="14.7109375" style="2" customWidth="1"/>
    <col min="7684" max="7684" width="8.28515625" style="2" customWidth="1"/>
    <col min="7685" max="7685" width="11.85546875" style="2" customWidth="1"/>
    <col min="7686" max="7686" width="8.28515625" style="2" customWidth="1"/>
    <col min="7687" max="7687" width="17.28515625" style="2" customWidth="1"/>
    <col min="7688" max="7688" width="6.140625" style="2" customWidth="1"/>
    <col min="7689" max="7689" width="15.140625" style="2" customWidth="1"/>
    <col min="7690" max="7690" width="9.140625" style="2"/>
    <col min="7691" max="7691" width="15" style="2" customWidth="1"/>
    <col min="7692" max="7692" width="6.85546875" style="2" customWidth="1"/>
    <col min="7693" max="7693" width="13.28515625" style="2" customWidth="1"/>
    <col min="7694" max="7694" width="9.42578125" style="2" customWidth="1"/>
    <col min="7695" max="7695" width="11" style="2" customWidth="1"/>
    <col min="7696" max="7696" width="10.140625" style="2" customWidth="1"/>
    <col min="7697" max="7697" width="11.140625" style="2" customWidth="1"/>
    <col min="7698" max="7698" width="7" style="2" customWidth="1"/>
    <col min="7699" max="7699" width="10.85546875" style="2" customWidth="1"/>
    <col min="7700" max="7700" width="5.85546875" style="2" customWidth="1"/>
    <col min="7701" max="7701" width="10" style="2" customWidth="1"/>
    <col min="7702" max="7936" width="9.140625" style="2"/>
    <col min="7937" max="7937" width="9.5703125" style="2" customWidth="1"/>
    <col min="7938" max="7938" width="30.7109375" style="2" customWidth="1"/>
    <col min="7939" max="7939" width="14.7109375" style="2" customWidth="1"/>
    <col min="7940" max="7940" width="8.28515625" style="2" customWidth="1"/>
    <col min="7941" max="7941" width="11.85546875" style="2" customWidth="1"/>
    <col min="7942" max="7942" width="8.28515625" style="2" customWidth="1"/>
    <col min="7943" max="7943" width="17.28515625" style="2" customWidth="1"/>
    <col min="7944" max="7944" width="6.140625" style="2" customWidth="1"/>
    <col min="7945" max="7945" width="15.140625" style="2" customWidth="1"/>
    <col min="7946" max="7946" width="9.140625" style="2"/>
    <col min="7947" max="7947" width="15" style="2" customWidth="1"/>
    <col min="7948" max="7948" width="6.85546875" style="2" customWidth="1"/>
    <col min="7949" max="7949" width="13.28515625" style="2" customWidth="1"/>
    <col min="7950" max="7950" width="9.42578125" style="2" customWidth="1"/>
    <col min="7951" max="7951" width="11" style="2" customWidth="1"/>
    <col min="7952" max="7952" width="10.140625" style="2" customWidth="1"/>
    <col min="7953" max="7953" width="11.140625" style="2" customWidth="1"/>
    <col min="7954" max="7954" width="7" style="2" customWidth="1"/>
    <col min="7955" max="7955" width="10.85546875" style="2" customWidth="1"/>
    <col min="7956" max="7956" width="5.85546875" style="2" customWidth="1"/>
    <col min="7957" max="7957" width="10" style="2" customWidth="1"/>
    <col min="7958" max="8192" width="9.140625" style="2"/>
    <col min="8193" max="8193" width="9.5703125" style="2" customWidth="1"/>
    <col min="8194" max="8194" width="30.7109375" style="2" customWidth="1"/>
    <col min="8195" max="8195" width="14.7109375" style="2" customWidth="1"/>
    <col min="8196" max="8196" width="8.28515625" style="2" customWidth="1"/>
    <col min="8197" max="8197" width="11.85546875" style="2" customWidth="1"/>
    <col min="8198" max="8198" width="8.28515625" style="2" customWidth="1"/>
    <col min="8199" max="8199" width="17.28515625" style="2" customWidth="1"/>
    <col min="8200" max="8200" width="6.140625" style="2" customWidth="1"/>
    <col min="8201" max="8201" width="15.140625" style="2" customWidth="1"/>
    <col min="8202" max="8202" width="9.140625" style="2"/>
    <col min="8203" max="8203" width="15" style="2" customWidth="1"/>
    <col min="8204" max="8204" width="6.85546875" style="2" customWidth="1"/>
    <col min="8205" max="8205" width="13.28515625" style="2" customWidth="1"/>
    <col min="8206" max="8206" width="9.42578125" style="2" customWidth="1"/>
    <col min="8207" max="8207" width="11" style="2" customWidth="1"/>
    <col min="8208" max="8208" width="10.140625" style="2" customWidth="1"/>
    <col min="8209" max="8209" width="11.140625" style="2" customWidth="1"/>
    <col min="8210" max="8210" width="7" style="2" customWidth="1"/>
    <col min="8211" max="8211" width="10.85546875" style="2" customWidth="1"/>
    <col min="8212" max="8212" width="5.85546875" style="2" customWidth="1"/>
    <col min="8213" max="8213" width="10" style="2" customWidth="1"/>
    <col min="8214" max="8448" width="9.140625" style="2"/>
    <col min="8449" max="8449" width="9.5703125" style="2" customWidth="1"/>
    <col min="8450" max="8450" width="30.7109375" style="2" customWidth="1"/>
    <col min="8451" max="8451" width="14.7109375" style="2" customWidth="1"/>
    <col min="8452" max="8452" width="8.28515625" style="2" customWidth="1"/>
    <col min="8453" max="8453" width="11.85546875" style="2" customWidth="1"/>
    <col min="8454" max="8454" width="8.28515625" style="2" customWidth="1"/>
    <col min="8455" max="8455" width="17.28515625" style="2" customWidth="1"/>
    <col min="8456" max="8456" width="6.140625" style="2" customWidth="1"/>
    <col min="8457" max="8457" width="15.140625" style="2" customWidth="1"/>
    <col min="8458" max="8458" width="9.140625" style="2"/>
    <col min="8459" max="8459" width="15" style="2" customWidth="1"/>
    <col min="8460" max="8460" width="6.85546875" style="2" customWidth="1"/>
    <col min="8461" max="8461" width="13.28515625" style="2" customWidth="1"/>
    <col min="8462" max="8462" width="9.42578125" style="2" customWidth="1"/>
    <col min="8463" max="8463" width="11" style="2" customWidth="1"/>
    <col min="8464" max="8464" width="10.140625" style="2" customWidth="1"/>
    <col min="8465" max="8465" width="11.140625" style="2" customWidth="1"/>
    <col min="8466" max="8466" width="7" style="2" customWidth="1"/>
    <col min="8467" max="8467" width="10.85546875" style="2" customWidth="1"/>
    <col min="8468" max="8468" width="5.85546875" style="2" customWidth="1"/>
    <col min="8469" max="8469" width="10" style="2" customWidth="1"/>
    <col min="8470" max="8704" width="9.140625" style="2"/>
    <col min="8705" max="8705" width="9.5703125" style="2" customWidth="1"/>
    <col min="8706" max="8706" width="30.7109375" style="2" customWidth="1"/>
    <col min="8707" max="8707" width="14.7109375" style="2" customWidth="1"/>
    <col min="8708" max="8708" width="8.28515625" style="2" customWidth="1"/>
    <col min="8709" max="8709" width="11.85546875" style="2" customWidth="1"/>
    <col min="8710" max="8710" width="8.28515625" style="2" customWidth="1"/>
    <col min="8711" max="8711" width="17.28515625" style="2" customWidth="1"/>
    <col min="8712" max="8712" width="6.140625" style="2" customWidth="1"/>
    <col min="8713" max="8713" width="15.140625" style="2" customWidth="1"/>
    <col min="8714" max="8714" width="9.140625" style="2"/>
    <col min="8715" max="8715" width="15" style="2" customWidth="1"/>
    <col min="8716" max="8716" width="6.85546875" style="2" customWidth="1"/>
    <col min="8717" max="8717" width="13.28515625" style="2" customWidth="1"/>
    <col min="8718" max="8718" width="9.42578125" style="2" customWidth="1"/>
    <col min="8719" max="8719" width="11" style="2" customWidth="1"/>
    <col min="8720" max="8720" width="10.140625" style="2" customWidth="1"/>
    <col min="8721" max="8721" width="11.140625" style="2" customWidth="1"/>
    <col min="8722" max="8722" width="7" style="2" customWidth="1"/>
    <col min="8723" max="8723" width="10.85546875" style="2" customWidth="1"/>
    <col min="8724" max="8724" width="5.85546875" style="2" customWidth="1"/>
    <col min="8725" max="8725" width="10" style="2" customWidth="1"/>
    <col min="8726" max="8960" width="9.140625" style="2"/>
    <col min="8961" max="8961" width="9.5703125" style="2" customWidth="1"/>
    <col min="8962" max="8962" width="30.7109375" style="2" customWidth="1"/>
    <col min="8963" max="8963" width="14.7109375" style="2" customWidth="1"/>
    <col min="8964" max="8964" width="8.28515625" style="2" customWidth="1"/>
    <col min="8965" max="8965" width="11.85546875" style="2" customWidth="1"/>
    <col min="8966" max="8966" width="8.28515625" style="2" customWidth="1"/>
    <col min="8967" max="8967" width="17.28515625" style="2" customWidth="1"/>
    <col min="8968" max="8968" width="6.140625" style="2" customWidth="1"/>
    <col min="8969" max="8969" width="15.140625" style="2" customWidth="1"/>
    <col min="8970" max="8970" width="9.140625" style="2"/>
    <col min="8971" max="8971" width="15" style="2" customWidth="1"/>
    <col min="8972" max="8972" width="6.85546875" style="2" customWidth="1"/>
    <col min="8973" max="8973" width="13.28515625" style="2" customWidth="1"/>
    <col min="8974" max="8974" width="9.42578125" style="2" customWidth="1"/>
    <col min="8975" max="8975" width="11" style="2" customWidth="1"/>
    <col min="8976" max="8976" width="10.140625" style="2" customWidth="1"/>
    <col min="8977" max="8977" width="11.140625" style="2" customWidth="1"/>
    <col min="8978" max="8978" width="7" style="2" customWidth="1"/>
    <col min="8979" max="8979" width="10.85546875" style="2" customWidth="1"/>
    <col min="8980" max="8980" width="5.85546875" style="2" customWidth="1"/>
    <col min="8981" max="8981" width="10" style="2" customWidth="1"/>
    <col min="8982" max="9216" width="9.140625" style="2"/>
    <col min="9217" max="9217" width="9.5703125" style="2" customWidth="1"/>
    <col min="9218" max="9218" width="30.7109375" style="2" customWidth="1"/>
    <col min="9219" max="9219" width="14.7109375" style="2" customWidth="1"/>
    <col min="9220" max="9220" width="8.28515625" style="2" customWidth="1"/>
    <col min="9221" max="9221" width="11.85546875" style="2" customWidth="1"/>
    <col min="9222" max="9222" width="8.28515625" style="2" customWidth="1"/>
    <col min="9223" max="9223" width="17.28515625" style="2" customWidth="1"/>
    <col min="9224" max="9224" width="6.140625" style="2" customWidth="1"/>
    <col min="9225" max="9225" width="15.140625" style="2" customWidth="1"/>
    <col min="9226" max="9226" width="9.140625" style="2"/>
    <col min="9227" max="9227" width="15" style="2" customWidth="1"/>
    <col min="9228" max="9228" width="6.85546875" style="2" customWidth="1"/>
    <col min="9229" max="9229" width="13.28515625" style="2" customWidth="1"/>
    <col min="9230" max="9230" width="9.42578125" style="2" customWidth="1"/>
    <col min="9231" max="9231" width="11" style="2" customWidth="1"/>
    <col min="9232" max="9232" width="10.140625" style="2" customWidth="1"/>
    <col min="9233" max="9233" width="11.140625" style="2" customWidth="1"/>
    <col min="9234" max="9234" width="7" style="2" customWidth="1"/>
    <col min="9235" max="9235" width="10.85546875" style="2" customWidth="1"/>
    <col min="9236" max="9236" width="5.85546875" style="2" customWidth="1"/>
    <col min="9237" max="9237" width="10" style="2" customWidth="1"/>
    <col min="9238" max="9472" width="9.140625" style="2"/>
    <col min="9473" max="9473" width="9.5703125" style="2" customWidth="1"/>
    <col min="9474" max="9474" width="30.7109375" style="2" customWidth="1"/>
    <col min="9475" max="9475" width="14.7109375" style="2" customWidth="1"/>
    <col min="9476" max="9476" width="8.28515625" style="2" customWidth="1"/>
    <col min="9477" max="9477" width="11.85546875" style="2" customWidth="1"/>
    <col min="9478" max="9478" width="8.28515625" style="2" customWidth="1"/>
    <col min="9479" max="9479" width="17.28515625" style="2" customWidth="1"/>
    <col min="9480" max="9480" width="6.140625" style="2" customWidth="1"/>
    <col min="9481" max="9481" width="15.140625" style="2" customWidth="1"/>
    <col min="9482" max="9482" width="9.140625" style="2"/>
    <col min="9483" max="9483" width="15" style="2" customWidth="1"/>
    <col min="9484" max="9484" width="6.85546875" style="2" customWidth="1"/>
    <col min="9485" max="9485" width="13.28515625" style="2" customWidth="1"/>
    <col min="9486" max="9486" width="9.42578125" style="2" customWidth="1"/>
    <col min="9487" max="9487" width="11" style="2" customWidth="1"/>
    <col min="9488" max="9488" width="10.140625" style="2" customWidth="1"/>
    <col min="9489" max="9489" width="11.140625" style="2" customWidth="1"/>
    <col min="9490" max="9490" width="7" style="2" customWidth="1"/>
    <col min="9491" max="9491" width="10.85546875" style="2" customWidth="1"/>
    <col min="9492" max="9492" width="5.85546875" style="2" customWidth="1"/>
    <col min="9493" max="9493" width="10" style="2" customWidth="1"/>
    <col min="9494" max="9728" width="9.140625" style="2"/>
    <col min="9729" max="9729" width="9.5703125" style="2" customWidth="1"/>
    <col min="9730" max="9730" width="30.7109375" style="2" customWidth="1"/>
    <col min="9731" max="9731" width="14.7109375" style="2" customWidth="1"/>
    <col min="9732" max="9732" width="8.28515625" style="2" customWidth="1"/>
    <col min="9733" max="9733" width="11.85546875" style="2" customWidth="1"/>
    <col min="9734" max="9734" width="8.28515625" style="2" customWidth="1"/>
    <col min="9735" max="9735" width="17.28515625" style="2" customWidth="1"/>
    <col min="9736" max="9736" width="6.140625" style="2" customWidth="1"/>
    <col min="9737" max="9737" width="15.140625" style="2" customWidth="1"/>
    <col min="9738" max="9738" width="9.140625" style="2"/>
    <col min="9739" max="9739" width="15" style="2" customWidth="1"/>
    <col min="9740" max="9740" width="6.85546875" style="2" customWidth="1"/>
    <col min="9741" max="9741" width="13.28515625" style="2" customWidth="1"/>
    <col min="9742" max="9742" width="9.42578125" style="2" customWidth="1"/>
    <col min="9743" max="9743" width="11" style="2" customWidth="1"/>
    <col min="9744" max="9744" width="10.140625" style="2" customWidth="1"/>
    <col min="9745" max="9745" width="11.140625" style="2" customWidth="1"/>
    <col min="9746" max="9746" width="7" style="2" customWidth="1"/>
    <col min="9747" max="9747" width="10.85546875" style="2" customWidth="1"/>
    <col min="9748" max="9748" width="5.85546875" style="2" customWidth="1"/>
    <col min="9749" max="9749" width="10" style="2" customWidth="1"/>
    <col min="9750" max="9984" width="9.140625" style="2"/>
    <col min="9985" max="9985" width="9.5703125" style="2" customWidth="1"/>
    <col min="9986" max="9986" width="30.7109375" style="2" customWidth="1"/>
    <col min="9987" max="9987" width="14.7109375" style="2" customWidth="1"/>
    <col min="9988" max="9988" width="8.28515625" style="2" customWidth="1"/>
    <col min="9989" max="9989" width="11.85546875" style="2" customWidth="1"/>
    <col min="9990" max="9990" width="8.28515625" style="2" customWidth="1"/>
    <col min="9991" max="9991" width="17.28515625" style="2" customWidth="1"/>
    <col min="9992" max="9992" width="6.140625" style="2" customWidth="1"/>
    <col min="9993" max="9993" width="15.140625" style="2" customWidth="1"/>
    <col min="9994" max="9994" width="9.140625" style="2"/>
    <col min="9995" max="9995" width="15" style="2" customWidth="1"/>
    <col min="9996" max="9996" width="6.85546875" style="2" customWidth="1"/>
    <col min="9997" max="9997" width="13.28515625" style="2" customWidth="1"/>
    <col min="9998" max="9998" width="9.42578125" style="2" customWidth="1"/>
    <col min="9999" max="9999" width="11" style="2" customWidth="1"/>
    <col min="10000" max="10000" width="10.140625" style="2" customWidth="1"/>
    <col min="10001" max="10001" width="11.140625" style="2" customWidth="1"/>
    <col min="10002" max="10002" width="7" style="2" customWidth="1"/>
    <col min="10003" max="10003" width="10.85546875" style="2" customWidth="1"/>
    <col min="10004" max="10004" width="5.85546875" style="2" customWidth="1"/>
    <col min="10005" max="10005" width="10" style="2" customWidth="1"/>
    <col min="10006" max="10240" width="9.140625" style="2"/>
    <col min="10241" max="10241" width="9.5703125" style="2" customWidth="1"/>
    <col min="10242" max="10242" width="30.7109375" style="2" customWidth="1"/>
    <col min="10243" max="10243" width="14.7109375" style="2" customWidth="1"/>
    <col min="10244" max="10244" width="8.28515625" style="2" customWidth="1"/>
    <col min="10245" max="10245" width="11.85546875" style="2" customWidth="1"/>
    <col min="10246" max="10246" width="8.28515625" style="2" customWidth="1"/>
    <col min="10247" max="10247" width="17.28515625" style="2" customWidth="1"/>
    <col min="10248" max="10248" width="6.140625" style="2" customWidth="1"/>
    <col min="10249" max="10249" width="15.140625" style="2" customWidth="1"/>
    <col min="10250" max="10250" width="9.140625" style="2"/>
    <col min="10251" max="10251" width="15" style="2" customWidth="1"/>
    <col min="10252" max="10252" width="6.85546875" style="2" customWidth="1"/>
    <col min="10253" max="10253" width="13.28515625" style="2" customWidth="1"/>
    <col min="10254" max="10254" width="9.42578125" style="2" customWidth="1"/>
    <col min="10255" max="10255" width="11" style="2" customWidth="1"/>
    <col min="10256" max="10256" width="10.140625" style="2" customWidth="1"/>
    <col min="10257" max="10257" width="11.140625" style="2" customWidth="1"/>
    <col min="10258" max="10258" width="7" style="2" customWidth="1"/>
    <col min="10259" max="10259" width="10.85546875" style="2" customWidth="1"/>
    <col min="10260" max="10260" width="5.85546875" style="2" customWidth="1"/>
    <col min="10261" max="10261" width="10" style="2" customWidth="1"/>
    <col min="10262" max="10496" width="9.140625" style="2"/>
    <col min="10497" max="10497" width="9.5703125" style="2" customWidth="1"/>
    <col min="10498" max="10498" width="30.7109375" style="2" customWidth="1"/>
    <col min="10499" max="10499" width="14.7109375" style="2" customWidth="1"/>
    <col min="10500" max="10500" width="8.28515625" style="2" customWidth="1"/>
    <col min="10501" max="10501" width="11.85546875" style="2" customWidth="1"/>
    <col min="10502" max="10502" width="8.28515625" style="2" customWidth="1"/>
    <col min="10503" max="10503" width="17.28515625" style="2" customWidth="1"/>
    <col min="10504" max="10504" width="6.140625" style="2" customWidth="1"/>
    <col min="10505" max="10505" width="15.140625" style="2" customWidth="1"/>
    <col min="10506" max="10506" width="9.140625" style="2"/>
    <col min="10507" max="10507" width="15" style="2" customWidth="1"/>
    <col min="10508" max="10508" width="6.85546875" style="2" customWidth="1"/>
    <col min="10509" max="10509" width="13.28515625" style="2" customWidth="1"/>
    <col min="10510" max="10510" width="9.42578125" style="2" customWidth="1"/>
    <col min="10511" max="10511" width="11" style="2" customWidth="1"/>
    <col min="10512" max="10512" width="10.140625" style="2" customWidth="1"/>
    <col min="10513" max="10513" width="11.140625" style="2" customWidth="1"/>
    <col min="10514" max="10514" width="7" style="2" customWidth="1"/>
    <col min="10515" max="10515" width="10.85546875" style="2" customWidth="1"/>
    <col min="10516" max="10516" width="5.85546875" style="2" customWidth="1"/>
    <col min="10517" max="10517" width="10" style="2" customWidth="1"/>
    <col min="10518" max="10752" width="9.140625" style="2"/>
    <col min="10753" max="10753" width="9.5703125" style="2" customWidth="1"/>
    <col min="10754" max="10754" width="30.7109375" style="2" customWidth="1"/>
    <col min="10755" max="10755" width="14.7109375" style="2" customWidth="1"/>
    <col min="10756" max="10756" width="8.28515625" style="2" customWidth="1"/>
    <col min="10757" max="10757" width="11.85546875" style="2" customWidth="1"/>
    <col min="10758" max="10758" width="8.28515625" style="2" customWidth="1"/>
    <col min="10759" max="10759" width="17.28515625" style="2" customWidth="1"/>
    <col min="10760" max="10760" width="6.140625" style="2" customWidth="1"/>
    <col min="10761" max="10761" width="15.140625" style="2" customWidth="1"/>
    <col min="10762" max="10762" width="9.140625" style="2"/>
    <col min="10763" max="10763" width="15" style="2" customWidth="1"/>
    <col min="10764" max="10764" width="6.85546875" style="2" customWidth="1"/>
    <col min="10765" max="10765" width="13.28515625" style="2" customWidth="1"/>
    <col min="10766" max="10766" width="9.42578125" style="2" customWidth="1"/>
    <col min="10767" max="10767" width="11" style="2" customWidth="1"/>
    <col min="10768" max="10768" width="10.140625" style="2" customWidth="1"/>
    <col min="10769" max="10769" width="11.140625" style="2" customWidth="1"/>
    <col min="10770" max="10770" width="7" style="2" customWidth="1"/>
    <col min="10771" max="10771" width="10.85546875" style="2" customWidth="1"/>
    <col min="10772" max="10772" width="5.85546875" style="2" customWidth="1"/>
    <col min="10773" max="10773" width="10" style="2" customWidth="1"/>
    <col min="10774" max="11008" width="9.140625" style="2"/>
    <col min="11009" max="11009" width="9.5703125" style="2" customWidth="1"/>
    <col min="11010" max="11010" width="30.7109375" style="2" customWidth="1"/>
    <col min="11011" max="11011" width="14.7109375" style="2" customWidth="1"/>
    <col min="11012" max="11012" width="8.28515625" style="2" customWidth="1"/>
    <col min="11013" max="11013" width="11.85546875" style="2" customWidth="1"/>
    <col min="11014" max="11014" width="8.28515625" style="2" customWidth="1"/>
    <col min="11015" max="11015" width="17.28515625" style="2" customWidth="1"/>
    <col min="11016" max="11016" width="6.140625" style="2" customWidth="1"/>
    <col min="11017" max="11017" width="15.140625" style="2" customWidth="1"/>
    <col min="11018" max="11018" width="9.140625" style="2"/>
    <col min="11019" max="11019" width="15" style="2" customWidth="1"/>
    <col min="11020" max="11020" width="6.85546875" style="2" customWidth="1"/>
    <col min="11021" max="11021" width="13.28515625" style="2" customWidth="1"/>
    <col min="11022" max="11022" width="9.42578125" style="2" customWidth="1"/>
    <col min="11023" max="11023" width="11" style="2" customWidth="1"/>
    <col min="11024" max="11024" width="10.140625" style="2" customWidth="1"/>
    <col min="11025" max="11025" width="11.140625" style="2" customWidth="1"/>
    <col min="11026" max="11026" width="7" style="2" customWidth="1"/>
    <col min="11027" max="11027" width="10.85546875" style="2" customWidth="1"/>
    <col min="11028" max="11028" width="5.85546875" style="2" customWidth="1"/>
    <col min="11029" max="11029" width="10" style="2" customWidth="1"/>
    <col min="11030" max="11264" width="9.140625" style="2"/>
    <col min="11265" max="11265" width="9.5703125" style="2" customWidth="1"/>
    <col min="11266" max="11266" width="30.7109375" style="2" customWidth="1"/>
    <col min="11267" max="11267" width="14.7109375" style="2" customWidth="1"/>
    <col min="11268" max="11268" width="8.28515625" style="2" customWidth="1"/>
    <col min="11269" max="11269" width="11.85546875" style="2" customWidth="1"/>
    <col min="11270" max="11270" width="8.28515625" style="2" customWidth="1"/>
    <col min="11271" max="11271" width="17.28515625" style="2" customWidth="1"/>
    <col min="11272" max="11272" width="6.140625" style="2" customWidth="1"/>
    <col min="11273" max="11273" width="15.140625" style="2" customWidth="1"/>
    <col min="11274" max="11274" width="9.140625" style="2"/>
    <col min="11275" max="11275" width="15" style="2" customWidth="1"/>
    <col min="11276" max="11276" width="6.85546875" style="2" customWidth="1"/>
    <col min="11277" max="11277" width="13.28515625" style="2" customWidth="1"/>
    <col min="11278" max="11278" width="9.42578125" style="2" customWidth="1"/>
    <col min="11279" max="11279" width="11" style="2" customWidth="1"/>
    <col min="11280" max="11280" width="10.140625" style="2" customWidth="1"/>
    <col min="11281" max="11281" width="11.140625" style="2" customWidth="1"/>
    <col min="11282" max="11282" width="7" style="2" customWidth="1"/>
    <col min="11283" max="11283" width="10.85546875" style="2" customWidth="1"/>
    <col min="11284" max="11284" width="5.85546875" style="2" customWidth="1"/>
    <col min="11285" max="11285" width="10" style="2" customWidth="1"/>
    <col min="11286" max="11520" width="9.140625" style="2"/>
    <col min="11521" max="11521" width="9.5703125" style="2" customWidth="1"/>
    <col min="11522" max="11522" width="30.7109375" style="2" customWidth="1"/>
    <col min="11523" max="11523" width="14.7109375" style="2" customWidth="1"/>
    <col min="11524" max="11524" width="8.28515625" style="2" customWidth="1"/>
    <col min="11525" max="11525" width="11.85546875" style="2" customWidth="1"/>
    <col min="11526" max="11526" width="8.28515625" style="2" customWidth="1"/>
    <col min="11527" max="11527" width="17.28515625" style="2" customWidth="1"/>
    <col min="11528" max="11528" width="6.140625" style="2" customWidth="1"/>
    <col min="11529" max="11529" width="15.140625" style="2" customWidth="1"/>
    <col min="11530" max="11530" width="9.140625" style="2"/>
    <col min="11531" max="11531" width="15" style="2" customWidth="1"/>
    <col min="11532" max="11532" width="6.85546875" style="2" customWidth="1"/>
    <col min="11533" max="11533" width="13.28515625" style="2" customWidth="1"/>
    <col min="11534" max="11534" width="9.42578125" style="2" customWidth="1"/>
    <col min="11535" max="11535" width="11" style="2" customWidth="1"/>
    <col min="11536" max="11536" width="10.140625" style="2" customWidth="1"/>
    <col min="11537" max="11537" width="11.140625" style="2" customWidth="1"/>
    <col min="11538" max="11538" width="7" style="2" customWidth="1"/>
    <col min="11539" max="11539" width="10.85546875" style="2" customWidth="1"/>
    <col min="11540" max="11540" width="5.85546875" style="2" customWidth="1"/>
    <col min="11541" max="11541" width="10" style="2" customWidth="1"/>
    <col min="11542" max="11776" width="9.140625" style="2"/>
    <col min="11777" max="11777" width="9.5703125" style="2" customWidth="1"/>
    <col min="11778" max="11778" width="30.7109375" style="2" customWidth="1"/>
    <col min="11779" max="11779" width="14.7109375" style="2" customWidth="1"/>
    <col min="11780" max="11780" width="8.28515625" style="2" customWidth="1"/>
    <col min="11781" max="11781" width="11.85546875" style="2" customWidth="1"/>
    <col min="11782" max="11782" width="8.28515625" style="2" customWidth="1"/>
    <col min="11783" max="11783" width="17.28515625" style="2" customWidth="1"/>
    <col min="11784" max="11784" width="6.140625" style="2" customWidth="1"/>
    <col min="11785" max="11785" width="15.140625" style="2" customWidth="1"/>
    <col min="11786" max="11786" width="9.140625" style="2"/>
    <col min="11787" max="11787" width="15" style="2" customWidth="1"/>
    <col min="11788" max="11788" width="6.85546875" style="2" customWidth="1"/>
    <col min="11789" max="11789" width="13.28515625" style="2" customWidth="1"/>
    <col min="11790" max="11790" width="9.42578125" style="2" customWidth="1"/>
    <col min="11791" max="11791" width="11" style="2" customWidth="1"/>
    <col min="11792" max="11792" width="10.140625" style="2" customWidth="1"/>
    <col min="11793" max="11793" width="11.140625" style="2" customWidth="1"/>
    <col min="11794" max="11794" width="7" style="2" customWidth="1"/>
    <col min="11795" max="11795" width="10.85546875" style="2" customWidth="1"/>
    <col min="11796" max="11796" width="5.85546875" style="2" customWidth="1"/>
    <col min="11797" max="11797" width="10" style="2" customWidth="1"/>
    <col min="11798" max="12032" width="9.140625" style="2"/>
    <col min="12033" max="12033" width="9.5703125" style="2" customWidth="1"/>
    <col min="12034" max="12034" width="30.7109375" style="2" customWidth="1"/>
    <col min="12035" max="12035" width="14.7109375" style="2" customWidth="1"/>
    <col min="12036" max="12036" width="8.28515625" style="2" customWidth="1"/>
    <col min="12037" max="12037" width="11.85546875" style="2" customWidth="1"/>
    <col min="12038" max="12038" width="8.28515625" style="2" customWidth="1"/>
    <col min="12039" max="12039" width="17.28515625" style="2" customWidth="1"/>
    <col min="12040" max="12040" width="6.140625" style="2" customWidth="1"/>
    <col min="12041" max="12041" width="15.140625" style="2" customWidth="1"/>
    <col min="12042" max="12042" width="9.140625" style="2"/>
    <col min="12043" max="12043" width="15" style="2" customWidth="1"/>
    <col min="12044" max="12044" width="6.85546875" style="2" customWidth="1"/>
    <col min="12045" max="12045" width="13.28515625" style="2" customWidth="1"/>
    <col min="12046" max="12046" width="9.42578125" style="2" customWidth="1"/>
    <col min="12047" max="12047" width="11" style="2" customWidth="1"/>
    <col min="12048" max="12048" width="10.140625" style="2" customWidth="1"/>
    <col min="12049" max="12049" width="11.140625" style="2" customWidth="1"/>
    <col min="12050" max="12050" width="7" style="2" customWidth="1"/>
    <col min="12051" max="12051" width="10.85546875" style="2" customWidth="1"/>
    <col min="12052" max="12052" width="5.85546875" style="2" customWidth="1"/>
    <col min="12053" max="12053" width="10" style="2" customWidth="1"/>
    <col min="12054" max="12288" width="9.140625" style="2"/>
    <col min="12289" max="12289" width="9.5703125" style="2" customWidth="1"/>
    <col min="12290" max="12290" width="30.7109375" style="2" customWidth="1"/>
    <col min="12291" max="12291" width="14.7109375" style="2" customWidth="1"/>
    <col min="12292" max="12292" width="8.28515625" style="2" customWidth="1"/>
    <col min="12293" max="12293" width="11.85546875" style="2" customWidth="1"/>
    <col min="12294" max="12294" width="8.28515625" style="2" customWidth="1"/>
    <col min="12295" max="12295" width="17.28515625" style="2" customWidth="1"/>
    <col min="12296" max="12296" width="6.140625" style="2" customWidth="1"/>
    <col min="12297" max="12297" width="15.140625" style="2" customWidth="1"/>
    <col min="12298" max="12298" width="9.140625" style="2"/>
    <col min="12299" max="12299" width="15" style="2" customWidth="1"/>
    <col min="12300" max="12300" width="6.85546875" style="2" customWidth="1"/>
    <col min="12301" max="12301" width="13.28515625" style="2" customWidth="1"/>
    <col min="12302" max="12302" width="9.42578125" style="2" customWidth="1"/>
    <col min="12303" max="12303" width="11" style="2" customWidth="1"/>
    <col min="12304" max="12304" width="10.140625" style="2" customWidth="1"/>
    <col min="12305" max="12305" width="11.140625" style="2" customWidth="1"/>
    <col min="12306" max="12306" width="7" style="2" customWidth="1"/>
    <col min="12307" max="12307" width="10.85546875" style="2" customWidth="1"/>
    <col min="12308" max="12308" width="5.85546875" style="2" customWidth="1"/>
    <col min="12309" max="12309" width="10" style="2" customWidth="1"/>
    <col min="12310" max="12544" width="9.140625" style="2"/>
    <col min="12545" max="12545" width="9.5703125" style="2" customWidth="1"/>
    <col min="12546" max="12546" width="30.7109375" style="2" customWidth="1"/>
    <col min="12547" max="12547" width="14.7109375" style="2" customWidth="1"/>
    <col min="12548" max="12548" width="8.28515625" style="2" customWidth="1"/>
    <col min="12549" max="12549" width="11.85546875" style="2" customWidth="1"/>
    <col min="12550" max="12550" width="8.28515625" style="2" customWidth="1"/>
    <col min="12551" max="12551" width="17.28515625" style="2" customWidth="1"/>
    <col min="12552" max="12552" width="6.140625" style="2" customWidth="1"/>
    <col min="12553" max="12553" width="15.140625" style="2" customWidth="1"/>
    <col min="12554" max="12554" width="9.140625" style="2"/>
    <col min="12555" max="12555" width="15" style="2" customWidth="1"/>
    <col min="12556" max="12556" width="6.85546875" style="2" customWidth="1"/>
    <col min="12557" max="12557" width="13.28515625" style="2" customWidth="1"/>
    <col min="12558" max="12558" width="9.42578125" style="2" customWidth="1"/>
    <col min="12559" max="12559" width="11" style="2" customWidth="1"/>
    <col min="12560" max="12560" width="10.140625" style="2" customWidth="1"/>
    <col min="12561" max="12561" width="11.140625" style="2" customWidth="1"/>
    <col min="12562" max="12562" width="7" style="2" customWidth="1"/>
    <col min="12563" max="12563" width="10.85546875" style="2" customWidth="1"/>
    <col min="12564" max="12564" width="5.85546875" style="2" customWidth="1"/>
    <col min="12565" max="12565" width="10" style="2" customWidth="1"/>
    <col min="12566" max="12800" width="9.140625" style="2"/>
    <col min="12801" max="12801" width="9.5703125" style="2" customWidth="1"/>
    <col min="12802" max="12802" width="30.7109375" style="2" customWidth="1"/>
    <col min="12803" max="12803" width="14.7109375" style="2" customWidth="1"/>
    <col min="12804" max="12804" width="8.28515625" style="2" customWidth="1"/>
    <col min="12805" max="12805" width="11.85546875" style="2" customWidth="1"/>
    <col min="12806" max="12806" width="8.28515625" style="2" customWidth="1"/>
    <col min="12807" max="12807" width="17.28515625" style="2" customWidth="1"/>
    <col min="12808" max="12808" width="6.140625" style="2" customWidth="1"/>
    <col min="12809" max="12809" width="15.140625" style="2" customWidth="1"/>
    <col min="12810" max="12810" width="9.140625" style="2"/>
    <col min="12811" max="12811" width="15" style="2" customWidth="1"/>
    <col min="12812" max="12812" width="6.85546875" style="2" customWidth="1"/>
    <col min="12813" max="12813" width="13.28515625" style="2" customWidth="1"/>
    <col min="12814" max="12814" width="9.42578125" style="2" customWidth="1"/>
    <col min="12815" max="12815" width="11" style="2" customWidth="1"/>
    <col min="12816" max="12816" width="10.140625" style="2" customWidth="1"/>
    <col min="12817" max="12817" width="11.140625" style="2" customWidth="1"/>
    <col min="12818" max="12818" width="7" style="2" customWidth="1"/>
    <col min="12819" max="12819" width="10.85546875" style="2" customWidth="1"/>
    <col min="12820" max="12820" width="5.85546875" style="2" customWidth="1"/>
    <col min="12821" max="12821" width="10" style="2" customWidth="1"/>
    <col min="12822" max="13056" width="9.140625" style="2"/>
    <col min="13057" max="13057" width="9.5703125" style="2" customWidth="1"/>
    <col min="13058" max="13058" width="30.7109375" style="2" customWidth="1"/>
    <col min="13059" max="13059" width="14.7109375" style="2" customWidth="1"/>
    <col min="13060" max="13060" width="8.28515625" style="2" customWidth="1"/>
    <col min="13061" max="13061" width="11.85546875" style="2" customWidth="1"/>
    <col min="13062" max="13062" width="8.28515625" style="2" customWidth="1"/>
    <col min="13063" max="13063" width="17.28515625" style="2" customWidth="1"/>
    <col min="13064" max="13064" width="6.140625" style="2" customWidth="1"/>
    <col min="13065" max="13065" width="15.140625" style="2" customWidth="1"/>
    <col min="13066" max="13066" width="9.140625" style="2"/>
    <col min="13067" max="13067" width="15" style="2" customWidth="1"/>
    <col min="13068" max="13068" width="6.85546875" style="2" customWidth="1"/>
    <col min="13069" max="13069" width="13.28515625" style="2" customWidth="1"/>
    <col min="13070" max="13070" width="9.42578125" style="2" customWidth="1"/>
    <col min="13071" max="13071" width="11" style="2" customWidth="1"/>
    <col min="13072" max="13072" width="10.140625" style="2" customWidth="1"/>
    <col min="13073" max="13073" width="11.140625" style="2" customWidth="1"/>
    <col min="13074" max="13074" width="7" style="2" customWidth="1"/>
    <col min="13075" max="13075" width="10.85546875" style="2" customWidth="1"/>
    <col min="13076" max="13076" width="5.85546875" style="2" customWidth="1"/>
    <col min="13077" max="13077" width="10" style="2" customWidth="1"/>
    <col min="13078" max="13312" width="9.140625" style="2"/>
    <col min="13313" max="13313" width="9.5703125" style="2" customWidth="1"/>
    <col min="13314" max="13314" width="30.7109375" style="2" customWidth="1"/>
    <col min="13315" max="13315" width="14.7109375" style="2" customWidth="1"/>
    <col min="13316" max="13316" width="8.28515625" style="2" customWidth="1"/>
    <col min="13317" max="13317" width="11.85546875" style="2" customWidth="1"/>
    <col min="13318" max="13318" width="8.28515625" style="2" customWidth="1"/>
    <col min="13319" max="13319" width="17.28515625" style="2" customWidth="1"/>
    <col min="13320" max="13320" width="6.140625" style="2" customWidth="1"/>
    <col min="13321" max="13321" width="15.140625" style="2" customWidth="1"/>
    <col min="13322" max="13322" width="9.140625" style="2"/>
    <col min="13323" max="13323" width="15" style="2" customWidth="1"/>
    <col min="13324" max="13324" width="6.85546875" style="2" customWidth="1"/>
    <col min="13325" max="13325" width="13.28515625" style="2" customWidth="1"/>
    <col min="13326" max="13326" width="9.42578125" style="2" customWidth="1"/>
    <col min="13327" max="13327" width="11" style="2" customWidth="1"/>
    <col min="13328" max="13328" width="10.140625" style="2" customWidth="1"/>
    <col min="13329" max="13329" width="11.140625" style="2" customWidth="1"/>
    <col min="13330" max="13330" width="7" style="2" customWidth="1"/>
    <col min="13331" max="13331" width="10.85546875" style="2" customWidth="1"/>
    <col min="13332" max="13332" width="5.85546875" style="2" customWidth="1"/>
    <col min="13333" max="13333" width="10" style="2" customWidth="1"/>
    <col min="13334" max="13568" width="9.140625" style="2"/>
    <col min="13569" max="13569" width="9.5703125" style="2" customWidth="1"/>
    <col min="13570" max="13570" width="30.7109375" style="2" customWidth="1"/>
    <col min="13571" max="13571" width="14.7109375" style="2" customWidth="1"/>
    <col min="13572" max="13572" width="8.28515625" style="2" customWidth="1"/>
    <col min="13573" max="13573" width="11.85546875" style="2" customWidth="1"/>
    <col min="13574" max="13574" width="8.28515625" style="2" customWidth="1"/>
    <col min="13575" max="13575" width="17.28515625" style="2" customWidth="1"/>
    <col min="13576" max="13576" width="6.140625" style="2" customWidth="1"/>
    <col min="13577" max="13577" width="15.140625" style="2" customWidth="1"/>
    <col min="13578" max="13578" width="9.140625" style="2"/>
    <col min="13579" max="13579" width="15" style="2" customWidth="1"/>
    <col min="13580" max="13580" width="6.85546875" style="2" customWidth="1"/>
    <col min="13581" max="13581" width="13.28515625" style="2" customWidth="1"/>
    <col min="13582" max="13582" width="9.42578125" style="2" customWidth="1"/>
    <col min="13583" max="13583" width="11" style="2" customWidth="1"/>
    <col min="13584" max="13584" width="10.140625" style="2" customWidth="1"/>
    <col min="13585" max="13585" width="11.140625" style="2" customWidth="1"/>
    <col min="13586" max="13586" width="7" style="2" customWidth="1"/>
    <col min="13587" max="13587" width="10.85546875" style="2" customWidth="1"/>
    <col min="13588" max="13588" width="5.85546875" style="2" customWidth="1"/>
    <col min="13589" max="13589" width="10" style="2" customWidth="1"/>
    <col min="13590" max="13824" width="9.140625" style="2"/>
    <col min="13825" max="13825" width="9.5703125" style="2" customWidth="1"/>
    <col min="13826" max="13826" width="30.7109375" style="2" customWidth="1"/>
    <col min="13827" max="13827" width="14.7109375" style="2" customWidth="1"/>
    <col min="13828" max="13828" width="8.28515625" style="2" customWidth="1"/>
    <col min="13829" max="13829" width="11.85546875" style="2" customWidth="1"/>
    <col min="13830" max="13830" width="8.28515625" style="2" customWidth="1"/>
    <col min="13831" max="13831" width="17.28515625" style="2" customWidth="1"/>
    <col min="13832" max="13832" width="6.140625" style="2" customWidth="1"/>
    <col min="13833" max="13833" width="15.140625" style="2" customWidth="1"/>
    <col min="13834" max="13834" width="9.140625" style="2"/>
    <col min="13835" max="13835" width="15" style="2" customWidth="1"/>
    <col min="13836" max="13836" width="6.85546875" style="2" customWidth="1"/>
    <col min="13837" max="13837" width="13.28515625" style="2" customWidth="1"/>
    <col min="13838" max="13838" width="9.42578125" style="2" customWidth="1"/>
    <col min="13839" max="13839" width="11" style="2" customWidth="1"/>
    <col min="13840" max="13840" width="10.140625" style="2" customWidth="1"/>
    <col min="13841" max="13841" width="11.140625" style="2" customWidth="1"/>
    <col min="13842" max="13842" width="7" style="2" customWidth="1"/>
    <col min="13843" max="13843" width="10.85546875" style="2" customWidth="1"/>
    <col min="13844" max="13844" width="5.85546875" style="2" customWidth="1"/>
    <col min="13845" max="13845" width="10" style="2" customWidth="1"/>
    <col min="13846" max="14080" width="9.140625" style="2"/>
    <col min="14081" max="14081" width="9.5703125" style="2" customWidth="1"/>
    <col min="14082" max="14082" width="30.7109375" style="2" customWidth="1"/>
    <col min="14083" max="14083" width="14.7109375" style="2" customWidth="1"/>
    <col min="14084" max="14084" width="8.28515625" style="2" customWidth="1"/>
    <col min="14085" max="14085" width="11.85546875" style="2" customWidth="1"/>
    <col min="14086" max="14086" width="8.28515625" style="2" customWidth="1"/>
    <col min="14087" max="14087" width="17.28515625" style="2" customWidth="1"/>
    <col min="14088" max="14088" width="6.140625" style="2" customWidth="1"/>
    <col min="14089" max="14089" width="15.140625" style="2" customWidth="1"/>
    <col min="14090" max="14090" width="9.140625" style="2"/>
    <col min="14091" max="14091" width="15" style="2" customWidth="1"/>
    <col min="14092" max="14092" width="6.85546875" style="2" customWidth="1"/>
    <col min="14093" max="14093" width="13.28515625" style="2" customWidth="1"/>
    <col min="14094" max="14094" width="9.42578125" style="2" customWidth="1"/>
    <col min="14095" max="14095" width="11" style="2" customWidth="1"/>
    <col min="14096" max="14096" width="10.140625" style="2" customWidth="1"/>
    <col min="14097" max="14097" width="11.140625" style="2" customWidth="1"/>
    <col min="14098" max="14098" width="7" style="2" customWidth="1"/>
    <col min="14099" max="14099" width="10.85546875" style="2" customWidth="1"/>
    <col min="14100" max="14100" width="5.85546875" style="2" customWidth="1"/>
    <col min="14101" max="14101" width="10" style="2" customWidth="1"/>
    <col min="14102" max="14336" width="9.140625" style="2"/>
    <col min="14337" max="14337" width="9.5703125" style="2" customWidth="1"/>
    <col min="14338" max="14338" width="30.7109375" style="2" customWidth="1"/>
    <col min="14339" max="14339" width="14.7109375" style="2" customWidth="1"/>
    <col min="14340" max="14340" width="8.28515625" style="2" customWidth="1"/>
    <col min="14341" max="14341" width="11.85546875" style="2" customWidth="1"/>
    <col min="14342" max="14342" width="8.28515625" style="2" customWidth="1"/>
    <col min="14343" max="14343" width="17.28515625" style="2" customWidth="1"/>
    <col min="14344" max="14344" width="6.140625" style="2" customWidth="1"/>
    <col min="14345" max="14345" width="15.140625" style="2" customWidth="1"/>
    <col min="14346" max="14346" width="9.140625" style="2"/>
    <col min="14347" max="14347" width="15" style="2" customWidth="1"/>
    <col min="14348" max="14348" width="6.85546875" style="2" customWidth="1"/>
    <col min="14349" max="14349" width="13.28515625" style="2" customWidth="1"/>
    <col min="14350" max="14350" width="9.42578125" style="2" customWidth="1"/>
    <col min="14351" max="14351" width="11" style="2" customWidth="1"/>
    <col min="14352" max="14352" width="10.140625" style="2" customWidth="1"/>
    <col min="14353" max="14353" width="11.140625" style="2" customWidth="1"/>
    <col min="14354" max="14354" width="7" style="2" customWidth="1"/>
    <col min="14355" max="14355" width="10.85546875" style="2" customWidth="1"/>
    <col min="14356" max="14356" width="5.85546875" style="2" customWidth="1"/>
    <col min="14357" max="14357" width="10" style="2" customWidth="1"/>
    <col min="14358" max="14592" width="9.140625" style="2"/>
    <col min="14593" max="14593" width="9.5703125" style="2" customWidth="1"/>
    <col min="14594" max="14594" width="30.7109375" style="2" customWidth="1"/>
    <col min="14595" max="14595" width="14.7109375" style="2" customWidth="1"/>
    <col min="14596" max="14596" width="8.28515625" style="2" customWidth="1"/>
    <col min="14597" max="14597" width="11.85546875" style="2" customWidth="1"/>
    <col min="14598" max="14598" width="8.28515625" style="2" customWidth="1"/>
    <col min="14599" max="14599" width="17.28515625" style="2" customWidth="1"/>
    <col min="14600" max="14600" width="6.140625" style="2" customWidth="1"/>
    <col min="14601" max="14601" width="15.140625" style="2" customWidth="1"/>
    <col min="14602" max="14602" width="9.140625" style="2"/>
    <col min="14603" max="14603" width="15" style="2" customWidth="1"/>
    <col min="14604" max="14604" width="6.85546875" style="2" customWidth="1"/>
    <col min="14605" max="14605" width="13.28515625" style="2" customWidth="1"/>
    <col min="14606" max="14606" width="9.42578125" style="2" customWidth="1"/>
    <col min="14607" max="14607" width="11" style="2" customWidth="1"/>
    <col min="14608" max="14608" width="10.140625" style="2" customWidth="1"/>
    <col min="14609" max="14609" width="11.140625" style="2" customWidth="1"/>
    <col min="14610" max="14610" width="7" style="2" customWidth="1"/>
    <col min="14611" max="14611" width="10.85546875" style="2" customWidth="1"/>
    <col min="14612" max="14612" width="5.85546875" style="2" customWidth="1"/>
    <col min="14613" max="14613" width="10" style="2" customWidth="1"/>
    <col min="14614" max="14848" width="9.140625" style="2"/>
    <col min="14849" max="14849" width="9.5703125" style="2" customWidth="1"/>
    <col min="14850" max="14850" width="30.7109375" style="2" customWidth="1"/>
    <col min="14851" max="14851" width="14.7109375" style="2" customWidth="1"/>
    <col min="14852" max="14852" width="8.28515625" style="2" customWidth="1"/>
    <col min="14853" max="14853" width="11.85546875" style="2" customWidth="1"/>
    <col min="14854" max="14854" width="8.28515625" style="2" customWidth="1"/>
    <col min="14855" max="14855" width="17.28515625" style="2" customWidth="1"/>
    <col min="14856" max="14856" width="6.140625" style="2" customWidth="1"/>
    <col min="14857" max="14857" width="15.140625" style="2" customWidth="1"/>
    <col min="14858" max="14858" width="9.140625" style="2"/>
    <col min="14859" max="14859" width="15" style="2" customWidth="1"/>
    <col min="14860" max="14860" width="6.85546875" style="2" customWidth="1"/>
    <col min="14861" max="14861" width="13.28515625" style="2" customWidth="1"/>
    <col min="14862" max="14862" width="9.42578125" style="2" customWidth="1"/>
    <col min="14863" max="14863" width="11" style="2" customWidth="1"/>
    <col min="14864" max="14864" width="10.140625" style="2" customWidth="1"/>
    <col min="14865" max="14865" width="11.140625" style="2" customWidth="1"/>
    <col min="14866" max="14866" width="7" style="2" customWidth="1"/>
    <col min="14867" max="14867" width="10.85546875" style="2" customWidth="1"/>
    <col min="14868" max="14868" width="5.85546875" style="2" customWidth="1"/>
    <col min="14869" max="14869" width="10" style="2" customWidth="1"/>
    <col min="14870" max="15104" width="9.140625" style="2"/>
    <col min="15105" max="15105" width="9.5703125" style="2" customWidth="1"/>
    <col min="15106" max="15106" width="30.7109375" style="2" customWidth="1"/>
    <col min="15107" max="15107" width="14.7109375" style="2" customWidth="1"/>
    <col min="15108" max="15108" width="8.28515625" style="2" customWidth="1"/>
    <col min="15109" max="15109" width="11.85546875" style="2" customWidth="1"/>
    <col min="15110" max="15110" width="8.28515625" style="2" customWidth="1"/>
    <col min="15111" max="15111" width="17.28515625" style="2" customWidth="1"/>
    <col min="15112" max="15112" width="6.140625" style="2" customWidth="1"/>
    <col min="15113" max="15113" width="15.140625" style="2" customWidth="1"/>
    <col min="15114" max="15114" width="9.140625" style="2"/>
    <col min="15115" max="15115" width="15" style="2" customWidth="1"/>
    <col min="15116" max="15116" width="6.85546875" style="2" customWidth="1"/>
    <col min="15117" max="15117" width="13.28515625" style="2" customWidth="1"/>
    <col min="15118" max="15118" width="9.42578125" style="2" customWidth="1"/>
    <col min="15119" max="15119" width="11" style="2" customWidth="1"/>
    <col min="15120" max="15120" width="10.140625" style="2" customWidth="1"/>
    <col min="15121" max="15121" width="11.140625" style="2" customWidth="1"/>
    <col min="15122" max="15122" width="7" style="2" customWidth="1"/>
    <col min="15123" max="15123" width="10.85546875" style="2" customWidth="1"/>
    <col min="15124" max="15124" width="5.85546875" style="2" customWidth="1"/>
    <col min="15125" max="15125" width="10" style="2" customWidth="1"/>
    <col min="15126" max="15360" width="9.140625" style="2"/>
    <col min="15361" max="15361" width="9.5703125" style="2" customWidth="1"/>
    <col min="15362" max="15362" width="30.7109375" style="2" customWidth="1"/>
    <col min="15363" max="15363" width="14.7109375" style="2" customWidth="1"/>
    <col min="15364" max="15364" width="8.28515625" style="2" customWidth="1"/>
    <col min="15365" max="15365" width="11.85546875" style="2" customWidth="1"/>
    <col min="15366" max="15366" width="8.28515625" style="2" customWidth="1"/>
    <col min="15367" max="15367" width="17.28515625" style="2" customWidth="1"/>
    <col min="15368" max="15368" width="6.140625" style="2" customWidth="1"/>
    <col min="15369" max="15369" width="15.140625" style="2" customWidth="1"/>
    <col min="15370" max="15370" width="9.140625" style="2"/>
    <col min="15371" max="15371" width="15" style="2" customWidth="1"/>
    <col min="15372" max="15372" width="6.85546875" style="2" customWidth="1"/>
    <col min="15373" max="15373" width="13.28515625" style="2" customWidth="1"/>
    <col min="15374" max="15374" width="9.42578125" style="2" customWidth="1"/>
    <col min="15375" max="15375" width="11" style="2" customWidth="1"/>
    <col min="15376" max="15376" width="10.140625" style="2" customWidth="1"/>
    <col min="15377" max="15377" width="11.140625" style="2" customWidth="1"/>
    <col min="15378" max="15378" width="7" style="2" customWidth="1"/>
    <col min="15379" max="15379" width="10.85546875" style="2" customWidth="1"/>
    <col min="15380" max="15380" width="5.85546875" style="2" customWidth="1"/>
    <col min="15381" max="15381" width="10" style="2" customWidth="1"/>
    <col min="15382" max="15616" width="9.140625" style="2"/>
    <col min="15617" max="15617" width="9.5703125" style="2" customWidth="1"/>
    <col min="15618" max="15618" width="30.7109375" style="2" customWidth="1"/>
    <col min="15619" max="15619" width="14.7109375" style="2" customWidth="1"/>
    <col min="15620" max="15620" width="8.28515625" style="2" customWidth="1"/>
    <col min="15621" max="15621" width="11.85546875" style="2" customWidth="1"/>
    <col min="15622" max="15622" width="8.28515625" style="2" customWidth="1"/>
    <col min="15623" max="15623" width="17.28515625" style="2" customWidth="1"/>
    <col min="15624" max="15624" width="6.140625" style="2" customWidth="1"/>
    <col min="15625" max="15625" width="15.140625" style="2" customWidth="1"/>
    <col min="15626" max="15626" width="9.140625" style="2"/>
    <col min="15627" max="15627" width="15" style="2" customWidth="1"/>
    <col min="15628" max="15628" width="6.85546875" style="2" customWidth="1"/>
    <col min="15629" max="15629" width="13.28515625" style="2" customWidth="1"/>
    <col min="15630" max="15630" width="9.42578125" style="2" customWidth="1"/>
    <col min="15631" max="15631" width="11" style="2" customWidth="1"/>
    <col min="15632" max="15632" width="10.140625" style="2" customWidth="1"/>
    <col min="15633" max="15633" width="11.140625" style="2" customWidth="1"/>
    <col min="15634" max="15634" width="7" style="2" customWidth="1"/>
    <col min="15635" max="15635" width="10.85546875" style="2" customWidth="1"/>
    <col min="15636" max="15636" width="5.85546875" style="2" customWidth="1"/>
    <col min="15637" max="15637" width="10" style="2" customWidth="1"/>
    <col min="15638" max="15872" width="9.140625" style="2"/>
    <col min="15873" max="15873" width="9.5703125" style="2" customWidth="1"/>
    <col min="15874" max="15874" width="30.7109375" style="2" customWidth="1"/>
    <col min="15875" max="15875" width="14.7109375" style="2" customWidth="1"/>
    <col min="15876" max="15876" width="8.28515625" style="2" customWidth="1"/>
    <col min="15877" max="15877" width="11.85546875" style="2" customWidth="1"/>
    <col min="15878" max="15878" width="8.28515625" style="2" customWidth="1"/>
    <col min="15879" max="15879" width="17.28515625" style="2" customWidth="1"/>
    <col min="15880" max="15880" width="6.140625" style="2" customWidth="1"/>
    <col min="15881" max="15881" width="15.140625" style="2" customWidth="1"/>
    <col min="15882" max="15882" width="9.140625" style="2"/>
    <col min="15883" max="15883" width="15" style="2" customWidth="1"/>
    <col min="15884" max="15884" width="6.85546875" style="2" customWidth="1"/>
    <col min="15885" max="15885" width="13.28515625" style="2" customWidth="1"/>
    <col min="15886" max="15886" width="9.42578125" style="2" customWidth="1"/>
    <col min="15887" max="15887" width="11" style="2" customWidth="1"/>
    <col min="15888" max="15888" width="10.140625" style="2" customWidth="1"/>
    <col min="15889" max="15889" width="11.140625" style="2" customWidth="1"/>
    <col min="15890" max="15890" width="7" style="2" customWidth="1"/>
    <col min="15891" max="15891" width="10.85546875" style="2" customWidth="1"/>
    <col min="15892" max="15892" width="5.85546875" style="2" customWidth="1"/>
    <col min="15893" max="15893" width="10" style="2" customWidth="1"/>
    <col min="15894" max="16128" width="9.140625" style="2"/>
    <col min="16129" max="16129" width="9.5703125" style="2" customWidth="1"/>
    <col min="16130" max="16130" width="30.7109375" style="2" customWidth="1"/>
    <col min="16131" max="16131" width="14.7109375" style="2" customWidth="1"/>
    <col min="16132" max="16132" width="8.28515625" style="2" customWidth="1"/>
    <col min="16133" max="16133" width="11.85546875" style="2" customWidth="1"/>
    <col min="16134" max="16134" width="8.28515625" style="2" customWidth="1"/>
    <col min="16135" max="16135" width="17.28515625" style="2" customWidth="1"/>
    <col min="16136" max="16136" width="6.140625" style="2" customWidth="1"/>
    <col min="16137" max="16137" width="15.140625" style="2" customWidth="1"/>
    <col min="16138" max="16138" width="9.140625" style="2"/>
    <col min="16139" max="16139" width="15" style="2" customWidth="1"/>
    <col min="16140" max="16140" width="6.85546875" style="2" customWidth="1"/>
    <col min="16141" max="16141" width="13.28515625" style="2" customWidth="1"/>
    <col min="16142" max="16142" width="9.42578125" style="2" customWidth="1"/>
    <col min="16143" max="16143" width="11" style="2" customWidth="1"/>
    <col min="16144" max="16144" width="10.140625" style="2" customWidth="1"/>
    <col min="16145" max="16145" width="11.140625" style="2" customWidth="1"/>
    <col min="16146" max="16146" width="7" style="2" customWidth="1"/>
    <col min="16147" max="16147" width="10.85546875" style="2" customWidth="1"/>
    <col min="16148" max="16148" width="5.85546875" style="2" customWidth="1"/>
    <col min="16149" max="16149" width="10" style="2" customWidth="1"/>
    <col min="16150" max="16384" width="9.140625" style="2"/>
  </cols>
  <sheetData>
    <row r="1" spans="1:22" x14ac:dyDescent="0.2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spans="1:22" ht="15" x14ac:dyDescent="0.2">
      <c r="A2" s="3" t="s">
        <v>1</v>
      </c>
      <c r="B2" s="4">
        <v>45962</v>
      </c>
      <c r="C2" s="5"/>
      <c r="D2" s="5"/>
      <c r="E2" s="6"/>
      <c r="F2" s="7"/>
      <c r="G2" s="8"/>
      <c r="H2" s="9"/>
      <c r="I2" s="8"/>
      <c r="J2" s="10"/>
      <c r="K2" s="8"/>
      <c r="L2" s="9"/>
      <c r="M2" s="11"/>
      <c r="N2" s="9"/>
      <c r="O2" s="12"/>
      <c r="P2" s="13"/>
      <c r="Q2" s="12"/>
      <c r="R2" s="9"/>
      <c r="S2" s="12"/>
      <c r="T2" s="12"/>
      <c r="U2" s="12"/>
    </row>
    <row r="3" spans="1:22" x14ac:dyDescent="0.2">
      <c r="A3" s="14" t="s">
        <v>2</v>
      </c>
      <c r="B3" s="15" t="s">
        <v>3</v>
      </c>
      <c r="H3" s="90"/>
      <c r="I3" s="90"/>
      <c r="J3" s="90"/>
      <c r="K3" s="90"/>
      <c r="L3" s="90"/>
      <c r="M3" s="90"/>
      <c r="N3" s="90"/>
      <c r="O3" s="90"/>
    </row>
    <row r="4" spans="1:22" x14ac:dyDescent="0.2">
      <c r="A4" s="91" t="s">
        <v>4</v>
      </c>
      <c r="B4" s="93" t="s">
        <v>5</v>
      </c>
      <c r="C4" s="95" t="s">
        <v>6</v>
      </c>
      <c r="D4" s="95" t="s">
        <v>317</v>
      </c>
      <c r="E4" s="97" t="s">
        <v>7</v>
      </c>
      <c r="F4" s="99" t="s">
        <v>8</v>
      </c>
      <c r="G4" s="101" t="s">
        <v>9</v>
      </c>
      <c r="H4" s="85">
        <v>45984</v>
      </c>
      <c r="I4" s="86"/>
      <c r="J4" s="85">
        <v>45985</v>
      </c>
      <c r="K4" s="86"/>
      <c r="L4" s="85">
        <v>45986</v>
      </c>
      <c r="M4" s="86"/>
      <c r="N4" s="85">
        <v>45987</v>
      </c>
      <c r="O4" s="86"/>
      <c r="P4" s="85">
        <v>45988</v>
      </c>
      <c r="Q4" s="86"/>
      <c r="R4" s="85">
        <v>45989</v>
      </c>
      <c r="S4" s="86"/>
      <c r="T4" s="85">
        <v>45990</v>
      </c>
      <c r="U4" s="86"/>
      <c r="V4" s="87" t="s">
        <v>10</v>
      </c>
    </row>
    <row r="5" spans="1:22" x14ac:dyDescent="0.2">
      <c r="A5" s="92"/>
      <c r="B5" s="94"/>
      <c r="C5" s="96"/>
      <c r="D5" s="96"/>
      <c r="E5" s="98"/>
      <c r="F5" s="100"/>
      <c r="G5" s="102"/>
      <c r="H5" s="22" t="s">
        <v>11</v>
      </c>
      <c r="I5" s="23" t="s">
        <v>9</v>
      </c>
      <c r="J5" s="24" t="s">
        <v>11</v>
      </c>
      <c r="K5" s="23" t="s">
        <v>9</v>
      </c>
      <c r="L5" s="25" t="s">
        <v>11</v>
      </c>
      <c r="M5" s="26" t="s">
        <v>9</v>
      </c>
      <c r="N5" s="25" t="s">
        <v>11</v>
      </c>
      <c r="O5" s="27" t="s">
        <v>9</v>
      </c>
      <c r="P5" s="24" t="s">
        <v>11</v>
      </c>
      <c r="Q5" s="27" t="s">
        <v>9</v>
      </c>
      <c r="R5" s="25" t="s">
        <v>11</v>
      </c>
      <c r="S5" s="27" t="s">
        <v>9</v>
      </c>
      <c r="T5" s="27" t="s">
        <v>11</v>
      </c>
      <c r="U5" s="27" t="s">
        <v>9</v>
      </c>
      <c r="V5" s="88"/>
    </row>
    <row r="6" spans="1:22" ht="30" x14ac:dyDescent="0.3">
      <c r="A6" s="28">
        <v>1</v>
      </c>
      <c r="B6" s="29" t="s">
        <v>12</v>
      </c>
      <c r="C6" s="30" t="s">
        <v>13</v>
      </c>
      <c r="D6" s="30" t="s">
        <v>319</v>
      </c>
      <c r="E6" s="31">
        <f>'[1]Week  (3)'!U6</f>
        <v>2</v>
      </c>
      <c r="F6" s="31"/>
      <c r="G6" s="31"/>
      <c r="H6" s="31"/>
      <c r="I6" s="31"/>
      <c r="J6" s="31"/>
      <c r="K6" s="31"/>
      <c r="L6" s="27"/>
      <c r="M6" s="25"/>
      <c r="N6" s="25"/>
      <c r="O6" s="25"/>
      <c r="P6" s="24"/>
      <c r="Q6" s="27"/>
      <c r="R6" s="27"/>
      <c r="S6" s="25"/>
      <c r="T6" s="27"/>
      <c r="U6" s="27"/>
      <c r="V6" s="31">
        <f>E6+G6+-(I6+K6+M6+O6+Q6+S6+U6)</f>
        <v>2</v>
      </c>
    </row>
    <row r="7" spans="1:22" ht="30" x14ac:dyDescent="0.3">
      <c r="A7" s="28">
        <f>A6+1</f>
        <v>2</v>
      </c>
      <c r="B7" s="29" t="s">
        <v>14</v>
      </c>
      <c r="C7" s="30" t="s">
        <v>13</v>
      </c>
      <c r="D7" s="30" t="s">
        <v>319</v>
      </c>
      <c r="E7" s="31">
        <f>'[1]Week  (3)'!U7</f>
        <v>1</v>
      </c>
      <c r="F7" s="32"/>
      <c r="G7" s="33"/>
      <c r="H7" s="34"/>
      <c r="I7" s="35"/>
      <c r="J7" s="24"/>
      <c r="K7" s="36"/>
      <c r="L7" s="27"/>
      <c r="M7" s="25"/>
      <c r="N7" s="25"/>
      <c r="O7" s="25"/>
      <c r="P7" s="24"/>
      <c r="Q7" s="27"/>
      <c r="R7" s="27"/>
      <c r="S7" s="25"/>
      <c r="T7" s="27"/>
      <c r="U7" s="27"/>
      <c r="V7" s="31">
        <f t="shared" ref="V7:V70" si="0">E7+G7+-(I7+K7+M7+O7+Q7+S7+U7)</f>
        <v>1</v>
      </c>
    </row>
    <row r="8" spans="1:22" ht="30" x14ac:dyDescent="0.3">
      <c r="A8" s="28">
        <f t="shared" ref="A8:A71" si="1">A7+1</f>
        <v>3</v>
      </c>
      <c r="B8" s="104" t="s">
        <v>15</v>
      </c>
      <c r="C8" s="30" t="s">
        <v>13</v>
      </c>
      <c r="D8" s="30" t="s">
        <v>319</v>
      </c>
      <c r="E8" s="31">
        <f>'[1]Week  (3)'!U8</f>
        <v>0</v>
      </c>
      <c r="F8" s="37"/>
      <c r="G8" s="38"/>
      <c r="H8" s="39"/>
      <c r="I8" s="38"/>
      <c r="J8" s="40"/>
      <c r="K8" s="38"/>
      <c r="L8" s="27"/>
      <c r="M8" s="25"/>
      <c r="N8" s="25"/>
      <c r="O8" s="25"/>
      <c r="P8" s="24"/>
      <c r="Q8" s="27"/>
      <c r="R8" s="27"/>
      <c r="S8" s="25"/>
      <c r="T8" s="27"/>
      <c r="U8" s="27"/>
      <c r="V8" s="31">
        <f t="shared" si="0"/>
        <v>0</v>
      </c>
    </row>
    <row r="9" spans="1:22" ht="30" x14ac:dyDescent="0.3">
      <c r="A9" s="28">
        <f t="shared" si="1"/>
        <v>4</v>
      </c>
      <c r="B9" s="104" t="s">
        <v>16</v>
      </c>
      <c r="C9" s="30" t="s">
        <v>13</v>
      </c>
      <c r="D9" s="30" t="s">
        <v>319</v>
      </c>
      <c r="E9" s="31">
        <f>'[1]Week  (3)'!U9</f>
        <v>0</v>
      </c>
      <c r="F9" s="32"/>
      <c r="G9" s="33"/>
      <c r="H9" s="34"/>
      <c r="I9" s="35"/>
      <c r="J9" s="24"/>
      <c r="K9" s="36"/>
      <c r="L9" s="27"/>
      <c r="M9" s="25"/>
      <c r="N9" s="25"/>
      <c r="O9" s="25"/>
      <c r="P9" s="24"/>
      <c r="Q9" s="27"/>
      <c r="R9" s="27"/>
      <c r="S9" s="25"/>
      <c r="T9" s="27"/>
      <c r="U9" s="27"/>
      <c r="V9" s="31">
        <f t="shared" si="0"/>
        <v>0</v>
      </c>
    </row>
    <row r="10" spans="1:22" ht="30" x14ac:dyDescent="0.3">
      <c r="A10" s="28">
        <f t="shared" si="1"/>
        <v>5</v>
      </c>
      <c r="B10" s="104" t="s">
        <v>17</v>
      </c>
      <c r="C10" s="30" t="s">
        <v>13</v>
      </c>
      <c r="D10" s="30" t="s">
        <v>319</v>
      </c>
      <c r="E10" s="31">
        <f>'[1]Week  (3)'!U10</f>
        <v>1</v>
      </c>
      <c r="F10" s="37"/>
      <c r="G10" s="38"/>
      <c r="H10" s="39"/>
      <c r="I10" s="38"/>
      <c r="J10" s="40"/>
      <c r="K10" s="38"/>
      <c r="L10" s="27"/>
      <c r="M10" s="25"/>
      <c r="N10" s="25"/>
      <c r="O10" s="25"/>
      <c r="P10" s="24"/>
      <c r="Q10" s="27"/>
      <c r="R10" s="27"/>
      <c r="S10" s="25"/>
      <c r="T10" s="27"/>
      <c r="U10" s="27"/>
      <c r="V10" s="31">
        <f t="shared" si="0"/>
        <v>1</v>
      </c>
    </row>
    <row r="11" spans="1:22" ht="30" x14ac:dyDescent="0.3">
      <c r="A11" s="28">
        <f t="shared" si="1"/>
        <v>6</v>
      </c>
      <c r="B11" s="104" t="s">
        <v>18</v>
      </c>
      <c r="C11" s="30" t="s">
        <v>13</v>
      </c>
      <c r="D11" s="30" t="s">
        <v>319</v>
      </c>
      <c r="E11" s="31">
        <f>'[1]Week  (3)'!U11</f>
        <v>0</v>
      </c>
      <c r="F11" s="32"/>
      <c r="G11" s="33"/>
      <c r="H11" s="34"/>
      <c r="I11" s="35"/>
      <c r="J11" s="24"/>
      <c r="K11" s="36"/>
      <c r="L11" s="27"/>
      <c r="M11" s="25"/>
      <c r="N11" s="25"/>
      <c r="O11" s="25"/>
      <c r="P11" s="24"/>
      <c r="Q11" s="27"/>
      <c r="R11" s="27"/>
      <c r="S11" s="25"/>
      <c r="T11" s="27"/>
      <c r="U11" s="27"/>
      <c r="V11" s="31">
        <f t="shared" si="0"/>
        <v>0</v>
      </c>
    </row>
    <row r="12" spans="1:22" ht="15" x14ac:dyDescent="0.3">
      <c r="A12" s="28">
        <f t="shared" si="1"/>
        <v>7</v>
      </c>
      <c r="B12" s="41" t="s">
        <v>19</v>
      </c>
      <c r="C12" s="30" t="s">
        <v>20</v>
      </c>
      <c r="D12" s="30" t="s">
        <v>320</v>
      </c>
      <c r="E12" s="31">
        <f>'[1]Week  (3)'!U12</f>
        <v>17</v>
      </c>
      <c r="F12" s="37"/>
      <c r="G12" s="38"/>
      <c r="H12" s="39"/>
      <c r="I12" s="38"/>
      <c r="J12" s="40"/>
      <c r="K12" s="38"/>
      <c r="L12" s="39"/>
      <c r="M12" s="38"/>
      <c r="N12" s="25"/>
      <c r="O12" s="25"/>
      <c r="P12" s="24"/>
      <c r="Q12" s="27"/>
      <c r="R12" s="27"/>
      <c r="S12" s="25"/>
      <c r="T12" s="27"/>
      <c r="U12" s="27"/>
      <c r="V12" s="31">
        <f t="shared" si="0"/>
        <v>17</v>
      </c>
    </row>
    <row r="13" spans="1:22" ht="15" x14ac:dyDescent="0.3">
      <c r="A13" s="28">
        <f t="shared" si="1"/>
        <v>8</v>
      </c>
      <c r="B13" s="41" t="s">
        <v>21</v>
      </c>
      <c r="C13" s="30" t="s">
        <v>20</v>
      </c>
      <c r="D13" s="30" t="s">
        <v>320</v>
      </c>
      <c r="E13" s="31">
        <f>'[1]Week  (3)'!U13</f>
        <v>26</v>
      </c>
      <c r="F13" s="32"/>
      <c r="G13" s="33"/>
      <c r="H13" s="39"/>
      <c r="I13" s="35"/>
      <c r="J13" s="40"/>
      <c r="K13" s="36"/>
      <c r="L13" s="39"/>
      <c r="M13" s="38"/>
      <c r="N13" s="25"/>
      <c r="O13" s="25"/>
      <c r="P13" s="24"/>
      <c r="Q13" s="27"/>
      <c r="R13" s="27"/>
      <c r="S13" s="25"/>
      <c r="T13" s="27"/>
      <c r="U13" s="27"/>
      <c r="V13" s="31">
        <f t="shared" si="0"/>
        <v>26</v>
      </c>
    </row>
    <row r="14" spans="1:22" ht="15" x14ac:dyDescent="0.3">
      <c r="A14" s="28">
        <f t="shared" si="1"/>
        <v>9</v>
      </c>
      <c r="B14" s="41" t="s">
        <v>22</v>
      </c>
      <c r="C14" s="30" t="s">
        <v>23</v>
      </c>
      <c r="D14" s="30" t="s">
        <v>325</v>
      </c>
      <c r="E14" s="31">
        <f>'[1]Week  (3)'!U14</f>
        <v>8</v>
      </c>
      <c r="F14" s="37"/>
      <c r="G14" s="38"/>
      <c r="H14" s="39"/>
      <c r="I14" s="38"/>
      <c r="J14" s="40" t="s">
        <v>24</v>
      </c>
      <c r="K14" s="38">
        <v>1</v>
      </c>
      <c r="L14" s="27"/>
      <c r="M14" s="25"/>
      <c r="N14" s="25"/>
      <c r="O14" s="25"/>
      <c r="P14" s="24"/>
      <c r="Q14" s="27"/>
      <c r="R14" s="27"/>
      <c r="S14" s="25"/>
      <c r="T14" s="27"/>
      <c r="U14" s="27"/>
      <c r="V14" s="31">
        <f t="shared" si="0"/>
        <v>7</v>
      </c>
    </row>
    <row r="15" spans="1:22" ht="15" x14ac:dyDescent="0.3">
      <c r="A15" s="28">
        <f t="shared" si="1"/>
        <v>10</v>
      </c>
      <c r="B15" s="41" t="s">
        <v>25</v>
      </c>
      <c r="C15" s="30" t="s">
        <v>20</v>
      </c>
      <c r="D15" s="30" t="s">
        <v>320</v>
      </c>
      <c r="E15" s="31">
        <f>'[1]Week  (3)'!U15</f>
        <v>0</v>
      </c>
      <c r="F15" s="37">
        <v>45985</v>
      </c>
      <c r="G15" s="33">
        <v>20</v>
      </c>
      <c r="H15" s="34"/>
      <c r="I15" s="35"/>
      <c r="J15" s="34"/>
      <c r="K15" s="35"/>
      <c r="L15" s="34"/>
      <c r="M15" s="35"/>
      <c r="N15" s="34"/>
      <c r="O15" s="35"/>
      <c r="P15" s="34"/>
      <c r="Q15" s="27"/>
      <c r="R15" s="34"/>
      <c r="S15" s="27"/>
      <c r="T15" s="27"/>
      <c r="U15" s="27"/>
      <c r="V15" s="31">
        <f t="shared" si="0"/>
        <v>20</v>
      </c>
    </row>
    <row r="16" spans="1:22" ht="15" x14ac:dyDescent="0.3">
      <c r="A16" s="28">
        <f t="shared" si="1"/>
        <v>11</v>
      </c>
      <c r="B16" s="41" t="s">
        <v>26</v>
      </c>
      <c r="C16" s="30" t="s">
        <v>20</v>
      </c>
      <c r="D16" s="30" t="s">
        <v>320</v>
      </c>
      <c r="E16" s="31">
        <f>'[1]Week  (3)'!U16</f>
        <v>11</v>
      </c>
      <c r="F16" s="37"/>
      <c r="G16" s="38"/>
      <c r="H16" s="34"/>
      <c r="I16" s="38"/>
      <c r="J16" s="24"/>
      <c r="K16" s="38"/>
      <c r="L16" s="27"/>
      <c r="M16" s="25"/>
      <c r="N16" s="34"/>
      <c r="O16" s="35"/>
      <c r="P16" s="24"/>
      <c r="Q16" s="27"/>
      <c r="R16" s="27"/>
      <c r="S16" s="25"/>
      <c r="T16" s="27"/>
      <c r="U16" s="27"/>
      <c r="V16" s="31">
        <f t="shared" si="0"/>
        <v>11</v>
      </c>
    </row>
    <row r="17" spans="1:1421" ht="13.5" customHeight="1" x14ac:dyDescent="0.2">
      <c r="A17" s="28">
        <f t="shared" si="1"/>
        <v>12</v>
      </c>
      <c r="B17" s="42" t="s">
        <v>27</v>
      </c>
      <c r="C17" s="43" t="s">
        <v>28</v>
      </c>
      <c r="D17" s="43" t="s">
        <v>324</v>
      </c>
      <c r="E17" s="31">
        <f>'[1]Week  (3)'!U17</f>
        <v>3</v>
      </c>
      <c r="F17" s="32"/>
      <c r="G17" s="33"/>
      <c r="H17" s="34"/>
      <c r="I17" s="35"/>
      <c r="J17" s="24"/>
      <c r="K17" s="36"/>
      <c r="L17" s="27"/>
      <c r="M17" s="25"/>
      <c r="N17" s="25"/>
      <c r="O17" s="25"/>
      <c r="P17" s="24"/>
      <c r="Q17" s="27"/>
      <c r="R17" s="27"/>
      <c r="S17" s="25"/>
      <c r="T17" s="27"/>
      <c r="U17" s="27"/>
      <c r="V17" s="31">
        <f t="shared" si="0"/>
        <v>3</v>
      </c>
    </row>
    <row r="18" spans="1:1421" ht="13.5" customHeight="1" x14ac:dyDescent="0.2">
      <c r="A18" s="28">
        <f t="shared" si="1"/>
        <v>13</v>
      </c>
      <c r="B18" s="42" t="s">
        <v>29</v>
      </c>
      <c r="C18" s="43" t="s">
        <v>28</v>
      </c>
      <c r="D18" s="43" t="s">
        <v>324</v>
      </c>
      <c r="E18" s="31">
        <f>'[1]Week  (3)'!U18</f>
        <v>7</v>
      </c>
      <c r="F18" s="32"/>
      <c r="G18" s="38"/>
      <c r="H18" s="39"/>
      <c r="I18" s="38"/>
      <c r="J18" s="40"/>
      <c r="K18" s="38"/>
      <c r="L18" s="27"/>
      <c r="M18" s="25"/>
      <c r="N18" s="25"/>
      <c r="O18" s="25"/>
      <c r="P18" s="24"/>
      <c r="Q18" s="27"/>
      <c r="R18" s="27"/>
      <c r="S18" s="25"/>
      <c r="T18" s="27"/>
      <c r="U18" s="27"/>
      <c r="V18" s="31">
        <f t="shared" si="0"/>
        <v>7</v>
      </c>
    </row>
    <row r="19" spans="1:1421" ht="15" x14ac:dyDescent="0.3">
      <c r="A19" s="28">
        <f t="shared" si="1"/>
        <v>14</v>
      </c>
      <c r="B19" s="44" t="s">
        <v>30</v>
      </c>
      <c r="C19" s="45" t="s">
        <v>31</v>
      </c>
      <c r="D19" s="45" t="s">
        <v>320</v>
      </c>
      <c r="E19" s="31">
        <f>'[1]Week  (3)'!U19</f>
        <v>0</v>
      </c>
      <c r="F19" s="32"/>
      <c r="G19" s="33"/>
      <c r="H19" s="34"/>
      <c r="I19" s="35"/>
      <c r="J19" s="46"/>
      <c r="K19" s="35"/>
      <c r="L19" s="27"/>
      <c r="M19" s="25"/>
      <c r="N19" s="25"/>
      <c r="O19" s="25"/>
      <c r="P19" s="24"/>
      <c r="Q19" s="27"/>
      <c r="R19" s="24"/>
      <c r="S19" s="25"/>
      <c r="T19" s="27"/>
      <c r="U19" s="27"/>
      <c r="V19" s="31">
        <f t="shared" si="0"/>
        <v>0</v>
      </c>
    </row>
    <row r="20" spans="1:1421" ht="45.75" customHeight="1" x14ac:dyDescent="0.3">
      <c r="A20" s="28">
        <f t="shared" si="1"/>
        <v>15</v>
      </c>
      <c r="B20" s="44" t="s">
        <v>32</v>
      </c>
      <c r="C20" s="30" t="s">
        <v>31</v>
      </c>
      <c r="D20" s="30" t="s">
        <v>320</v>
      </c>
      <c r="E20" s="31">
        <f>'[1]Week  (3)'!U20</f>
        <v>5</v>
      </c>
      <c r="F20" s="32"/>
      <c r="G20" s="38"/>
      <c r="H20" s="34"/>
      <c r="I20" s="38"/>
      <c r="J20" s="40"/>
      <c r="K20" s="38"/>
      <c r="L20" s="27"/>
      <c r="M20" s="25"/>
      <c r="N20" s="25"/>
      <c r="O20" s="25"/>
      <c r="P20" s="24"/>
      <c r="Q20" s="27"/>
      <c r="R20" s="26"/>
      <c r="S20" s="25"/>
      <c r="T20" s="27"/>
      <c r="U20" s="27"/>
      <c r="V20" s="31">
        <f t="shared" si="0"/>
        <v>5</v>
      </c>
    </row>
    <row r="21" spans="1:1421" ht="15" x14ac:dyDescent="0.3">
      <c r="A21" s="28">
        <f t="shared" si="1"/>
        <v>16</v>
      </c>
      <c r="B21" s="44" t="s">
        <v>33</v>
      </c>
      <c r="C21" s="30" t="s">
        <v>31</v>
      </c>
      <c r="D21" s="30" t="s">
        <v>320</v>
      </c>
      <c r="E21" s="31">
        <f>'[1]Week  (3)'!U21</f>
        <v>6</v>
      </c>
      <c r="F21" s="32"/>
      <c r="G21" s="33"/>
      <c r="H21" s="34"/>
      <c r="I21" s="35"/>
      <c r="J21" s="24"/>
      <c r="K21" s="36"/>
      <c r="L21" s="27"/>
      <c r="M21" s="25"/>
      <c r="N21" s="25"/>
      <c r="O21" s="25"/>
      <c r="P21" s="24"/>
      <c r="Q21" s="27"/>
      <c r="R21" s="27"/>
      <c r="S21" s="25"/>
      <c r="T21" s="27"/>
      <c r="U21" s="27"/>
      <c r="V21" s="31">
        <f t="shared" si="0"/>
        <v>6</v>
      </c>
    </row>
    <row r="22" spans="1:1421" s="48" customFormat="1" ht="15" x14ac:dyDescent="0.3">
      <c r="A22" s="28">
        <f t="shared" si="1"/>
        <v>17</v>
      </c>
      <c r="B22" s="29" t="s">
        <v>34</v>
      </c>
      <c r="C22" s="30" t="s">
        <v>31</v>
      </c>
      <c r="D22" s="30" t="s">
        <v>320</v>
      </c>
      <c r="E22" s="31">
        <f>'[1]Week  (3)'!U22</f>
        <v>14</v>
      </c>
      <c r="F22" s="37"/>
      <c r="G22" s="38"/>
      <c r="H22" s="39"/>
      <c r="I22" s="38"/>
      <c r="J22" s="40"/>
      <c r="K22" s="38"/>
      <c r="L22" s="24"/>
      <c r="M22" s="25"/>
      <c r="N22" s="25"/>
      <c r="O22" s="25"/>
      <c r="P22" s="24"/>
      <c r="Q22" s="27"/>
      <c r="R22" s="24"/>
      <c r="S22" s="25"/>
      <c r="T22" s="27"/>
      <c r="U22" s="27"/>
      <c r="V22" s="31">
        <f t="shared" si="0"/>
        <v>14</v>
      </c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  <c r="AGT22" s="47"/>
      <c r="AGU22" s="47"/>
      <c r="AGV22" s="47"/>
      <c r="AGW22" s="47"/>
      <c r="AGX22" s="47"/>
      <c r="AGY22" s="47"/>
      <c r="AGZ22" s="47"/>
      <c r="AHA22" s="47"/>
      <c r="AHB22" s="47"/>
      <c r="AHC22" s="47"/>
      <c r="AHD22" s="47"/>
      <c r="AHE22" s="47"/>
      <c r="AHF22" s="47"/>
      <c r="AHG22" s="47"/>
      <c r="AHH22" s="47"/>
      <c r="AHI22" s="47"/>
      <c r="AHJ22" s="47"/>
      <c r="AHK22" s="47"/>
      <c r="AHL22" s="47"/>
      <c r="AHM22" s="47"/>
      <c r="AHN22" s="47"/>
      <c r="AHO22" s="47"/>
      <c r="AHP22" s="47"/>
      <c r="AHQ22" s="47"/>
      <c r="AHR22" s="47"/>
      <c r="AHS22" s="47"/>
      <c r="AHT22" s="47"/>
      <c r="AHU22" s="47"/>
      <c r="AHV22" s="47"/>
      <c r="AHW22" s="47"/>
      <c r="AHX22" s="47"/>
      <c r="AHY22" s="47"/>
      <c r="AHZ22" s="47"/>
      <c r="AIA22" s="47"/>
      <c r="AIB22" s="47"/>
      <c r="AIC22" s="47"/>
      <c r="AID22" s="47"/>
      <c r="AIE22" s="47"/>
      <c r="AIF22" s="47"/>
      <c r="AIG22" s="47"/>
      <c r="AIH22" s="47"/>
      <c r="AII22" s="47"/>
      <c r="AIJ22" s="47"/>
      <c r="AIK22" s="47"/>
      <c r="AIL22" s="47"/>
      <c r="AIM22" s="47"/>
      <c r="AIN22" s="47"/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7"/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  <c r="AKK22" s="47"/>
      <c r="AKL22" s="47"/>
      <c r="AKM22" s="47"/>
      <c r="AKN22" s="47"/>
      <c r="AKO22" s="47"/>
      <c r="AKP22" s="47"/>
      <c r="AKQ22" s="47"/>
      <c r="AKR22" s="47"/>
      <c r="AKS22" s="47"/>
      <c r="AKT22" s="47"/>
      <c r="AKU22" s="47"/>
      <c r="AKV22" s="47"/>
      <c r="AKW22" s="47"/>
      <c r="AKX22" s="47"/>
      <c r="AKY22" s="47"/>
      <c r="AKZ22" s="47"/>
      <c r="ALA22" s="47"/>
      <c r="ALB22" s="47"/>
      <c r="ALC22" s="47"/>
      <c r="ALD22" s="47"/>
      <c r="ALE22" s="47"/>
      <c r="ALF22" s="47"/>
      <c r="ALG22" s="47"/>
      <c r="ALH22" s="47"/>
      <c r="ALI22" s="47"/>
      <c r="ALJ22" s="47"/>
      <c r="ALK22" s="47"/>
      <c r="ALL22" s="47"/>
      <c r="ALM22" s="47"/>
      <c r="ALN22" s="47"/>
      <c r="ALO22" s="47"/>
      <c r="ALP22" s="47"/>
      <c r="ALQ22" s="47"/>
      <c r="ALR22" s="47"/>
      <c r="ALS22" s="47"/>
      <c r="ALT22" s="47"/>
      <c r="ALU22" s="47"/>
      <c r="ALV22" s="47"/>
      <c r="ALW22" s="47"/>
      <c r="ALX22" s="47"/>
      <c r="ALY22" s="47"/>
      <c r="ALZ22" s="47"/>
      <c r="AMA22" s="47"/>
      <c r="AMB22" s="47"/>
      <c r="AMC22" s="47"/>
      <c r="AMD22" s="47"/>
      <c r="AME22" s="47"/>
      <c r="AMF22" s="47"/>
      <c r="AMG22" s="47"/>
      <c r="AMH22" s="47"/>
      <c r="AMI22" s="47"/>
      <c r="AMJ22" s="47"/>
      <c r="AMK22" s="47"/>
      <c r="AML22" s="47"/>
      <c r="AMM22" s="47"/>
      <c r="AMN22" s="47"/>
      <c r="AMO22" s="47"/>
      <c r="AMP22" s="47"/>
      <c r="AMQ22" s="47"/>
      <c r="AMR22" s="47"/>
      <c r="AMS22" s="47"/>
      <c r="AMT22" s="47"/>
      <c r="AMU22" s="47"/>
      <c r="AMV22" s="47"/>
      <c r="AMW22" s="47"/>
      <c r="AMX22" s="47"/>
      <c r="AMY22" s="47"/>
      <c r="AMZ22" s="47"/>
      <c r="ANA22" s="47"/>
      <c r="ANB22" s="47"/>
      <c r="ANC22" s="47"/>
      <c r="AND22" s="47"/>
      <c r="ANE22" s="47"/>
      <c r="ANF22" s="47"/>
      <c r="ANG22" s="47"/>
      <c r="ANH22" s="47"/>
      <c r="ANI22" s="47"/>
      <c r="ANJ22" s="47"/>
      <c r="ANK22" s="47"/>
      <c r="ANL22" s="47"/>
      <c r="ANM22" s="47"/>
      <c r="ANN22" s="47"/>
      <c r="ANO22" s="47"/>
      <c r="ANP22" s="47"/>
      <c r="ANQ22" s="47"/>
      <c r="ANR22" s="47"/>
      <c r="ANS22" s="47"/>
      <c r="ANT22" s="47"/>
      <c r="ANU22" s="47"/>
      <c r="ANV22" s="47"/>
      <c r="ANW22" s="47"/>
      <c r="ANX22" s="47"/>
      <c r="ANY22" s="47"/>
      <c r="ANZ22" s="47"/>
      <c r="AOA22" s="47"/>
      <c r="AOB22" s="47"/>
      <c r="AOC22" s="47"/>
      <c r="AOD22" s="47"/>
      <c r="AOE22" s="47"/>
      <c r="AOF22" s="47"/>
      <c r="AOG22" s="47"/>
      <c r="AOH22" s="47"/>
      <c r="AOI22" s="47"/>
      <c r="AOJ22" s="47"/>
      <c r="AOK22" s="47"/>
      <c r="AOL22" s="47"/>
      <c r="AOM22" s="47"/>
      <c r="AON22" s="47"/>
      <c r="AOO22" s="47"/>
      <c r="AOP22" s="47"/>
      <c r="AOQ22" s="47"/>
      <c r="AOR22" s="47"/>
      <c r="AOS22" s="47"/>
      <c r="AOT22" s="47"/>
      <c r="AOU22" s="47"/>
      <c r="AOV22" s="47"/>
      <c r="AOW22" s="47"/>
      <c r="AOX22" s="47"/>
      <c r="AOY22" s="47"/>
      <c r="AOZ22" s="47"/>
      <c r="APA22" s="47"/>
      <c r="APB22" s="47"/>
      <c r="APC22" s="47"/>
      <c r="APD22" s="47"/>
      <c r="APE22" s="47"/>
      <c r="APF22" s="47"/>
      <c r="APG22" s="47"/>
      <c r="APH22" s="47"/>
      <c r="API22" s="47"/>
      <c r="APJ22" s="47"/>
      <c r="APK22" s="47"/>
      <c r="APL22" s="47"/>
      <c r="APM22" s="47"/>
      <c r="APN22" s="47"/>
      <c r="APO22" s="47"/>
      <c r="APP22" s="47"/>
      <c r="APQ22" s="47"/>
      <c r="APR22" s="47"/>
      <c r="APS22" s="47"/>
      <c r="APT22" s="47"/>
      <c r="APU22" s="47"/>
      <c r="APV22" s="47"/>
      <c r="APW22" s="47"/>
      <c r="APX22" s="47"/>
      <c r="APY22" s="47"/>
      <c r="APZ22" s="47"/>
      <c r="AQA22" s="47"/>
      <c r="AQB22" s="47"/>
      <c r="AQC22" s="47"/>
      <c r="AQD22" s="47"/>
      <c r="AQE22" s="47"/>
      <c r="AQF22" s="47"/>
      <c r="AQG22" s="47"/>
      <c r="AQH22" s="47"/>
      <c r="AQI22" s="47"/>
      <c r="AQJ22" s="47"/>
      <c r="AQK22" s="47"/>
      <c r="AQL22" s="47"/>
      <c r="AQM22" s="47"/>
      <c r="AQN22" s="47"/>
      <c r="AQO22" s="47"/>
      <c r="AQP22" s="47"/>
      <c r="AQQ22" s="47"/>
      <c r="AQR22" s="47"/>
      <c r="AQS22" s="47"/>
      <c r="AQT22" s="47"/>
      <c r="AQU22" s="47"/>
      <c r="AQV22" s="47"/>
      <c r="AQW22" s="47"/>
      <c r="AQX22" s="47"/>
      <c r="AQY22" s="47"/>
      <c r="AQZ22" s="47"/>
      <c r="ARA22" s="47"/>
      <c r="ARB22" s="47"/>
      <c r="ARC22" s="47"/>
      <c r="ARD22" s="47"/>
      <c r="ARE22" s="47"/>
      <c r="ARF22" s="47"/>
      <c r="ARG22" s="47"/>
      <c r="ARH22" s="47"/>
      <c r="ARI22" s="47"/>
      <c r="ARJ22" s="47"/>
      <c r="ARK22" s="47"/>
      <c r="ARL22" s="47"/>
      <c r="ARM22" s="47"/>
      <c r="ARN22" s="47"/>
      <c r="ARO22" s="47"/>
      <c r="ARP22" s="47"/>
      <c r="ARQ22" s="47"/>
      <c r="ARR22" s="47"/>
      <c r="ARS22" s="47"/>
      <c r="ART22" s="47"/>
      <c r="ARU22" s="47"/>
      <c r="ARV22" s="47"/>
      <c r="ARW22" s="47"/>
      <c r="ARX22" s="47"/>
      <c r="ARY22" s="47"/>
      <c r="ARZ22" s="47"/>
      <c r="ASA22" s="47"/>
      <c r="ASB22" s="47"/>
      <c r="ASC22" s="47"/>
      <c r="ASD22" s="47"/>
      <c r="ASE22" s="47"/>
      <c r="ASF22" s="47"/>
      <c r="ASG22" s="47"/>
      <c r="ASH22" s="47"/>
      <c r="ASI22" s="47"/>
      <c r="ASJ22" s="47"/>
      <c r="ASK22" s="47"/>
      <c r="ASL22" s="47"/>
      <c r="ASM22" s="47"/>
      <c r="ASN22" s="47"/>
      <c r="ASO22" s="47"/>
      <c r="ASP22" s="47"/>
      <c r="ASQ22" s="47"/>
      <c r="ASR22" s="47"/>
      <c r="ASS22" s="47"/>
      <c r="AST22" s="47"/>
      <c r="ASU22" s="47"/>
      <c r="ASV22" s="47"/>
      <c r="ASW22" s="47"/>
      <c r="ASX22" s="47"/>
      <c r="ASY22" s="47"/>
      <c r="ASZ22" s="47"/>
      <c r="ATA22" s="47"/>
      <c r="ATB22" s="47"/>
      <c r="ATC22" s="47"/>
      <c r="ATD22" s="47"/>
      <c r="ATE22" s="47"/>
      <c r="ATF22" s="47"/>
      <c r="ATG22" s="47"/>
      <c r="ATH22" s="47"/>
      <c r="ATI22" s="47"/>
      <c r="ATJ22" s="47"/>
      <c r="ATK22" s="47"/>
      <c r="ATL22" s="47"/>
      <c r="ATM22" s="47"/>
      <c r="ATN22" s="47"/>
      <c r="ATO22" s="47"/>
      <c r="ATP22" s="47"/>
      <c r="ATQ22" s="47"/>
      <c r="ATR22" s="47"/>
      <c r="ATS22" s="47"/>
      <c r="ATT22" s="47"/>
      <c r="ATU22" s="47"/>
      <c r="ATV22" s="47"/>
      <c r="ATW22" s="47"/>
      <c r="ATX22" s="47"/>
      <c r="ATY22" s="47"/>
      <c r="ATZ22" s="47"/>
      <c r="AUA22" s="47"/>
      <c r="AUB22" s="47"/>
      <c r="AUC22" s="47"/>
      <c r="AUD22" s="47"/>
      <c r="AUE22" s="47"/>
      <c r="AUF22" s="47"/>
      <c r="AUG22" s="47"/>
      <c r="AUH22" s="47"/>
      <c r="AUI22" s="47"/>
      <c r="AUJ22" s="47"/>
      <c r="AUK22" s="47"/>
      <c r="AUL22" s="47"/>
      <c r="AUM22" s="47"/>
      <c r="AUN22" s="47"/>
      <c r="AUO22" s="47"/>
      <c r="AUP22" s="47"/>
      <c r="AUQ22" s="47"/>
      <c r="AUR22" s="47"/>
      <c r="AUS22" s="47"/>
      <c r="AUT22" s="47"/>
      <c r="AUU22" s="47"/>
      <c r="AUV22" s="47"/>
      <c r="AUW22" s="47"/>
      <c r="AUX22" s="47"/>
      <c r="AUY22" s="47"/>
      <c r="AUZ22" s="47"/>
      <c r="AVA22" s="47"/>
      <c r="AVB22" s="47"/>
      <c r="AVC22" s="47"/>
      <c r="AVD22" s="47"/>
      <c r="AVE22" s="47"/>
      <c r="AVF22" s="47"/>
      <c r="AVG22" s="47"/>
      <c r="AVH22" s="47"/>
      <c r="AVI22" s="47"/>
      <c r="AVJ22" s="47"/>
      <c r="AVK22" s="47"/>
      <c r="AVL22" s="47"/>
      <c r="AVM22" s="47"/>
      <c r="AVN22" s="47"/>
      <c r="AVO22" s="47"/>
      <c r="AVP22" s="47"/>
      <c r="AVQ22" s="47"/>
      <c r="AVR22" s="47"/>
      <c r="AVS22" s="47"/>
      <c r="AVT22" s="47"/>
      <c r="AVU22" s="47"/>
      <c r="AVV22" s="47"/>
      <c r="AVW22" s="47"/>
      <c r="AVX22" s="47"/>
      <c r="AVY22" s="47"/>
      <c r="AVZ22" s="47"/>
      <c r="AWA22" s="47"/>
      <c r="AWB22" s="47"/>
      <c r="AWC22" s="47"/>
      <c r="AWD22" s="47"/>
      <c r="AWE22" s="47"/>
      <c r="AWF22" s="47"/>
      <c r="AWG22" s="47"/>
      <c r="AWH22" s="47"/>
      <c r="AWI22" s="47"/>
      <c r="AWJ22" s="47"/>
      <c r="AWK22" s="47"/>
      <c r="AWL22" s="47"/>
      <c r="AWM22" s="47"/>
      <c r="AWN22" s="47"/>
      <c r="AWO22" s="47"/>
      <c r="AWP22" s="47"/>
      <c r="AWQ22" s="47"/>
      <c r="AWR22" s="47"/>
      <c r="AWS22" s="47"/>
      <c r="AWT22" s="47"/>
      <c r="AWU22" s="47"/>
      <c r="AWV22" s="47"/>
      <c r="AWW22" s="47"/>
      <c r="AWX22" s="47"/>
      <c r="AWY22" s="47"/>
      <c r="AWZ22" s="47"/>
      <c r="AXA22" s="47"/>
      <c r="AXB22" s="47"/>
      <c r="AXC22" s="47"/>
      <c r="AXD22" s="47"/>
      <c r="AXE22" s="47"/>
      <c r="AXF22" s="47"/>
      <c r="AXG22" s="47"/>
      <c r="AXH22" s="47"/>
      <c r="AXI22" s="47"/>
      <c r="AXJ22" s="47"/>
      <c r="AXK22" s="47"/>
      <c r="AXL22" s="47"/>
      <c r="AXM22" s="47"/>
      <c r="AXN22" s="47"/>
      <c r="AXO22" s="47"/>
      <c r="AXP22" s="47"/>
      <c r="AXQ22" s="47"/>
      <c r="AXR22" s="47"/>
      <c r="AXS22" s="47"/>
      <c r="AXT22" s="47"/>
      <c r="AXU22" s="47"/>
      <c r="AXV22" s="47"/>
      <c r="AXW22" s="47"/>
      <c r="AXX22" s="47"/>
      <c r="AXY22" s="47"/>
      <c r="AXZ22" s="47"/>
      <c r="AYA22" s="47"/>
      <c r="AYB22" s="47"/>
      <c r="AYC22" s="47"/>
      <c r="AYD22" s="47"/>
      <c r="AYE22" s="47"/>
      <c r="AYF22" s="47"/>
      <c r="AYG22" s="47"/>
      <c r="AYH22" s="47"/>
      <c r="AYI22" s="47"/>
      <c r="AYJ22" s="47"/>
      <c r="AYK22" s="47"/>
      <c r="AYL22" s="47"/>
      <c r="AYM22" s="47"/>
      <c r="AYN22" s="47"/>
      <c r="AYO22" s="47"/>
      <c r="AYP22" s="47"/>
      <c r="AYQ22" s="47"/>
      <c r="AYR22" s="47"/>
      <c r="AYS22" s="47"/>
      <c r="AYT22" s="47"/>
      <c r="AYU22" s="47"/>
      <c r="AYV22" s="47"/>
      <c r="AYW22" s="47"/>
      <c r="AYX22" s="47"/>
      <c r="AYY22" s="47"/>
      <c r="AYZ22" s="47"/>
      <c r="AZA22" s="47"/>
      <c r="AZB22" s="47"/>
      <c r="AZC22" s="47"/>
      <c r="AZD22" s="47"/>
      <c r="AZE22" s="47"/>
      <c r="AZF22" s="47"/>
      <c r="AZG22" s="47"/>
      <c r="AZH22" s="47"/>
      <c r="AZI22" s="47"/>
      <c r="AZJ22" s="47"/>
      <c r="AZK22" s="47"/>
      <c r="AZL22" s="47"/>
      <c r="AZM22" s="47"/>
      <c r="AZN22" s="47"/>
      <c r="AZO22" s="47"/>
      <c r="AZP22" s="47"/>
      <c r="AZQ22" s="47"/>
      <c r="AZR22" s="47"/>
      <c r="AZS22" s="47"/>
      <c r="AZT22" s="47"/>
      <c r="AZU22" s="47"/>
      <c r="AZV22" s="47"/>
      <c r="AZW22" s="47"/>
      <c r="AZX22" s="47"/>
      <c r="AZY22" s="47"/>
      <c r="AZZ22" s="47"/>
      <c r="BAA22" s="47"/>
      <c r="BAB22" s="47"/>
      <c r="BAC22" s="47"/>
      <c r="BAD22" s="47"/>
      <c r="BAE22" s="47"/>
      <c r="BAF22" s="47"/>
      <c r="BAG22" s="47"/>
      <c r="BAH22" s="47"/>
      <c r="BAI22" s="47"/>
      <c r="BAJ22" s="47"/>
      <c r="BAK22" s="47"/>
      <c r="BAL22" s="47"/>
      <c r="BAM22" s="47"/>
      <c r="BAN22" s="47"/>
      <c r="BAO22" s="47"/>
      <c r="BAP22" s="47"/>
      <c r="BAQ22" s="47"/>
      <c r="BAR22" s="47"/>
      <c r="BAS22" s="47"/>
      <c r="BAT22" s="47"/>
      <c r="BAU22" s="47"/>
      <c r="BAV22" s="47"/>
      <c r="BAW22" s="47"/>
      <c r="BAX22" s="47"/>
      <c r="BAY22" s="47"/>
      <c r="BAZ22" s="47"/>
      <c r="BBA22" s="47"/>
      <c r="BBB22" s="47"/>
      <c r="BBC22" s="47"/>
      <c r="BBD22" s="47"/>
      <c r="BBE22" s="47"/>
      <c r="BBF22" s="47"/>
      <c r="BBG22" s="47"/>
      <c r="BBH22" s="47"/>
      <c r="BBI22" s="47"/>
      <c r="BBJ22" s="47"/>
      <c r="BBK22" s="47"/>
      <c r="BBL22" s="47"/>
      <c r="BBM22" s="47"/>
      <c r="BBN22" s="47"/>
      <c r="BBO22" s="47"/>
      <c r="BBP22" s="47"/>
      <c r="BBQ22" s="47"/>
    </row>
    <row r="23" spans="1:1421" s="48" customFormat="1" ht="13.5" customHeight="1" x14ac:dyDescent="0.3">
      <c r="A23" s="28">
        <f t="shared" si="1"/>
        <v>18</v>
      </c>
      <c r="B23" s="29" t="s">
        <v>35</v>
      </c>
      <c r="C23" s="30" t="s">
        <v>31</v>
      </c>
      <c r="D23" s="30" t="s">
        <v>321</v>
      </c>
      <c r="E23" s="31">
        <f>'[1]Week  (3)'!U23</f>
        <v>30</v>
      </c>
      <c r="F23" s="32"/>
      <c r="G23" s="33"/>
      <c r="H23" s="34"/>
      <c r="I23" s="35"/>
      <c r="J23" s="24"/>
      <c r="K23" s="36"/>
      <c r="L23" s="34"/>
      <c r="M23" s="35"/>
      <c r="N23" s="25"/>
      <c r="O23" s="25"/>
      <c r="P23" s="24"/>
      <c r="Q23" s="27"/>
      <c r="R23" s="27"/>
      <c r="S23" s="25"/>
      <c r="T23" s="27"/>
      <c r="U23" s="27"/>
      <c r="V23" s="31">
        <f t="shared" si="0"/>
        <v>30</v>
      </c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/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/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7"/>
      <c r="NK23" s="47"/>
      <c r="NL23" s="47"/>
      <c r="NM23" s="47"/>
      <c r="NN23" s="47"/>
      <c r="NO23" s="47"/>
      <c r="NP23" s="47"/>
      <c r="NQ23" s="47"/>
      <c r="NR23" s="47"/>
      <c r="NS23" s="47"/>
      <c r="NT23" s="47"/>
      <c r="NU23" s="47"/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/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  <c r="QI23" s="47"/>
      <c r="QJ23" s="47"/>
      <c r="QK23" s="47"/>
      <c r="QL23" s="47"/>
      <c r="QM23" s="47"/>
      <c r="QN23" s="47"/>
      <c r="QO23" s="47"/>
      <c r="QP23" s="47"/>
      <c r="QQ23" s="47"/>
      <c r="QR23" s="47"/>
      <c r="QS23" s="47"/>
      <c r="QT23" s="47"/>
      <c r="QU23" s="47"/>
      <c r="QV23" s="47"/>
      <c r="QW23" s="47"/>
      <c r="QX23" s="47"/>
      <c r="QY23" s="47"/>
      <c r="QZ23" s="47"/>
      <c r="RA23" s="47"/>
      <c r="RB23" s="47"/>
      <c r="RC23" s="47"/>
      <c r="RD23" s="47"/>
      <c r="RE23" s="47"/>
      <c r="RF23" s="47"/>
      <c r="RG23" s="47"/>
      <c r="RH23" s="47"/>
      <c r="RI23" s="47"/>
      <c r="RJ23" s="47"/>
      <c r="RK23" s="47"/>
      <c r="RL23" s="47"/>
      <c r="RM23" s="47"/>
      <c r="RN23" s="47"/>
      <c r="RO23" s="47"/>
      <c r="RP23" s="47"/>
      <c r="RQ23" s="47"/>
      <c r="RR23" s="47"/>
      <c r="RS23" s="47"/>
      <c r="RT23" s="47"/>
      <c r="RU23" s="47"/>
      <c r="RV23" s="47"/>
      <c r="RW23" s="47"/>
      <c r="RX23" s="47"/>
      <c r="RY23" s="47"/>
      <c r="RZ23" s="47"/>
      <c r="SA23" s="47"/>
      <c r="SB23" s="47"/>
      <c r="SC23" s="47"/>
      <c r="SD23" s="47"/>
      <c r="SE23" s="47"/>
      <c r="SF23" s="47"/>
      <c r="SG23" s="47"/>
      <c r="SH23" s="47"/>
      <c r="SI23" s="47"/>
      <c r="SJ23" s="47"/>
      <c r="SK23" s="47"/>
      <c r="SL23" s="47"/>
      <c r="SM23" s="47"/>
      <c r="SN23" s="47"/>
      <c r="SO23" s="47"/>
      <c r="SP23" s="47"/>
      <c r="SQ23" s="47"/>
      <c r="SR23" s="47"/>
      <c r="SS23" s="47"/>
      <c r="ST23" s="47"/>
      <c r="SU23" s="47"/>
      <c r="SV23" s="47"/>
      <c r="SW23" s="47"/>
      <c r="SX23" s="47"/>
      <c r="SY23" s="47"/>
      <c r="SZ23" s="47"/>
      <c r="TA23" s="47"/>
      <c r="TB23" s="47"/>
      <c r="TC23" s="47"/>
      <c r="TD23" s="47"/>
      <c r="TE23" s="47"/>
      <c r="TF23" s="47"/>
      <c r="TG23" s="47"/>
      <c r="TH23" s="47"/>
      <c r="TI23" s="47"/>
      <c r="TJ23" s="47"/>
      <c r="TK23" s="47"/>
      <c r="TL23" s="47"/>
      <c r="TM23" s="47"/>
      <c r="TN23" s="47"/>
      <c r="TO23" s="47"/>
      <c r="TP23" s="47"/>
      <c r="TQ23" s="47"/>
      <c r="TR23" s="47"/>
      <c r="TS23" s="47"/>
      <c r="TT23" s="47"/>
      <c r="TU23" s="47"/>
      <c r="TV23" s="47"/>
      <c r="TW23" s="47"/>
      <c r="TX23" s="47"/>
      <c r="TY23" s="47"/>
      <c r="TZ23" s="47"/>
      <c r="UA23" s="47"/>
      <c r="UB23" s="47"/>
      <c r="UC23" s="47"/>
      <c r="UD23" s="47"/>
      <c r="UE23" s="47"/>
      <c r="UF23" s="47"/>
      <c r="UG23" s="47"/>
      <c r="UH23" s="47"/>
      <c r="UI23" s="47"/>
      <c r="UJ23" s="47"/>
      <c r="UK23" s="47"/>
      <c r="UL23" s="47"/>
      <c r="UM23" s="47"/>
      <c r="UN23" s="47"/>
      <c r="UO23" s="47"/>
      <c r="UP23" s="47"/>
      <c r="UQ23" s="47"/>
      <c r="UR23" s="47"/>
      <c r="US23" s="47"/>
      <c r="UT23" s="47"/>
      <c r="UU23" s="47"/>
      <c r="UV23" s="47"/>
      <c r="UW23" s="47"/>
      <c r="UX23" s="47"/>
      <c r="UY23" s="47"/>
      <c r="UZ23" s="47"/>
      <c r="VA23" s="47"/>
      <c r="VB23" s="47"/>
      <c r="VC23" s="47"/>
      <c r="VD23" s="47"/>
      <c r="VE23" s="47"/>
      <c r="VF23" s="47"/>
      <c r="VG23" s="47"/>
      <c r="VH23" s="47"/>
      <c r="VI23" s="47"/>
      <c r="VJ23" s="47"/>
      <c r="VK23" s="47"/>
      <c r="VL23" s="47"/>
      <c r="VM23" s="47"/>
      <c r="VN23" s="47"/>
      <c r="VO23" s="47"/>
      <c r="VP23" s="47"/>
      <c r="VQ23" s="47"/>
      <c r="VR23" s="47"/>
      <c r="VS23" s="47"/>
      <c r="VT23" s="47"/>
      <c r="VU23" s="47"/>
      <c r="VV23" s="47"/>
      <c r="VW23" s="47"/>
      <c r="VX23" s="47"/>
      <c r="VY23" s="47"/>
      <c r="VZ23" s="47"/>
      <c r="WA23" s="47"/>
      <c r="WB23" s="47"/>
      <c r="WC23" s="47"/>
      <c r="WD23" s="47"/>
      <c r="WE23" s="47"/>
      <c r="WF23" s="47"/>
      <c r="WG23" s="47"/>
      <c r="WH23" s="47"/>
      <c r="WI23" s="47"/>
      <c r="WJ23" s="47"/>
      <c r="WK23" s="47"/>
      <c r="WL23" s="47"/>
      <c r="WM23" s="47"/>
      <c r="WN23" s="47"/>
      <c r="WO23" s="47"/>
      <c r="WP23" s="47"/>
      <c r="WQ23" s="47"/>
      <c r="WR23" s="47"/>
      <c r="WS23" s="47"/>
      <c r="WT23" s="47"/>
      <c r="WU23" s="47"/>
      <c r="WV23" s="47"/>
      <c r="WW23" s="47"/>
      <c r="WX23" s="47"/>
      <c r="WY23" s="47"/>
      <c r="WZ23" s="47"/>
      <c r="XA23" s="47"/>
      <c r="XB23" s="47"/>
      <c r="XC23" s="47"/>
      <c r="XD23" s="47"/>
      <c r="XE23" s="47"/>
      <c r="XF23" s="47"/>
      <c r="XG23" s="47"/>
      <c r="XH23" s="47"/>
      <c r="XI23" s="47"/>
      <c r="XJ23" s="47"/>
      <c r="XK23" s="47"/>
      <c r="XL23" s="47"/>
      <c r="XM23" s="47"/>
      <c r="XN23" s="47"/>
      <c r="XO23" s="47"/>
      <c r="XP23" s="47"/>
      <c r="XQ23" s="47"/>
      <c r="XR23" s="47"/>
      <c r="XS23" s="47"/>
      <c r="XT23" s="47"/>
      <c r="XU23" s="47"/>
      <c r="XV23" s="47"/>
      <c r="XW23" s="47"/>
      <c r="XX23" s="47"/>
      <c r="XY23" s="47"/>
      <c r="XZ23" s="47"/>
      <c r="YA23" s="47"/>
      <c r="YB23" s="47"/>
      <c r="YC23" s="47"/>
      <c r="YD23" s="47"/>
      <c r="YE23" s="47"/>
      <c r="YF23" s="47"/>
      <c r="YG23" s="47"/>
      <c r="YH23" s="47"/>
      <c r="YI23" s="47"/>
      <c r="YJ23" s="47"/>
      <c r="YK23" s="47"/>
      <c r="YL23" s="47"/>
      <c r="YM23" s="47"/>
      <c r="YN23" s="47"/>
      <c r="YO23" s="47"/>
      <c r="YP23" s="47"/>
      <c r="YQ23" s="47"/>
      <c r="YR23" s="47"/>
      <c r="YS23" s="47"/>
      <c r="YT23" s="47"/>
      <c r="YU23" s="47"/>
      <c r="YV23" s="47"/>
      <c r="YW23" s="47"/>
      <c r="YX23" s="47"/>
      <c r="YY23" s="47"/>
      <c r="YZ23" s="47"/>
      <c r="ZA23" s="47"/>
      <c r="ZB23" s="47"/>
      <c r="ZC23" s="47"/>
      <c r="ZD23" s="47"/>
      <c r="ZE23" s="47"/>
      <c r="ZF23" s="47"/>
      <c r="ZG23" s="47"/>
      <c r="ZH23" s="47"/>
      <c r="ZI23" s="47"/>
      <c r="ZJ23" s="47"/>
      <c r="ZK23" s="47"/>
      <c r="ZL23" s="47"/>
      <c r="ZM23" s="47"/>
      <c r="ZN23" s="47"/>
      <c r="ZO23" s="47"/>
      <c r="ZP23" s="47"/>
      <c r="ZQ23" s="47"/>
      <c r="ZR23" s="47"/>
      <c r="ZS23" s="47"/>
      <c r="ZT23" s="47"/>
      <c r="ZU23" s="47"/>
      <c r="ZV23" s="47"/>
      <c r="ZW23" s="47"/>
      <c r="ZX23" s="47"/>
      <c r="ZY23" s="47"/>
      <c r="ZZ23" s="47"/>
      <c r="AAA23" s="47"/>
      <c r="AAB23" s="47"/>
      <c r="AAC23" s="47"/>
      <c r="AAD23" s="47"/>
      <c r="AAE23" s="47"/>
      <c r="AAF23" s="47"/>
      <c r="AAG23" s="47"/>
      <c r="AAH23" s="47"/>
      <c r="AAI23" s="47"/>
      <c r="AAJ23" s="47"/>
      <c r="AAK23" s="47"/>
      <c r="AAL23" s="47"/>
      <c r="AAM23" s="47"/>
      <c r="AAN23" s="47"/>
      <c r="AAO23" s="47"/>
      <c r="AAP23" s="47"/>
      <c r="AAQ23" s="47"/>
      <c r="AAR23" s="47"/>
      <c r="AAS23" s="47"/>
      <c r="AAT23" s="47"/>
      <c r="AAU23" s="47"/>
      <c r="AAV23" s="47"/>
      <c r="AAW23" s="47"/>
      <c r="AAX23" s="47"/>
      <c r="AAY23" s="47"/>
      <c r="AAZ23" s="47"/>
      <c r="ABA23" s="47"/>
      <c r="ABB23" s="47"/>
      <c r="ABC23" s="47"/>
      <c r="ABD23" s="47"/>
      <c r="ABE23" s="47"/>
      <c r="ABF23" s="47"/>
      <c r="ABG23" s="47"/>
      <c r="ABH23" s="47"/>
      <c r="ABI23" s="47"/>
      <c r="ABJ23" s="47"/>
      <c r="ABK23" s="47"/>
      <c r="ABL23" s="47"/>
      <c r="ABM23" s="47"/>
      <c r="ABN23" s="47"/>
      <c r="ABO23" s="47"/>
      <c r="ABP23" s="47"/>
      <c r="ABQ23" s="47"/>
      <c r="ABR23" s="47"/>
      <c r="ABS23" s="47"/>
      <c r="ABT23" s="47"/>
      <c r="ABU23" s="47"/>
      <c r="ABV23" s="47"/>
      <c r="ABW23" s="47"/>
      <c r="ABX23" s="47"/>
      <c r="ABY23" s="47"/>
      <c r="ABZ23" s="47"/>
      <c r="ACA23" s="47"/>
      <c r="ACB23" s="47"/>
      <c r="ACC23" s="47"/>
      <c r="ACD23" s="47"/>
      <c r="ACE23" s="47"/>
      <c r="ACF23" s="47"/>
      <c r="ACG23" s="47"/>
      <c r="ACH23" s="47"/>
      <c r="ACI23" s="47"/>
      <c r="ACJ23" s="47"/>
      <c r="ACK23" s="47"/>
      <c r="ACL23" s="47"/>
      <c r="ACM23" s="47"/>
      <c r="ACN23" s="47"/>
      <c r="ACO23" s="47"/>
      <c r="ACP23" s="47"/>
      <c r="ACQ23" s="47"/>
      <c r="ACR23" s="47"/>
      <c r="ACS23" s="47"/>
      <c r="ACT23" s="47"/>
      <c r="ACU23" s="47"/>
      <c r="ACV23" s="47"/>
      <c r="ACW23" s="47"/>
      <c r="ACX23" s="47"/>
      <c r="ACY23" s="47"/>
      <c r="ACZ23" s="47"/>
      <c r="ADA23" s="47"/>
      <c r="ADB23" s="47"/>
      <c r="ADC23" s="47"/>
      <c r="ADD23" s="47"/>
      <c r="ADE23" s="47"/>
      <c r="ADF23" s="47"/>
      <c r="ADG23" s="47"/>
      <c r="ADH23" s="47"/>
      <c r="ADI23" s="47"/>
      <c r="ADJ23" s="47"/>
      <c r="ADK23" s="47"/>
      <c r="ADL23" s="47"/>
      <c r="ADM23" s="47"/>
      <c r="ADN23" s="47"/>
      <c r="ADO23" s="47"/>
      <c r="ADP23" s="47"/>
      <c r="ADQ23" s="47"/>
      <c r="ADR23" s="47"/>
      <c r="ADS23" s="47"/>
      <c r="ADT23" s="47"/>
      <c r="ADU23" s="47"/>
      <c r="ADV23" s="47"/>
      <c r="ADW23" s="47"/>
      <c r="ADX23" s="47"/>
      <c r="ADY23" s="47"/>
      <c r="ADZ23" s="47"/>
      <c r="AEA23" s="47"/>
      <c r="AEB23" s="47"/>
      <c r="AEC23" s="47"/>
      <c r="AED23" s="47"/>
      <c r="AEE23" s="47"/>
      <c r="AEF23" s="47"/>
      <c r="AEG23" s="47"/>
      <c r="AEH23" s="47"/>
      <c r="AEI23" s="47"/>
      <c r="AEJ23" s="47"/>
      <c r="AEK23" s="47"/>
      <c r="AEL23" s="47"/>
      <c r="AEM23" s="47"/>
      <c r="AEN23" s="47"/>
      <c r="AEO23" s="47"/>
      <c r="AEP23" s="47"/>
      <c r="AEQ23" s="47"/>
      <c r="AER23" s="47"/>
      <c r="AES23" s="47"/>
      <c r="AET23" s="47"/>
      <c r="AEU23" s="47"/>
      <c r="AEV23" s="47"/>
      <c r="AEW23" s="47"/>
      <c r="AEX23" s="47"/>
      <c r="AEY23" s="47"/>
      <c r="AEZ23" s="47"/>
      <c r="AFA23" s="47"/>
      <c r="AFB23" s="47"/>
      <c r="AFC23" s="47"/>
      <c r="AFD23" s="47"/>
      <c r="AFE23" s="47"/>
      <c r="AFF23" s="47"/>
      <c r="AFG23" s="47"/>
      <c r="AFH23" s="47"/>
      <c r="AFI23" s="47"/>
      <c r="AFJ23" s="47"/>
      <c r="AFK23" s="47"/>
      <c r="AFL23" s="47"/>
      <c r="AFM23" s="47"/>
      <c r="AFN23" s="47"/>
      <c r="AFO23" s="47"/>
      <c r="AFP23" s="47"/>
      <c r="AFQ23" s="47"/>
      <c r="AFR23" s="47"/>
      <c r="AFS23" s="47"/>
      <c r="AFT23" s="47"/>
      <c r="AFU23" s="47"/>
      <c r="AFV23" s="47"/>
      <c r="AFW23" s="47"/>
      <c r="AFX23" s="47"/>
      <c r="AFY23" s="47"/>
      <c r="AFZ23" s="47"/>
      <c r="AGA23" s="47"/>
      <c r="AGB23" s="47"/>
      <c r="AGC23" s="47"/>
      <c r="AGD23" s="47"/>
      <c r="AGE23" s="47"/>
      <c r="AGF23" s="47"/>
      <c r="AGG23" s="47"/>
      <c r="AGH23" s="47"/>
      <c r="AGI23" s="47"/>
      <c r="AGJ23" s="47"/>
      <c r="AGK23" s="47"/>
      <c r="AGL23" s="47"/>
      <c r="AGM23" s="47"/>
      <c r="AGN23" s="47"/>
      <c r="AGO23" s="47"/>
      <c r="AGP23" s="47"/>
      <c r="AGQ23" s="47"/>
      <c r="AGR23" s="47"/>
      <c r="AGS23" s="47"/>
      <c r="AGT23" s="47"/>
      <c r="AGU23" s="47"/>
      <c r="AGV23" s="47"/>
      <c r="AGW23" s="47"/>
      <c r="AGX23" s="47"/>
      <c r="AGY23" s="47"/>
      <c r="AGZ23" s="47"/>
      <c r="AHA23" s="47"/>
      <c r="AHB23" s="47"/>
      <c r="AHC23" s="47"/>
      <c r="AHD23" s="47"/>
      <c r="AHE23" s="47"/>
      <c r="AHF23" s="47"/>
      <c r="AHG23" s="47"/>
      <c r="AHH23" s="47"/>
      <c r="AHI23" s="47"/>
      <c r="AHJ23" s="47"/>
      <c r="AHK23" s="47"/>
      <c r="AHL23" s="47"/>
      <c r="AHM23" s="47"/>
      <c r="AHN23" s="47"/>
      <c r="AHO23" s="47"/>
      <c r="AHP23" s="47"/>
      <c r="AHQ23" s="47"/>
      <c r="AHR23" s="47"/>
      <c r="AHS23" s="47"/>
      <c r="AHT23" s="47"/>
      <c r="AHU23" s="47"/>
      <c r="AHV23" s="47"/>
      <c r="AHW23" s="47"/>
      <c r="AHX23" s="47"/>
      <c r="AHY23" s="47"/>
      <c r="AHZ23" s="47"/>
      <c r="AIA23" s="47"/>
      <c r="AIB23" s="47"/>
      <c r="AIC23" s="47"/>
      <c r="AID23" s="47"/>
      <c r="AIE23" s="47"/>
      <c r="AIF23" s="47"/>
      <c r="AIG23" s="47"/>
      <c r="AIH23" s="47"/>
      <c r="AII23" s="47"/>
      <c r="AIJ23" s="47"/>
      <c r="AIK23" s="47"/>
      <c r="AIL23" s="47"/>
      <c r="AIM23" s="47"/>
      <c r="AIN23" s="47"/>
      <c r="AIO23" s="47"/>
      <c r="AIP23" s="47"/>
      <c r="AIQ23" s="47"/>
      <c r="AIR23" s="47"/>
      <c r="AIS23" s="47"/>
      <c r="AIT23" s="47"/>
      <c r="AIU23" s="47"/>
      <c r="AIV23" s="47"/>
      <c r="AIW23" s="47"/>
      <c r="AIX23" s="47"/>
      <c r="AIY23" s="47"/>
      <c r="AIZ23" s="47"/>
      <c r="AJA23" s="47"/>
      <c r="AJB23" s="47"/>
      <c r="AJC23" s="47"/>
      <c r="AJD23" s="47"/>
      <c r="AJE23" s="47"/>
      <c r="AJF23" s="47"/>
      <c r="AJG23" s="47"/>
      <c r="AJH23" s="47"/>
      <c r="AJI23" s="47"/>
      <c r="AJJ23" s="47"/>
      <c r="AJK23" s="47"/>
      <c r="AJL23" s="47"/>
      <c r="AJM23" s="47"/>
      <c r="AJN23" s="47"/>
      <c r="AJO23" s="47"/>
      <c r="AJP23" s="47"/>
      <c r="AJQ23" s="47"/>
      <c r="AJR23" s="47"/>
      <c r="AJS23" s="47"/>
      <c r="AJT23" s="47"/>
      <c r="AJU23" s="47"/>
      <c r="AJV23" s="47"/>
      <c r="AJW23" s="47"/>
      <c r="AJX23" s="47"/>
      <c r="AJY23" s="47"/>
      <c r="AJZ23" s="47"/>
      <c r="AKA23" s="47"/>
      <c r="AKB23" s="47"/>
      <c r="AKC23" s="47"/>
      <c r="AKD23" s="47"/>
      <c r="AKE23" s="47"/>
      <c r="AKF23" s="47"/>
      <c r="AKG23" s="47"/>
      <c r="AKH23" s="47"/>
      <c r="AKI23" s="47"/>
      <c r="AKJ23" s="47"/>
      <c r="AKK23" s="47"/>
      <c r="AKL23" s="47"/>
      <c r="AKM23" s="47"/>
      <c r="AKN23" s="47"/>
      <c r="AKO23" s="47"/>
      <c r="AKP23" s="47"/>
      <c r="AKQ23" s="47"/>
      <c r="AKR23" s="47"/>
      <c r="AKS23" s="47"/>
      <c r="AKT23" s="47"/>
      <c r="AKU23" s="47"/>
      <c r="AKV23" s="47"/>
      <c r="AKW23" s="47"/>
      <c r="AKX23" s="47"/>
      <c r="AKY23" s="47"/>
      <c r="AKZ23" s="47"/>
      <c r="ALA23" s="47"/>
      <c r="ALB23" s="47"/>
      <c r="ALC23" s="47"/>
      <c r="ALD23" s="47"/>
      <c r="ALE23" s="47"/>
      <c r="ALF23" s="47"/>
      <c r="ALG23" s="47"/>
      <c r="ALH23" s="47"/>
      <c r="ALI23" s="47"/>
      <c r="ALJ23" s="47"/>
      <c r="ALK23" s="47"/>
      <c r="ALL23" s="47"/>
      <c r="ALM23" s="47"/>
      <c r="ALN23" s="47"/>
      <c r="ALO23" s="47"/>
      <c r="ALP23" s="47"/>
      <c r="ALQ23" s="47"/>
      <c r="ALR23" s="47"/>
      <c r="ALS23" s="47"/>
      <c r="ALT23" s="47"/>
      <c r="ALU23" s="47"/>
      <c r="ALV23" s="47"/>
      <c r="ALW23" s="47"/>
      <c r="ALX23" s="47"/>
      <c r="ALY23" s="47"/>
      <c r="ALZ23" s="47"/>
      <c r="AMA23" s="47"/>
      <c r="AMB23" s="47"/>
      <c r="AMC23" s="47"/>
      <c r="AMD23" s="47"/>
      <c r="AME23" s="47"/>
      <c r="AMF23" s="47"/>
      <c r="AMG23" s="47"/>
      <c r="AMH23" s="47"/>
      <c r="AMI23" s="47"/>
      <c r="AMJ23" s="47"/>
      <c r="AMK23" s="47"/>
      <c r="AML23" s="47"/>
      <c r="AMM23" s="47"/>
      <c r="AMN23" s="47"/>
      <c r="AMO23" s="47"/>
      <c r="AMP23" s="47"/>
      <c r="AMQ23" s="47"/>
      <c r="AMR23" s="47"/>
      <c r="AMS23" s="47"/>
      <c r="AMT23" s="47"/>
      <c r="AMU23" s="47"/>
      <c r="AMV23" s="47"/>
      <c r="AMW23" s="47"/>
      <c r="AMX23" s="47"/>
      <c r="AMY23" s="47"/>
      <c r="AMZ23" s="47"/>
      <c r="ANA23" s="47"/>
      <c r="ANB23" s="47"/>
      <c r="ANC23" s="47"/>
      <c r="AND23" s="47"/>
      <c r="ANE23" s="47"/>
      <c r="ANF23" s="47"/>
      <c r="ANG23" s="47"/>
      <c r="ANH23" s="47"/>
      <c r="ANI23" s="47"/>
      <c r="ANJ23" s="47"/>
      <c r="ANK23" s="47"/>
      <c r="ANL23" s="47"/>
      <c r="ANM23" s="47"/>
      <c r="ANN23" s="47"/>
      <c r="ANO23" s="47"/>
      <c r="ANP23" s="47"/>
      <c r="ANQ23" s="47"/>
      <c r="ANR23" s="47"/>
      <c r="ANS23" s="47"/>
      <c r="ANT23" s="47"/>
      <c r="ANU23" s="47"/>
      <c r="ANV23" s="47"/>
      <c r="ANW23" s="47"/>
      <c r="ANX23" s="47"/>
      <c r="ANY23" s="47"/>
      <c r="ANZ23" s="47"/>
      <c r="AOA23" s="47"/>
      <c r="AOB23" s="47"/>
      <c r="AOC23" s="47"/>
      <c r="AOD23" s="47"/>
      <c r="AOE23" s="47"/>
      <c r="AOF23" s="47"/>
      <c r="AOG23" s="47"/>
      <c r="AOH23" s="47"/>
      <c r="AOI23" s="47"/>
      <c r="AOJ23" s="47"/>
      <c r="AOK23" s="47"/>
      <c r="AOL23" s="47"/>
      <c r="AOM23" s="47"/>
      <c r="AON23" s="47"/>
      <c r="AOO23" s="47"/>
      <c r="AOP23" s="47"/>
      <c r="AOQ23" s="47"/>
      <c r="AOR23" s="47"/>
      <c r="AOS23" s="47"/>
      <c r="AOT23" s="47"/>
      <c r="AOU23" s="47"/>
      <c r="AOV23" s="47"/>
      <c r="AOW23" s="47"/>
      <c r="AOX23" s="47"/>
      <c r="AOY23" s="47"/>
      <c r="AOZ23" s="47"/>
      <c r="APA23" s="47"/>
      <c r="APB23" s="47"/>
      <c r="APC23" s="47"/>
      <c r="APD23" s="47"/>
      <c r="APE23" s="47"/>
      <c r="APF23" s="47"/>
      <c r="APG23" s="47"/>
      <c r="APH23" s="47"/>
      <c r="API23" s="47"/>
      <c r="APJ23" s="47"/>
      <c r="APK23" s="47"/>
      <c r="APL23" s="47"/>
      <c r="APM23" s="47"/>
      <c r="APN23" s="47"/>
      <c r="APO23" s="47"/>
      <c r="APP23" s="47"/>
      <c r="APQ23" s="47"/>
      <c r="APR23" s="47"/>
      <c r="APS23" s="47"/>
      <c r="APT23" s="47"/>
      <c r="APU23" s="47"/>
      <c r="APV23" s="47"/>
      <c r="APW23" s="47"/>
      <c r="APX23" s="47"/>
      <c r="APY23" s="47"/>
      <c r="APZ23" s="47"/>
      <c r="AQA23" s="47"/>
      <c r="AQB23" s="47"/>
      <c r="AQC23" s="47"/>
      <c r="AQD23" s="47"/>
      <c r="AQE23" s="47"/>
      <c r="AQF23" s="47"/>
      <c r="AQG23" s="47"/>
      <c r="AQH23" s="47"/>
      <c r="AQI23" s="47"/>
      <c r="AQJ23" s="47"/>
      <c r="AQK23" s="47"/>
      <c r="AQL23" s="47"/>
      <c r="AQM23" s="47"/>
      <c r="AQN23" s="47"/>
      <c r="AQO23" s="47"/>
      <c r="AQP23" s="47"/>
      <c r="AQQ23" s="47"/>
      <c r="AQR23" s="47"/>
      <c r="AQS23" s="47"/>
      <c r="AQT23" s="47"/>
      <c r="AQU23" s="47"/>
      <c r="AQV23" s="47"/>
      <c r="AQW23" s="47"/>
      <c r="AQX23" s="47"/>
      <c r="AQY23" s="47"/>
      <c r="AQZ23" s="47"/>
      <c r="ARA23" s="47"/>
      <c r="ARB23" s="47"/>
      <c r="ARC23" s="47"/>
      <c r="ARD23" s="47"/>
      <c r="ARE23" s="47"/>
      <c r="ARF23" s="47"/>
      <c r="ARG23" s="47"/>
      <c r="ARH23" s="47"/>
      <c r="ARI23" s="47"/>
      <c r="ARJ23" s="47"/>
      <c r="ARK23" s="47"/>
      <c r="ARL23" s="47"/>
      <c r="ARM23" s="47"/>
      <c r="ARN23" s="47"/>
      <c r="ARO23" s="47"/>
      <c r="ARP23" s="47"/>
      <c r="ARQ23" s="47"/>
      <c r="ARR23" s="47"/>
      <c r="ARS23" s="47"/>
      <c r="ART23" s="47"/>
      <c r="ARU23" s="47"/>
      <c r="ARV23" s="47"/>
      <c r="ARW23" s="47"/>
      <c r="ARX23" s="47"/>
      <c r="ARY23" s="47"/>
      <c r="ARZ23" s="47"/>
      <c r="ASA23" s="47"/>
      <c r="ASB23" s="47"/>
      <c r="ASC23" s="47"/>
      <c r="ASD23" s="47"/>
      <c r="ASE23" s="47"/>
      <c r="ASF23" s="47"/>
      <c r="ASG23" s="47"/>
      <c r="ASH23" s="47"/>
      <c r="ASI23" s="47"/>
      <c r="ASJ23" s="47"/>
      <c r="ASK23" s="47"/>
      <c r="ASL23" s="47"/>
      <c r="ASM23" s="47"/>
      <c r="ASN23" s="47"/>
      <c r="ASO23" s="47"/>
      <c r="ASP23" s="47"/>
      <c r="ASQ23" s="47"/>
      <c r="ASR23" s="47"/>
      <c r="ASS23" s="47"/>
      <c r="AST23" s="47"/>
      <c r="ASU23" s="47"/>
      <c r="ASV23" s="47"/>
      <c r="ASW23" s="47"/>
      <c r="ASX23" s="47"/>
      <c r="ASY23" s="47"/>
      <c r="ASZ23" s="47"/>
      <c r="ATA23" s="47"/>
      <c r="ATB23" s="47"/>
      <c r="ATC23" s="47"/>
      <c r="ATD23" s="47"/>
      <c r="ATE23" s="47"/>
      <c r="ATF23" s="47"/>
      <c r="ATG23" s="47"/>
      <c r="ATH23" s="47"/>
      <c r="ATI23" s="47"/>
      <c r="ATJ23" s="47"/>
      <c r="ATK23" s="47"/>
      <c r="ATL23" s="47"/>
      <c r="ATM23" s="47"/>
      <c r="ATN23" s="47"/>
      <c r="ATO23" s="47"/>
      <c r="ATP23" s="47"/>
      <c r="ATQ23" s="47"/>
      <c r="ATR23" s="47"/>
      <c r="ATS23" s="47"/>
      <c r="ATT23" s="47"/>
      <c r="ATU23" s="47"/>
      <c r="ATV23" s="47"/>
      <c r="ATW23" s="47"/>
      <c r="ATX23" s="47"/>
      <c r="ATY23" s="47"/>
      <c r="ATZ23" s="47"/>
      <c r="AUA23" s="47"/>
      <c r="AUB23" s="47"/>
      <c r="AUC23" s="47"/>
      <c r="AUD23" s="47"/>
      <c r="AUE23" s="47"/>
      <c r="AUF23" s="47"/>
      <c r="AUG23" s="47"/>
      <c r="AUH23" s="47"/>
      <c r="AUI23" s="47"/>
      <c r="AUJ23" s="47"/>
      <c r="AUK23" s="47"/>
      <c r="AUL23" s="47"/>
      <c r="AUM23" s="47"/>
      <c r="AUN23" s="47"/>
      <c r="AUO23" s="47"/>
      <c r="AUP23" s="47"/>
      <c r="AUQ23" s="47"/>
      <c r="AUR23" s="47"/>
      <c r="AUS23" s="47"/>
      <c r="AUT23" s="47"/>
      <c r="AUU23" s="47"/>
      <c r="AUV23" s="47"/>
      <c r="AUW23" s="47"/>
      <c r="AUX23" s="47"/>
      <c r="AUY23" s="47"/>
      <c r="AUZ23" s="47"/>
      <c r="AVA23" s="47"/>
      <c r="AVB23" s="47"/>
      <c r="AVC23" s="47"/>
      <c r="AVD23" s="47"/>
      <c r="AVE23" s="47"/>
      <c r="AVF23" s="47"/>
      <c r="AVG23" s="47"/>
      <c r="AVH23" s="47"/>
      <c r="AVI23" s="47"/>
      <c r="AVJ23" s="47"/>
      <c r="AVK23" s="47"/>
      <c r="AVL23" s="47"/>
      <c r="AVM23" s="47"/>
      <c r="AVN23" s="47"/>
      <c r="AVO23" s="47"/>
      <c r="AVP23" s="47"/>
      <c r="AVQ23" s="47"/>
      <c r="AVR23" s="47"/>
      <c r="AVS23" s="47"/>
      <c r="AVT23" s="47"/>
      <c r="AVU23" s="47"/>
      <c r="AVV23" s="47"/>
      <c r="AVW23" s="47"/>
      <c r="AVX23" s="47"/>
      <c r="AVY23" s="47"/>
      <c r="AVZ23" s="47"/>
      <c r="AWA23" s="47"/>
      <c r="AWB23" s="47"/>
      <c r="AWC23" s="47"/>
      <c r="AWD23" s="47"/>
      <c r="AWE23" s="47"/>
      <c r="AWF23" s="47"/>
      <c r="AWG23" s="47"/>
      <c r="AWH23" s="47"/>
      <c r="AWI23" s="47"/>
      <c r="AWJ23" s="47"/>
      <c r="AWK23" s="47"/>
      <c r="AWL23" s="47"/>
      <c r="AWM23" s="47"/>
      <c r="AWN23" s="47"/>
      <c r="AWO23" s="47"/>
      <c r="AWP23" s="47"/>
      <c r="AWQ23" s="47"/>
      <c r="AWR23" s="47"/>
      <c r="AWS23" s="47"/>
      <c r="AWT23" s="47"/>
      <c r="AWU23" s="47"/>
      <c r="AWV23" s="47"/>
      <c r="AWW23" s="47"/>
      <c r="AWX23" s="47"/>
      <c r="AWY23" s="47"/>
      <c r="AWZ23" s="47"/>
      <c r="AXA23" s="47"/>
      <c r="AXB23" s="47"/>
      <c r="AXC23" s="47"/>
      <c r="AXD23" s="47"/>
      <c r="AXE23" s="47"/>
      <c r="AXF23" s="47"/>
      <c r="AXG23" s="47"/>
      <c r="AXH23" s="47"/>
      <c r="AXI23" s="47"/>
      <c r="AXJ23" s="47"/>
      <c r="AXK23" s="47"/>
      <c r="AXL23" s="47"/>
      <c r="AXM23" s="47"/>
      <c r="AXN23" s="47"/>
      <c r="AXO23" s="47"/>
      <c r="AXP23" s="47"/>
      <c r="AXQ23" s="47"/>
      <c r="AXR23" s="47"/>
      <c r="AXS23" s="47"/>
      <c r="AXT23" s="47"/>
      <c r="AXU23" s="47"/>
      <c r="AXV23" s="47"/>
      <c r="AXW23" s="47"/>
      <c r="AXX23" s="47"/>
      <c r="AXY23" s="47"/>
      <c r="AXZ23" s="47"/>
      <c r="AYA23" s="47"/>
      <c r="AYB23" s="47"/>
      <c r="AYC23" s="47"/>
      <c r="AYD23" s="47"/>
      <c r="AYE23" s="47"/>
      <c r="AYF23" s="47"/>
      <c r="AYG23" s="47"/>
      <c r="AYH23" s="47"/>
      <c r="AYI23" s="47"/>
      <c r="AYJ23" s="47"/>
      <c r="AYK23" s="47"/>
      <c r="AYL23" s="47"/>
      <c r="AYM23" s="47"/>
      <c r="AYN23" s="47"/>
      <c r="AYO23" s="47"/>
      <c r="AYP23" s="47"/>
      <c r="AYQ23" s="47"/>
      <c r="AYR23" s="47"/>
      <c r="AYS23" s="47"/>
      <c r="AYT23" s="47"/>
      <c r="AYU23" s="47"/>
      <c r="AYV23" s="47"/>
      <c r="AYW23" s="47"/>
      <c r="AYX23" s="47"/>
      <c r="AYY23" s="47"/>
      <c r="AYZ23" s="47"/>
      <c r="AZA23" s="47"/>
      <c r="AZB23" s="47"/>
      <c r="AZC23" s="47"/>
      <c r="AZD23" s="47"/>
      <c r="AZE23" s="47"/>
      <c r="AZF23" s="47"/>
      <c r="AZG23" s="47"/>
      <c r="AZH23" s="47"/>
      <c r="AZI23" s="47"/>
      <c r="AZJ23" s="47"/>
      <c r="AZK23" s="47"/>
      <c r="AZL23" s="47"/>
      <c r="AZM23" s="47"/>
      <c r="AZN23" s="47"/>
      <c r="AZO23" s="47"/>
      <c r="AZP23" s="47"/>
      <c r="AZQ23" s="47"/>
      <c r="AZR23" s="47"/>
      <c r="AZS23" s="47"/>
      <c r="AZT23" s="47"/>
      <c r="AZU23" s="47"/>
      <c r="AZV23" s="47"/>
      <c r="AZW23" s="47"/>
      <c r="AZX23" s="47"/>
      <c r="AZY23" s="47"/>
      <c r="AZZ23" s="47"/>
      <c r="BAA23" s="47"/>
      <c r="BAB23" s="47"/>
      <c r="BAC23" s="47"/>
      <c r="BAD23" s="47"/>
      <c r="BAE23" s="47"/>
      <c r="BAF23" s="47"/>
      <c r="BAG23" s="47"/>
      <c r="BAH23" s="47"/>
      <c r="BAI23" s="47"/>
      <c r="BAJ23" s="47"/>
      <c r="BAK23" s="47"/>
      <c r="BAL23" s="47"/>
      <c r="BAM23" s="47"/>
      <c r="BAN23" s="47"/>
      <c r="BAO23" s="47"/>
      <c r="BAP23" s="47"/>
      <c r="BAQ23" s="47"/>
      <c r="BAR23" s="47"/>
      <c r="BAS23" s="47"/>
      <c r="BAT23" s="47"/>
      <c r="BAU23" s="47"/>
      <c r="BAV23" s="47"/>
      <c r="BAW23" s="47"/>
      <c r="BAX23" s="47"/>
      <c r="BAY23" s="47"/>
      <c r="BAZ23" s="47"/>
      <c r="BBA23" s="47"/>
      <c r="BBB23" s="47"/>
      <c r="BBC23" s="47"/>
      <c r="BBD23" s="47"/>
      <c r="BBE23" s="47"/>
      <c r="BBF23" s="47"/>
      <c r="BBG23" s="47"/>
      <c r="BBH23" s="47"/>
      <c r="BBI23" s="47"/>
      <c r="BBJ23" s="47"/>
      <c r="BBK23" s="47"/>
      <c r="BBL23" s="47"/>
      <c r="BBM23" s="47"/>
      <c r="BBN23" s="47"/>
      <c r="BBO23" s="47"/>
      <c r="BBP23" s="47"/>
      <c r="BBQ23" s="47"/>
    </row>
    <row r="24" spans="1:1421" ht="13.5" customHeight="1" x14ac:dyDescent="0.3">
      <c r="A24" s="28">
        <f t="shared" si="1"/>
        <v>19</v>
      </c>
      <c r="B24" s="44" t="s">
        <v>36</v>
      </c>
      <c r="C24" s="49" t="s">
        <v>31</v>
      </c>
      <c r="D24" s="49" t="s">
        <v>320</v>
      </c>
      <c r="E24" s="31">
        <f>'[1]Week  (3)'!U24</f>
        <v>8</v>
      </c>
      <c r="F24" s="37"/>
      <c r="G24" s="38"/>
      <c r="H24" s="39"/>
      <c r="I24" s="38"/>
      <c r="J24" s="40"/>
      <c r="K24" s="38"/>
      <c r="L24" s="27"/>
      <c r="M24" s="25"/>
      <c r="N24" s="25"/>
      <c r="O24" s="25"/>
      <c r="P24" s="24"/>
      <c r="Q24" s="27"/>
      <c r="R24" s="27"/>
      <c r="S24" s="25"/>
      <c r="T24" s="27"/>
      <c r="U24" s="27"/>
      <c r="V24" s="31">
        <f t="shared" si="0"/>
        <v>8</v>
      </c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7"/>
      <c r="IW24" s="47"/>
      <c r="IX24" s="47"/>
      <c r="IY24" s="47"/>
      <c r="IZ24" s="47"/>
      <c r="JA24" s="47"/>
      <c r="JB24" s="47"/>
      <c r="JC24" s="47"/>
      <c r="JD24" s="47"/>
      <c r="JE24" s="47"/>
      <c r="JF24" s="47"/>
      <c r="JG24" s="47"/>
      <c r="JH24" s="47"/>
      <c r="JI24" s="47"/>
      <c r="JJ24" s="47"/>
      <c r="JK24" s="47"/>
      <c r="JL24" s="47"/>
      <c r="JM24" s="47"/>
      <c r="JN24" s="47"/>
      <c r="JO24" s="47"/>
      <c r="JP24" s="47"/>
      <c r="JQ24" s="47"/>
      <c r="JR24" s="47"/>
      <c r="JS24" s="47"/>
      <c r="JT24" s="47"/>
      <c r="JU24" s="47"/>
      <c r="JV24" s="47"/>
      <c r="JW24" s="47"/>
      <c r="JX24" s="47"/>
      <c r="JY24" s="47"/>
      <c r="JZ24" s="47"/>
      <c r="KA24" s="47"/>
      <c r="KB24" s="47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47"/>
      <c r="LA24" s="47"/>
      <c r="LB24" s="47"/>
      <c r="LC24" s="47"/>
      <c r="LD24" s="47"/>
      <c r="LE24" s="47"/>
      <c r="LF24" s="47"/>
      <c r="LG24" s="47"/>
      <c r="LH24" s="47"/>
      <c r="LI24" s="47"/>
      <c r="LJ24" s="47"/>
      <c r="LK24" s="47"/>
      <c r="LL24" s="47"/>
      <c r="LM24" s="47"/>
      <c r="LN24" s="47"/>
      <c r="LO24" s="47"/>
      <c r="LP24" s="47"/>
      <c r="LQ24" s="47"/>
      <c r="LR24" s="47"/>
      <c r="LS24" s="47"/>
      <c r="LT24" s="47"/>
      <c r="LU24" s="47"/>
      <c r="LV24" s="47"/>
      <c r="LW24" s="47"/>
      <c r="LX24" s="47"/>
      <c r="LY24" s="47"/>
      <c r="LZ24" s="47"/>
      <c r="MA24" s="47"/>
      <c r="MB24" s="47"/>
      <c r="MC24" s="47"/>
      <c r="MD24" s="47"/>
      <c r="ME24" s="47"/>
      <c r="MF24" s="47"/>
      <c r="MG24" s="47"/>
      <c r="MH24" s="47"/>
      <c r="MI24" s="47"/>
      <c r="MJ24" s="47"/>
      <c r="MK24" s="47"/>
      <c r="ML24" s="47"/>
      <c r="MM24" s="47"/>
      <c r="MN24" s="47"/>
      <c r="MO24" s="47"/>
      <c r="MP24" s="47"/>
      <c r="MQ24" s="47"/>
      <c r="MR24" s="47"/>
      <c r="MS24" s="47"/>
      <c r="MT24" s="47"/>
      <c r="MU24" s="47"/>
      <c r="MV24" s="47"/>
      <c r="MW24" s="47"/>
      <c r="MX24" s="47"/>
      <c r="MY24" s="47"/>
      <c r="MZ24" s="47"/>
      <c r="NA24" s="47"/>
      <c r="NB24" s="47"/>
      <c r="NC24" s="47"/>
      <c r="ND24" s="47"/>
      <c r="NE24" s="47"/>
      <c r="NF24" s="47"/>
      <c r="NG24" s="47"/>
      <c r="NH24" s="47"/>
      <c r="NI24" s="47"/>
      <c r="NJ24" s="47"/>
      <c r="NK24" s="47"/>
      <c r="NL24" s="47"/>
      <c r="NM24" s="47"/>
      <c r="NN24" s="47"/>
      <c r="NO24" s="47"/>
      <c r="NP24" s="47"/>
      <c r="NQ24" s="47"/>
      <c r="NR24" s="47"/>
      <c r="NS24" s="47"/>
      <c r="NT24" s="47"/>
      <c r="NU24" s="47"/>
      <c r="NV24" s="47"/>
      <c r="NW24" s="47"/>
      <c r="NX24" s="47"/>
      <c r="NY24" s="47"/>
      <c r="NZ24" s="47"/>
      <c r="OA24" s="47"/>
      <c r="OB24" s="47"/>
      <c r="OC24" s="47"/>
      <c r="OD24" s="47"/>
      <c r="OE24" s="47"/>
      <c r="OF24" s="47"/>
      <c r="OG24" s="47"/>
      <c r="OH24" s="47"/>
      <c r="OI24" s="47"/>
      <c r="OJ24" s="47"/>
      <c r="OK24" s="47"/>
      <c r="OL24" s="47"/>
      <c r="OM24" s="47"/>
      <c r="ON24" s="47"/>
      <c r="OO24" s="47"/>
      <c r="OP24" s="47"/>
      <c r="OQ24" s="47"/>
      <c r="OR24" s="47"/>
      <c r="OS24" s="47"/>
      <c r="OT24" s="47"/>
      <c r="OU24" s="47"/>
      <c r="OV24" s="47"/>
      <c r="OW24" s="47"/>
      <c r="OX24" s="47"/>
      <c r="OY24" s="47"/>
      <c r="OZ24" s="47"/>
      <c r="PA24" s="47"/>
      <c r="PB24" s="47"/>
      <c r="PC24" s="47"/>
      <c r="PD24" s="47"/>
      <c r="PE24" s="47"/>
      <c r="PF24" s="47"/>
      <c r="PG24" s="47"/>
      <c r="PH24" s="47"/>
      <c r="PI24" s="47"/>
      <c r="PJ24" s="47"/>
      <c r="PK24" s="47"/>
      <c r="PL24" s="47"/>
      <c r="PM24" s="47"/>
      <c r="PN24" s="47"/>
      <c r="PO24" s="47"/>
      <c r="PP24" s="47"/>
      <c r="PQ24" s="47"/>
      <c r="PR24" s="47"/>
      <c r="PS24" s="47"/>
      <c r="PT24" s="47"/>
      <c r="PU24" s="47"/>
      <c r="PV24" s="47"/>
      <c r="PW24" s="47"/>
      <c r="PX24" s="47"/>
      <c r="PY24" s="47"/>
      <c r="PZ24" s="47"/>
      <c r="QA24" s="47"/>
      <c r="QB24" s="47"/>
      <c r="QC24" s="47"/>
      <c r="QD24" s="47"/>
      <c r="QE24" s="47"/>
      <c r="QF24" s="47"/>
      <c r="QG24" s="47"/>
      <c r="QH24" s="47"/>
      <c r="QI24" s="47"/>
      <c r="QJ24" s="47"/>
      <c r="QK24" s="47"/>
      <c r="QL24" s="47"/>
      <c r="QM24" s="47"/>
      <c r="QN24" s="47"/>
      <c r="QO24" s="47"/>
      <c r="QP24" s="47"/>
      <c r="QQ24" s="47"/>
      <c r="QR24" s="47"/>
      <c r="QS24" s="47"/>
      <c r="QT24" s="47"/>
      <c r="QU24" s="47"/>
      <c r="QV24" s="47"/>
      <c r="QW24" s="47"/>
      <c r="QX24" s="47"/>
      <c r="QY24" s="47"/>
      <c r="QZ24" s="47"/>
      <c r="RA24" s="47"/>
      <c r="RB24" s="47"/>
      <c r="RC24" s="47"/>
      <c r="RD24" s="47"/>
      <c r="RE24" s="47"/>
      <c r="RF24" s="47"/>
      <c r="RG24" s="47"/>
      <c r="RH24" s="47"/>
      <c r="RI24" s="47"/>
      <c r="RJ24" s="47"/>
      <c r="RK24" s="47"/>
      <c r="RL24" s="47"/>
      <c r="RM24" s="47"/>
      <c r="RN24" s="47"/>
      <c r="RO24" s="47"/>
      <c r="RP24" s="47"/>
      <c r="RQ24" s="47"/>
      <c r="RR24" s="47"/>
      <c r="RS24" s="47"/>
      <c r="RT24" s="47"/>
      <c r="RU24" s="47"/>
      <c r="RV24" s="47"/>
      <c r="RW24" s="47"/>
      <c r="RX24" s="47"/>
      <c r="RY24" s="47"/>
      <c r="RZ24" s="47"/>
      <c r="SA24" s="47"/>
      <c r="SB24" s="47"/>
      <c r="SC24" s="47"/>
      <c r="SD24" s="47"/>
      <c r="SE24" s="47"/>
      <c r="SF24" s="47"/>
      <c r="SG24" s="47"/>
      <c r="SH24" s="47"/>
      <c r="SI24" s="47"/>
      <c r="SJ24" s="47"/>
      <c r="SK24" s="47"/>
      <c r="SL24" s="47"/>
      <c r="SM24" s="47"/>
      <c r="SN24" s="47"/>
      <c r="SO24" s="47"/>
      <c r="SP24" s="47"/>
      <c r="SQ24" s="47"/>
      <c r="SR24" s="47"/>
      <c r="SS24" s="47"/>
      <c r="ST24" s="47"/>
      <c r="SU24" s="47"/>
      <c r="SV24" s="47"/>
      <c r="SW24" s="47"/>
      <c r="SX24" s="47"/>
      <c r="SY24" s="47"/>
      <c r="SZ24" s="47"/>
      <c r="TA24" s="47"/>
      <c r="TB24" s="47"/>
      <c r="TC24" s="47"/>
      <c r="TD24" s="47"/>
      <c r="TE24" s="47"/>
      <c r="TF24" s="47"/>
      <c r="TG24" s="47"/>
      <c r="TH24" s="47"/>
      <c r="TI24" s="47"/>
      <c r="TJ24" s="47"/>
      <c r="TK24" s="47"/>
      <c r="TL24" s="47"/>
      <c r="TM24" s="47"/>
      <c r="TN24" s="47"/>
      <c r="TO24" s="47"/>
      <c r="TP24" s="47"/>
      <c r="TQ24" s="47"/>
      <c r="TR24" s="47"/>
      <c r="TS24" s="47"/>
      <c r="TT24" s="47"/>
      <c r="TU24" s="47"/>
      <c r="TV24" s="47"/>
      <c r="TW24" s="47"/>
      <c r="TX24" s="47"/>
      <c r="TY24" s="47"/>
      <c r="TZ24" s="47"/>
      <c r="UA24" s="47"/>
      <c r="UB24" s="47"/>
      <c r="UC24" s="47"/>
      <c r="UD24" s="47"/>
      <c r="UE24" s="47"/>
      <c r="UF24" s="47"/>
      <c r="UG24" s="47"/>
      <c r="UH24" s="47"/>
      <c r="UI24" s="47"/>
      <c r="UJ24" s="47"/>
      <c r="UK24" s="47"/>
      <c r="UL24" s="47"/>
      <c r="UM24" s="47"/>
      <c r="UN24" s="47"/>
      <c r="UO24" s="47"/>
      <c r="UP24" s="47"/>
      <c r="UQ24" s="47"/>
      <c r="UR24" s="47"/>
      <c r="US24" s="47"/>
      <c r="UT24" s="47"/>
      <c r="UU24" s="47"/>
      <c r="UV24" s="47"/>
      <c r="UW24" s="47"/>
      <c r="UX24" s="47"/>
      <c r="UY24" s="47"/>
      <c r="UZ24" s="47"/>
      <c r="VA24" s="47"/>
      <c r="VB24" s="47"/>
      <c r="VC24" s="47"/>
      <c r="VD24" s="47"/>
      <c r="VE24" s="47"/>
      <c r="VF24" s="47"/>
      <c r="VG24" s="47"/>
      <c r="VH24" s="47"/>
      <c r="VI24" s="47"/>
      <c r="VJ24" s="47"/>
      <c r="VK24" s="47"/>
      <c r="VL24" s="47"/>
      <c r="VM24" s="47"/>
      <c r="VN24" s="47"/>
      <c r="VO24" s="47"/>
      <c r="VP24" s="47"/>
      <c r="VQ24" s="47"/>
      <c r="VR24" s="47"/>
      <c r="VS24" s="47"/>
      <c r="VT24" s="47"/>
      <c r="VU24" s="47"/>
      <c r="VV24" s="47"/>
      <c r="VW24" s="47"/>
      <c r="VX24" s="47"/>
      <c r="VY24" s="47"/>
      <c r="VZ24" s="47"/>
      <c r="WA24" s="47"/>
      <c r="WB24" s="47"/>
      <c r="WC24" s="47"/>
      <c r="WD24" s="47"/>
      <c r="WE24" s="47"/>
      <c r="WF24" s="47"/>
      <c r="WG24" s="47"/>
      <c r="WH24" s="47"/>
      <c r="WI24" s="47"/>
      <c r="WJ24" s="47"/>
      <c r="WK24" s="47"/>
      <c r="WL24" s="47"/>
      <c r="WM24" s="47"/>
      <c r="WN24" s="47"/>
      <c r="WO24" s="47"/>
      <c r="WP24" s="47"/>
      <c r="WQ24" s="47"/>
      <c r="WR24" s="47"/>
      <c r="WS24" s="47"/>
      <c r="WT24" s="47"/>
      <c r="WU24" s="47"/>
      <c r="WV24" s="47"/>
      <c r="WW24" s="47"/>
      <c r="WX24" s="47"/>
      <c r="WY24" s="47"/>
      <c r="WZ24" s="47"/>
      <c r="XA24" s="47"/>
      <c r="XB24" s="47"/>
      <c r="XC24" s="47"/>
      <c r="XD24" s="47"/>
      <c r="XE24" s="47"/>
      <c r="XF24" s="47"/>
      <c r="XG24" s="47"/>
      <c r="XH24" s="47"/>
      <c r="XI24" s="47"/>
      <c r="XJ24" s="47"/>
      <c r="XK24" s="47"/>
      <c r="XL24" s="47"/>
      <c r="XM24" s="47"/>
      <c r="XN24" s="47"/>
      <c r="XO24" s="47"/>
      <c r="XP24" s="47"/>
      <c r="XQ24" s="47"/>
      <c r="XR24" s="47"/>
      <c r="XS24" s="47"/>
      <c r="XT24" s="47"/>
      <c r="XU24" s="47"/>
      <c r="XV24" s="47"/>
      <c r="XW24" s="47"/>
      <c r="XX24" s="47"/>
      <c r="XY24" s="47"/>
      <c r="XZ24" s="47"/>
      <c r="YA24" s="47"/>
      <c r="YB24" s="47"/>
      <c r="YC24" s="47"/>
      <c r="YD24" s="47"/>
      <c r="YE24" s="47"/>
      <c r="YF24" s="47"/>
      <c r="YG24" s="47"/>
      <c r="YH24" s="47"/>
      <c r="YI24" s="47"/>
      <c r="YJ24" s="47"/>
      <c r="YK24" s="47"/>
      <c r="YL24" s="47"/>
      <c r="YM24" s="47"/>
      <c r="YN24" s="47"/>
      <c r="YO24" s="47"/>
      <c r="YP24" s="47"/>
      <c r="YQ24" s="47"/>
      <c r="YR24" s="47"/>
      <c r="YS24" s="47"/>
      <c r="YT24" s="47"/>
      <c r="YU24" s="47"/>
      <c r="YV24" s="47"/>
      <c r="YW24" s="47"/>
      <c r="YX24" s="47"/>
      <c r="YY24" s="47"/>
      <c r="YZ24" s="47"/>
      <c r="ZA24" s="47"/>
      <c r="ZB24" s="47"/>
      <c r="ZC24" s="47"/>
      <c r="ZD24" s="47"/>
      <c r="ZE24" s="47"/>
      <c r="ZF24" s="47"/>
      <c r="ZG24" s="47"/>
      <c r="ZH24" s="47"/>
      <c r="ZI24" s="47"/>
      <c r="ZJ24" s="47"/>
      <c r="ZK24" s="47"/>
      <c r="ZL24" s="47"/>
      <c r="ZM24" s="47"/>
      <c r="ZN24" s="47"/>
      <c r="ZO24" s="47"/>
      <c r="ZP24" s="47"/>
      <c r="ZQ24" s="47"/>
      <c r="ZR24" s="47"/>
      <c r="ZS24" s="47"/>
      <c r="ZT24" s="47"/>
      <c r="ZU24" s="47"/>
      <c r="ZV24" s="47"/>
      <c r="ZW24" s="47"/>
      <c r="ZX24" s="47"/>
      <c r="ZY24" s="47"/>
      <c r="ZZ24" s="47"/>
      <c r="AAA24" s="47"/>
      <c r="AAB24" s="47"/>
      <c r="AAC24" s="47"/>
      <c r="AAD24" s="47"/>
      <c r="AAE24" s="47"/>
      <c r="AAF24" s="47"/>
      <c r="AAG24" s="47"/>
      <c r="AAH24" s="47"/>
      <c r="AAI24" s="47"/>
      <c r="AAJ24" s="47"/>
      <c r="AAK24" s="47"/>
      <c r="AAL24" s="47"/>
      <c r="AAM24" s="47"/>
      <c r="AAN24" s="47"/>
      <c r="AAO24" s="47"/>
      <c r="AAP24" s="47"/>
      <c r="AAQ24" s="47"/>
      <c r="AAR24" s="47"/>
      <c r="AAS24" s="47"/>
      <c r="AAT24" s="47"/>
      <c r="AAU24" s="47"/>
      <c r="AAV24" s="47"/>
      <c r="AAW24" s="47"/>
      <c r="AAX24" s="47"/>
      <c r="AAY24" s="47"/>
      <c r="AAZ24" s="47"/>
      <c r="ABA24" s="47"/>
      <c r="ABB24" s="47"/>
      <c r="ABC24" s="47"/>
      <c r="ABD24" s="47"/>
      <c r="ABE24" s="47"/>
      <c r="ABF24" s="47"/>
      <c r="ABG24" s="47"/>
      <c r="ABH24" s="47"/>
      <c r="ABI24" s="47"/>
      <c r="ABJ24" s="47"/>
      <c r="ABK24" s="47"/>
      <c r="ABL24" s="47"/>
      <c r="ABM24" s="47"/>
      <c r="ABN24" s="47"/>
      <c r="ABO24" s="47"/>
      <c r="ABP24" s="47"/>
      <c r="ABQ24" s="47"/>
      <c r="ABR24" s="47"/>
      <c r="ABS24" s="47"/>
      <c r="ABT24" s="47"/>
      <c r="ABU24" s="47"/>
      <c r="ABV24" s="47"/>
      <c r="ABW24" s="47"/>
      <c r="ABX24" s="47"/>
      <c r="ABY24" s="47"/>
      <c r="ABZ24" s="47"/>
      <c r="ACA24" s="47"/>
      <c r="ACB24" s="47"/>
      <c r="ACC24" s="47"/>
      <c r="ACD24" s="47"/>
      <c r="ACE24" s="47"/>
      <c r="ACF24" s="47"/>
      <c r="ACG24" s="47"/>
      <c r="ACH24" s="47"/>
      <c r="ACI24" s="47"/>
      <c r="ACJ24" s="47"/>
      <c r="ACK24" s="47"/>
      <c r="ACL24" s="47"/>
      <c r="ACM24" s="47"/>
      <c r="ACN24" s="47"/>
      <c r="ACO24" s="47"/>
      <c r="ACP24" s="47"/>
      <c r="ACQ24" s="47"/>
      <c r="ACR24" s="47"/>
      <c r="ACS24" s="47"/>
      <c r="ACT24" s="47"/>
      <c r="ACU24" s="47"/>
      <c r="ACV24" s="47"/>
      <c r="ACW24" s="47"/>
      <c r="ACX24" s="47"/>
      <c r="ACY24" s="47"/>
      <c r="ACZ24" s="47"/>
      <c r="ADA24" s="47"/>
      <c r="ADB24" s="47"/>
      <c r="ADC24" s="47"/>
      <c r="ADD24" s="47"/>
      <c r="ADE24" s="47"/>
      <c r="ADF24" s="47"/>
      <c r="ADG24" s="47"/>
      <c r="ADH24" s="47"/>
      <c r="ADI24" s="47"/>
      <c r="ADJ24" s="47"/>
      <c r="ADK24" s="47"/>
      <c r="ADL24" s="47"/>
      <c r="ADM24" s="47"/>
      <c r="ADN24" s="47"/>
      <c r="ADO24" s="47"/>
      <c r="ADP24" s="47"/>
      <c r="ADQ24" s="47"/>
      <c r="ADR24" s="47"/>
      <c r="ADS24" s="47"/>
      <c r="ADT24" s="47"/>
      <c r="ADU24" s="47"/>
      <c r="ADV24" s="47"/>
      <c r="ADW24" s="47"/>
      <c r="ADX24" s="47"/>
      <c r="ADY24" s="47"/>
      <c r="ADZ24" s="47"/>
      <c r="AEA24" s="47"/>
      <c r="AEB24" s="47"/>
      <c r="AEC24" s="47"/>
      <c r="AED24" s="47"/>
      <c r="AEE24" s="47"/>
      <c r="AEF24" s="47"/>
      <c r="AEG24" s="47"/>
      <c r="AEH24" s="47"/>
      <c r="AEI24" s="47"/>
      <c r="AEJ24" s="47"/>
      <c r="AEK24" s="47"/>
      <c r="AEL24" s="47"/>
      <c r="AEM24" s="47"/>
      <c r="AEN24" s="47"/>
      <c r="AEO24" s="47"/>
      <c r="AEP24" s="47"/>
      <c r="AEQ24" s="47"/>
      <c r="AER24" s="47"/>
      <c r="AES24" s="47"/>
      <c r="AET24" s="47"/>
      <c r="AEU24" s="47"/>
      <c r="AEV24" s="47"/>
      <c r="AEW24" s="47"/>
      <c r="AEX24" s="47"/>
      <c r="AEY24" s="47"/>
      <c r="AEZ24" s="47"/>
      <c r="AFA24" s="47"/>
      <c r="AFB24" s="47"/>
      <c r="AFC24" s="47"/>
      <c r="AFD24" s="47"/>
      <c r="AFE24" s="47"/>
      <c r="AFF24" s="47"/>
      <c r="AFG24" s="47"/>
      <c r="AFH24" s="47"/>
      <c r="AFI24" s="47"/>
      <c r="AFJ24" s="47"/>
      <c r="AFK24" s="47"/>
      <c r="AFL24" s="47"/>
      <c r="AFM24" s="47"/>
      <c r="AFN24" s="47"/>
      <c r="AFO24" s="47"/>
      <c r="AFP24" s="47"/>
      <c r="AFQ24" s="47"/>
      <c r="AFR24" s="47"/>
      <c r="AFS24" s="47"/>
      <c r="AFT24" s="47"/>
      <c r="AFU24" s="47"/>
      <c r="AFV24" s="47"/>
      <c r="AFW24" s="47"/>
      <c r="AFX24" s="47"/>
      <c r="AFY24" s="47"/>
      <c r="AFZ24" s="47"/>
      <c r="AGA24" s="47"/>
      <c r="AGB24" s="47"/>
      <c r="AGC24" s="47"/>
      <c r="AGD24" s="47"/>
      <c r="AGE24" s="47"/>
      <c r="AGF24" s="47"/>
      <c r="AGG24" s="47"/>
      <c r="AGH24" s="47"/>
      <c r="AGI24" s="47"/>
      <c r="AGJ24" s="47"/>
      <c r="AGK24" s="47"/>
      <c r="AGL24" s="47"/>
      <c r="AGM24" s="47"/>
      <c r="AGN24" s="47"/>
      <c r="AGO24" s="47"/>
      <c r="AGP24" s="47"/>
      <c r="AGQ24" s="47"/>
      <c r="AGR24" s="47"/>
      <c r="AGS24" s="47"/>
      <c r="AGT24" s="47"/>
      <c r="AGU24" s="47"/>
      <c r="AGV24" s="47"/>
      <c r="AGW24" s="47"/>
      <c r="AGX24" s="47"/>
      <c r="AGY24" s="47"/>
      <c r="AGZ24" s="47"/>
      <c r="AHA24" s="47"/>
      <c r="AHB24" s="47"/>
      <c r="AHC24" s="47"/>
      <c r="AHD24" s="47"/>
      <c r="AHE24" s="47"/>
      <c r="AHF24" s="47"/>
      <c r="AHG24" s="47"/>
      <c r="AHH24" s="47"/>
      <c r="AHI24" s="47"/>
      <c r="AHJ24" s="47"/>
      <c r="AHK24" s="47"/>
      <c r="AHL24" s="47"/>
      <c r="AHM24" s="47"/>
      <c r="AHN24" s="47"/>
      <c r="AHO24" s="47"/>
      <c r="AHP24" s="47"/>
      <c r="AHQ24" s="47"/>
      <c r="AHR24" s="47"/>
      <c r="AHS24" s="47"/>
      <c r="AHT24" s="47"/>
      <c r="AHU24" s="47"/>
      <c r="AHV24" s="47"/>
      <c r="AHW24" s="47"/>
      <c r="AHX24" s="47"/>
      <c r="AHY24" s="47"/>
      <c r="AHZ24" s="47"/>
      <c r="AIA24" s="47"/>
      <c r="AIB24" s="47"/>
      <c r="AIC24" s="47"/>
      <c r="AID24" s="47"/>
      <c r="AIE24" s="47"/>
      <c r="AIF24" s="47"/>
      <c r="AIG24" s="47"/>
      <c r="AIH24" s="47"/>
      <c r="AII24" s="47"/>
      <c r="AIJ24" s="47"/>
      <c r="AIK24" s="47"/>
      <c r="AIL24" s="47"/>
      <c r="AIM24" s="47"/>
      <c r="AIN24" s="47"/>
      <c r="AIO24" s="47"/>
      <c r="AIP24" s="47"/>
      <c r="AIQ24" s="47"/>
      <c r="AIR24" s="47"/>
      <c r="AIS24" s="47"/>
      <c r="AIT24" s="47"/>
      <c r="AIU24" s="47"/>
      <c r="AIV24" s="47"/>
      <c r="AIW24" s="47"/>
      <c r="AIX24" s="47"/>
      <c r="AIY24" s="47"/>
      <c r="AIZ24" s="47"/>
      <c r="AJA24" s="47"/>
      <c r="AJB24" s="47"/>
      <c r="AJC24" s="47"/>
      <c r="AJD24" s="47"/>
      <c r="AJE24" s="47"/>
      <c r="AJF24" s="47"/>
      <c r="AJG24" s="47"/>
      <c r="AJH24" s="47"/>
      <c r="AJI24" s="47"/>
      <c r="AJJ24" s="47"/>
      <c r="AJK24" s="47"/>
      <c r="AJL24" s="47"/>
      <c r="AJM24" s="47"/>
      <c r="AJN24" s="47"/>
      <c r="AJO24" s="47"/>
      <c r="AJP24" s="47"/>
      <c r="AJQ24" s="47"/>
      <c r="AJR24" s="47"/>
      <c r="AJS24" s="47"/>
      <c r="AJT24" s="47"/>
      <c r="AJU24" s="47"/>
      <c r="AJV24" s="47"/>
      <c r="AJW24" s="47"/>
      <c r="AJX24" s="47"/>
      <c r="AJY24" s="47"/>
      <c r="AJZ24" s="47"/>
      <c r="AKA24" s="47"/>
      <c r="AKB24" s="47"/>
      <c r="AKC24" s="47"/>
      <c r="AKD24" s="47"/>
      <c r="AKE24" s="47"/>
      <c r="AKF24" s="47"/>
      <c r="AKG24" s="47"/>
      <c r="AKH24" s="47"/>
      <c r="AKI24" s="47"/>
      <c r="AKJ24" s="47"/>
      <c r="AKK24" s="47"/>
      <c r="AKL24" s="47"/>
      <c r="AKM24" s="47"/>
      <c r="AKN24" s="47"/>
      <c r="AKO24" s="47"/>
      <c r="AKP24" s="47"/>
      <c r="AKQ24" s="47"/>
      <c r="AKR24" s="47"/>
      <c r="AKS24" s="47"/>
      <c r="AKT24" s="47"/>
      <c r="AKU24" s="47"/>
      <c r="AKV24" s="47"/>
      <c r="AKW24" s="47"/>
      <c r="AKX24" s="47"/>
      <c r="AKY24" s="47"/>
      <c r="AKZ24" s="47"/>
      <c r="ALA24" s="47"/>
      <c r="ALB24" s="47"/>
      <c r="ALC24" s="47"/>
      <c r="ALD24" s="47"/>
      <c r="ALE24" s="47"/>
      <c r="ALF24" s="47"/>
      <c r="ALG24" s="47"/>
      <c r="ALH24" s="47"/>
      <c r="ALI24" s="47"/>
      <c r="ALJ24" s="47"/>
      <c r="ALK24" s="47"/>
      <c r="ALL24" s="47"/>
      <c r="ALM24" s="47"/>
      <c r="ALN24" s="47"/>
      <c r="ALO24" s="47"/>
      <c r="ALP24" s="47"/>
      <c r="ALQ24" s="47"/>
      <c r="ALR24" s="47"/>
      <c r="ALS24" s="47"/>
      <c r="ALT24" s="47"/>
      <c r="ALU24" s="47"/>
      <c r="ALV24" s="47"/>
      <c r="ALW24" s="47"/>
      <c r="ALX24" s="47"/>
      <c r="ALY24" s="47"/>
      <c r="ALZ24" s="47"/>
      <c r="AMA24" s="47"/>
      <c r="AMB24" s="47"/>
      <c r="AMC24" s="47"/>
      <c r="AMD24" s="47"/>
      <c r="AME24" s="47"/>
      <c r="AMF24" s="47"/>
      <c r="AMG24" s="47"/>
      <c r="AMH24" s="47"/>
      <c r="AMI24" s="47"/>
      <c r="AMJ24" s="47"/>
      <c r="AMK24" s="47"/>
      <c r="AML24" s="47"/>
      <c r="AMM24" s="47"/>
      <c r="AMN24" s="47"/>
      <c r="AMO24" s="47"/>
      <c r="AMP24" s="47"/>
      <c r="AMQ24" s="47"/>
      <c r="AMR24" s="47"/>
      <c r="AMS24" s="47"/>
      <c r="AMT24" s="47"/>
      <c r="AMU24" s="47"/>
      <c r="AMV24" s="47"/>
      <c r="AMW24" s="47"/>
      <c r="AMX24" s="47"/>
      <c r="AMY24" s="47"/>
      <c r="AMZ24" s="47"/>
      <c r="ANA24" s="47"/>
      <c r="ANB24" s="47"/>
      <c r="ANC24" s="47"/>
      <c r="AND24" s="47"/>
      <c r="ANE24" s="47"/>
      <c r="ANF24" s="47"/>
      <c r="ANG24" s="47"/>
      <c r="ANH24" s="47"/>
      <c r="ANI24" s="47"/>
      <c r="ANJ24" s="47"/>
      <c r="ANK24" s="47"/>
      <c r="ANL24" s="47"/>
      <c r="ANM24" s="47"/>
      <c r="ANN24" s="47"/>
      <c r="ANO24" s="47"/>
      <c r="ANP24" s="47"/>
      <c r="ANQ24" s="47"/>
      <c r="ANR24" s="47"/>
      <c r="ANS24" s="47"/>
      <c r="ANT24" s="47"/>
      <c r="ANU24" s="47"/>
      <c r="ANV24" s="47"/>
      <c r="ANW24" s="47"/>
      <c r="ANX24" s="47"/>
      <c r="ANY24" s="47"/>
      <c r="ANZ24" s="47"/>
      <c r="AOA24" s="47"/>
      <c r="AOB24" s="47"/>
      <c r="AOC24" s="47"/>
      <c r="AOD24" s="47"/>
      <c r="AOE24" s="47"/>
      <c r="AOF24" s="47"/>
      <c r="AOG24" s="47"/>
      <c r="AOH24" s="47"/>
      <c r="AOI24" s="47"/>
      <c r="AOJ24" s="47"/>
      <c r="AOK24" s="47"/>
      <c r="AOL24" s="47"/>
      <c r="AOM24" s="47"/>
      <c r="AON24" s="47"/>
      <c r="AOO24" s="47"/>
      <c r="AOP24" s="47"/>
      <c r="AOQ24" s="47"/>
      <c r="AOR24" s="47"/>
      <c r="AOS24" s="47"/>
      <c r="AOT24" s="47"/>
      <c r="AOU24" s="47"/>
      <c r="AOV24" s="47"/>
      <c r="AOW24" s="47"/>
      <c r="AOX24" s="47"/>
      <c r="AOY24" s="47"/>
      <c r="AOZ24" s="47"/>
      <c r="APA24" s="47"/>
      <c r="APB24" s="47"/>
      <c r="APC24" s="47"/>
      <c r="APD24" s="47"/>
      <c r="APE24" s="47"/>
      <c r="APF24" s="47"/>
      <c r="APG24" s="47"/>
      <c r="APH24" s="47"/>
      <c r="API24" s="47"/>
      <c r="APJ24" s="47"/>
      <c r="APK24" s="47"/>
      <c r="APL24" s="47"/>
      <c r="APM24" s="47"/>
      <c r="APN24" s="47"/>
      <c r="APO24" s="47"/>
      <c r="APP24" s="47"/>
      <c r="APQ24" s="47"/>
      <c r="APR24" s="47"/>
      <c r="APS24" s="47"/>
      <c r="APT24" s="47"/>
      <c r="APU24" s="47"/>
      <c r="APV24" s="47"/>
      <c r="APW24" s="47"/>
      <c r="APX24" s="47"/>
      <c r="APY24" s="47"/>
      <c r="APZ24" s="47"/>
      <c r="AQA24" s="47"/>
      <c r="AQB24" s="47"/>
      <c r="AQC24" s="47"/>
      <c r="AQD24" s="47"/>
      <c r="AQE24" s="47"/>
      <c r="AQF24" s="47"/>
      <c r="AQG24" s="47"/>
      <c r="AQH24" s="47"/>
      <c r="AQI24" s="47"/>
      <c r="AQJ24" s="47"/>
      <c r="AQK24" s="47"/>
      <c r="AQL24" s="47"/>
      <c r="AQM24" s="47"/>
      <c r="AQN24" s="47"/>
      <c r="AQO24" s="47"/>
      <c r="AQP24" s="47"/>
      <c r="AQQ24" s="47"/>
      <c r="AQR24" s="47"/>
      <c r="AQS24" s="47"/>
      <c r="AQT24" s="47"/>
      <c r="AQU24" s="47"/>
      <c r="AQV24" s="47"/>
      <c r="AQW24" s="47"/>
      <c r="AQX24" s="47"/>
      <c r="AQY24" s="47"/>
      <c r="AQZ24" s="47"/>
      <c r="ARA24" s="47"/>
      <c r="ARB24" s="47"/>
      <c r="ARC24" s="47"/>
      <c r="ARD24" s="47"/>
      <c r="ARE24" s="47"/>
      <c r="ARF24" s="47"/>
      <c r="ARG24" s="47"/>
      <c r="ARH24" s="47"/>
      <c r="ARI24" s="47"/>
      <c r="ARJ24" s="47"/>
      <c r="ARK24" s="47"/>
      <c r="ARL24" s="47"/>
      <c r="ARM24" s="47"/>
      <c r="ARN24" s="47"/>
      <c r="ARO24" s="47"/>
      <c r="ARP24" s="47"/>
      <c r="ARQ24" s="47"/>
      <c r="ARR24" s="47"/>
      <c r="ARS24" s="47"/>
      <c r="ART24" s="47"/>
      <c r="ARU24" s="47"/>
      <c r="ARV24" s="47"/>
      <c r="ARW24" s="47"/>
      <c r="ARX24" s="47"/>
      <c r="ARY24" s="47"/>
      <c r="ARZ24" s="47"/>
      <c r="ASA24" s="47"/>
      <c r="ASB24" s="47"/>
      <c r="ASC24" s="47"/>
      <c r="ASD24" s="47"/>
      <c r="ASE24" s="47"/>
      <c r="ASF24" s="47"/>
      <c r="ASG24" s="47"/>
      <c r="ASH24" s="47"/>
      <c r="ASI24" s="47"/>
      <c r="ASJ24" s="47"/>
      <c r="ASK24" s="47"/>
      <c r="ASL24" s="47"/>
      <c r="ASM24" s="47"/>
      <c r="ASN24" s="47"/>
      <c r="ASO24" s="47"/>
      <c r="ASP24" s="47"/>
      <c r="ASQ24" s="47"/>
      <c r="ASR24" s="47"/>
      <c r="ASS24" s="47"/>
      <c r="AST24" s="47"/>
      <c r="ASU24" s="47"/>
      <c r="ASV24" s="47"/>
      <c r="ASW24" s="47"/>
      <c r="ASX24" s="47"/>
      <c r="ASY24" s="47"/>
      <c r="ASZ24" s="47"/>
      <c r="ATA24" s="47"/>
      <c r="ATB24" s="47"/>
      <c r="ATC24" s="47"/>
      <c r="ATD24" s="47"/>
      <c r="ATE24" s="47"/>
      <c r="ATF24" s="47"/>
      <c r="ATG24" s="47"/>
      <c r="ATH24" s="47"/>
      <c r="ATI24" s="47"/>
      <c r="ATJ24" s="47"/>
      <c r="ATK24" s="47"/>
      <c r="ATL24" s="47"/>
      <c r="ATM24" s="47"/>
      <c r="ATN24" s="47"/>
      <c r="ATO24" s="47"/>
      <c r="ATP24" s="47"/>
      <c r="ATQ24" s="47"/>
      <c r="ATR24" s="47"/>
      <c r="ATS24" s="47"/>
      <c r="ATT24" s="47"/>
      <c r="ATU24" s="47"/>
      <c r="ATV24" s="47"/>
      <c r="ATW24" s="47"/>
      <c r="ATX24" s="47"/>
      <c r="ATY24" s="47"/>
      <c r="ATZ24" s="47"/>
      <c r="AUA24" s="47"/>
      <c r="AUB24" s="47"/>
      <c r="AUC24" s="47"/>
      <c r="AUD24" s="47"/>
      <c r="AUE24" s="47"/>
      <c r="AUF24" s="47"/>
      <c r="AUG24" s="47"/>
      <c r="AUH24" s="47"/>
      <c r="AUI24" s="47"/>
      <c r="AUJ24" s="47"/>
      <c r="AUK24" s="47"/>
      <c r="AUL24" s="47"/>
      <c r="AUM24" s="47"/>
      <c r="AUN24" s="47"/>
      <c r="AUO24" s="47"/>
      <c r="AUP24" s="47"/>
      <c r="AUQ24" s="47"/>
      <c r="AUR24" s="47"/>
      <c r="AUS24" s="47"/>
      <c r="AUT24" s="47"/>
      <c r="AUU24" s="47"/>
      <c r="AUV24" s="47"/>
      <c r="AUW24" s="47"/>
      <c r="AUX24" s="47"/>
      <c r="AUY24" s="47"/>
      <c r="AUZ24" s="47"/>
      <c r="AVA24" s="47"/>
      <c r="AVB24" s="47"/>
      <c r="AVC24" s="47"/>
      <c r="AVD24" s="47"/>
      <c r="AVE24" s="47"/>
      <c r="AVF24" s="47"/>
      <c r="AVG24" s="47"/>
      <c r="AVH24" s="47"/>
      <c r="AVI24" s="47"/>
      <c r="AVJ24" s="47"/>
      <c r="AVK24" s="47"/>
      <c r="AVL24" s="47"/>
      <c r="AVM24" s="47"/>
      <c r="AVN24" s="47"/>
      <c r="AVO24" s="47"/>
      <c r="AVP24" s="47"/>
      <c r="AVQ24" s="47"/>
      <c r="AVR24" s="47"/>
      <c r="AVS24" s="47"/>
      <c r="AVT24" s="47"/>
      <c r="AVU24" s="47"/>
      <c r="AVV24" s="47"/>
      <c r="AVW24" s="47"/>
      <c r="AVX24" s="47"/>
      <c r="AVY24" s="47"/>
      <c r="AVZ24" s="47"/>
      <c r="AWA24" s="47"/>
      <c r="AWB24" s="47"/>
      <c r="AWC24" s="47"/>
      <c r="AWD24" s="47"/>
      <c r="AWE24" s="47"/>
      <c r="AWF24" s="47"/>
      <c r="AWG24" s="47"/>
      <c r="AWH24" s="47"/>
      <c r="AWI24" s="47"/>
      <c r="AWJ24" s="47"/>
      <c r="AWK24" s="47"/>
      <c r="AWL24" s="47"/>
      <c r="AWM24" s="47"/>
      <c r="AWN24" s="47"/>
      <c r="AWO24" s="47"/>
      <c r="AWP24" s="47"/>
      <c r="AWQ24" s="47"/>
      <c r="AWR24" s="47"/>
      <c r="AWS24" s="47"/>
      <c r="AWT24" s="47"/>
      <c r="AWU24" s="47"/>
      <c r="AWV24" s="47"/>
      <c r="AWW24" s="47"/>
      <c r="AWX24" s="47"/>
      <c r="AWY24" s="47"/>
      <c r="AWZ24" s="47"/>
      <c r="AXA24" s="47"/>
      <c r="AXB24" s="47"/>
      <c r="AXC24" s="47"/>
      <c r="AXD24" s="47"/>
      <c r="AXE24" s="47"/>
      <c r="AXF24" s="47"/>
      <c r="AXG24" s="47"/>
      <c r="AXH24" s="47"/>
      <c r="AXI24" s="47"/>
      <c r="AXJ24" s="47"/>
      <c r="AXK24" s="47"/>
      <c r="AXL24" s="47"/>
      <c r="AXM24" s="47"/>
      <c r="AXN24" s="47"/>
      <c r="AXO24" s="47"/>
      <c r="AXP24" s="47"/>
      <c r="AXQ24" s="47"/>
      <c r="AXR24" s="47"/>
      <c r="AXS24" s="47"/>
      <c r="AXT24" s="47"/>
      <c r="AXU24" s="47"/>
      <c r="AXV24" s="47"/>
      <c r="AXW24" s="47"/>
      <c r="AXX24" s="47"/>
      <c r="AXY24" s="47"/>
      <c r="AXZ24" s="47"/>
      <c r="AYA24" s="47"/>
      <c r="AYB24" s="47"/>
      <c r="AYC24" s="47"/>
      <c r="AYD24" s="47"/>
      <c r="AYE24" s="47"/>
      <c r="AYF24" s="47"/>
      <c r="AYG24" s="47"/>
      <c r="AYH24" s="47"/>
      <c r="AYI24" s="47"/>
      <c r="AYJ24" s="47"/>
      <c r="AYK24" s="47"/>
      <c r="AYL24" s="47"/>
      <c r="AYM24" s="47"/>
      <c r="AYN24" s="47"/>
      <c r="AYO24" s="47"/>
      <c r="AYP24" s="47"/>
      <c r="AYQ24" s="47"/>
      <c r="AYR24" s="47"/>
      <c r="AYS24" s="47"/>
      <c r="AYT24" s="47"/>
      <c r="AYU24" s="47"/>
      <c r="AYV24" s="47"/>
      <c r="AYW24" s="47"/>
      <c r="AYX24" s="47"/>
      <c r="AYY24" s="47"/>
      <c r="AYZ24" s="47"/>
      <c r="AZA24" s="47"/>
      <c r="AZB24" s="47"/>
      <c r="AZC24" s="47"/>
      <c r="AZD24" s="47"/>
      <c r="AZE24" s="47"/>
      <c r="AZF24" s="47"/>
      <c r="AZG24" s="47"/>
      <c r="AZH24" s="47"/>
      <c r="AZI24" s="47"/>
      <c r="AZJ24" s="47"/>
      <c r="AZK24" s="47"/>
      <c r="AZL24" s="47"/>
      <c r="AZM24" s="47"/>
      <c r="AZN24" s="47"/>
      <c r="AZO24" s="47"/>
      <c r="AZP24" s="47"/>
      <c r="AZQ24" s="47"/>
      <c r="AZR24" s="47"/>
      <c r="AZS24" s="47"/>
      <c r="AZT24" s="47"/>
      <c r="AZU24" s="47"/>
      <c r="AZV24" s="47"/>
      <c r="AZW24" s="47"/>
      <c r="AZX24" s="47"/>
      <c r="AZY24" s="47"/>
      <c r="AZZ24" s="47"/>
      <c r="BAA24" s="47"/>
      <c r="BAB24" s="47"/>
      <c r="BAC24" s="47"/>
      <c r="BAD24" s="47"/>
      <c r="BAE24" s="47"/>
      <c r="BAF24" s="47"/>
      <c r="BAG24" s="47"/>
      <c r="BAH24" s="47"/>
      <c r="BAI24" s="47"/>
      <c r="BAJ24" s="47"/>
      <c r="BAK24" s="47"/>
      <c r="BAL24" s="47"/>
      <c r="BAM24" s="47"/>
      <c r="BAN24" s="47"/>
      <c r="BAO24" s="47"/>
      <c r="BAP24" s="47"/>
      <c r="BAQ24" s="47"/>
      <c r="BAR24" s="47"/>
      <c r="BAS24" s="47"/>
      <c r="BAT24" s="47"/>
      <c r="BAU24" s="47"/>
      <c r="BAV24" s="47"/>
      <c r="BAW24" s="47"/>
      <c r="BAX24" s="47"/>
      <c r="BAY24" s="47"/>
      <c r="BAZ24" s="47"/>
      <c r="BBA24" s="47"/>
      <c r="BBB24" s="47"/>
      <c r="BBC24" s="47"/>
      <c r="BBD24" s="47"/>
      <c r="BBE24" s="47"/>
      <c r="BBF24" s="47"/>
      <c r="BBG24" s="47"/>
      <c r="BBH24" s="47"/>
      <c r="BBI24" s="47"/>
      <c r="BBJ24" s="47"/>
      <c r="BBK24" s="47"/>
      <c r="BBL24" s="47"/>
      <c r="BBM24" s="47"/>
      <c r="BBN24" s="47"/>
      <c r="BBO24" s="47"/>
      <c r="BBP24" s="47"/>
      <c r="BBQ24" s="47"/>
    </row>
    <row r="25" spans="1:1421" ht="15.75" x14ac:dyDescent="0.3">
      <c r="A25" s="28">
        <f t="shared" si="1"/>
        <v>20</v>
      </c>
      <c r="B25" s="50" t="s">
        <v>37</v>
      </c>
      <c r="C25" s="43" t="s">
        <v>28</v>
      </c>
      <c r="D25" s="49" t="s">
        <v>326</v>
      </c>
      <c r="E25" s="31">
        <f>'[1]Week  (3)'!U25</f>
        <v>16</v>
      </c>
      <c r="F25" s="32"/>
      <c r="G25" s="33"/>
      <c r="H25" s="34"/>
      <c r="I25" s="35"/>
      <c r="J25" s="24"/>
      <c r="K25" s="36"/>
      <c r="L25" s="27"/>
      <c r="M25" s="25"/>
      <c r="N25" s="25"/>
      <c r="O25" s="25"/>
      <c r="P25" s="24"/>
      <c r="Q25" s="27"/>
      <c r="R25" s="27"/>
      <c r="S25" s="25"/>
      <c r="T25" s="27"/>
      <c r="U25" s="27"/>
      <c r="V25" s="31">
        <f t="shared" si="0"/>
        <v>16</v>
      </c>
    </row>
    <row r="26" spans="1:1421" ht="15" x14ac:dyDescent="0.3">
      <c r="A26" s="28">
        <f t="shared" si="1"/>
        <v>21</v>
      </c>
      <c r="B26" s="51" t="s">
        <v>38</v>
      </c>
      <c r="C26" s="30" t="s">
        <v>31</v>
      </c>
      <c r="D26" s="49" t="s">
        <v>326</v>
      </c>
      <c r="E26" s="31">
        <f>'[1]Week  (3)'!U26</f>
        <v>10</v>
      </c>
      <c r="F26" s="37"/>
      <c r="G26" s="38"/>
      <c r="H26" s="39"/>
      <c r="I26" s="38"/>
      <c r="J26" s="40"/>
      <c r="K26" s="38"/>
      <c r="L26" s="27"/>
      <c r="M26" s="25"/>
      <c r="N26" s="25"/>
      <c r="O26" s="25"/>
      <c r="P26" s="24"/>
      <c r="Q26" s="27"/>
      <c r="R26" s="27"/>
      <c r="S26" s="25"/>
      <c r="T26" s="27"/>
      <c r="U26" s="27"/>
      <c r="V26" s="31">
        <f t="shared" si="0"/>
        <v>10</v>
      </c>
    </row>
    <row r="27" spans="1:1421" ht="15.75" x14ac:dyDescent="0.3">
      <c r="A27" s="28">
        <f t="shared" si="1"/>
        <v>22</v>
      </c>
      <c r="B27" s="42" t="s">
        <v>39</v>
      </c>
      <c r="C27" s="43" t="s">
        <v>28</v>
      </c>
      <c r="D27" s="49" t="s">
        <v>326</v>
      </c>
      <c r="E27" s="31">
        <f>'[1]Week  (3)'!U27</f>
        <v>10</v>
      </c>
      <c r="F27" s="32"/>
      <c r="G27" s="33"/>
      <c r="H27" s="34"/>
      <c r="I27" s="35"/>
      <c r="J27" s="24"/>
      <c r="K27" s="36"/>
      <c r="L27" s="27"/>
      <c r="M27" s="25"/>
      <c r="N27" s="25"/>
      <c r="O27" s="25"/>
      <c r="P27" s="24"/>
      <c r="Q27" s="27"/>
      <c r="R27" s="27"/>
      <c r="S27" s="25"/>
      <c r="T27" s="27"/>
      <c r="U27" s="27"/>
      <c r="V27" s="31">
        <f t="shared" si="0"/>
        <v>10</v>
      </c>
    </row>
    <row r="28" spans="1:1421" ht="15.75" x14ac:dyDescent="0.3">
      <c r="A28" s="28">
        <f t="shared" si="1"/>
        <v>23</v>
      </c>
      <c r="B28" s="42" t="s">
        <v>40</v>
      </c>
      <c r="C28" s="43" t="s">
        <v>28</v>
      </c>
      <c r="D28" s="49" t="s">
        <v>326</v>
      </c>
      <c r="E28" s="31">
        <f>'[1]Week  (3)'!U28</f>
        <v>18</v>
      </c>
      <c r="F28" s="37"/>
      <c r="G28" s="38"/>
      <c r="H28" s="39"/>
      <c r="I28" s="38"/>
      <c r="J28" s="40"/>
      <c r="K28" s="38"/>
      <c r="L28" s="27"/>
      <c r="M28" s="25"/>
      <c r="N28" s="25"/>
      <c r="O28" s="25"/>
      <c r="P28" s="24"/>
      <c r="Q28" s="27"/>
      <c r="R28" s="27"/>
      <c r="S28" s="25"/>
      <c r="T28" s="27"/>
      <c r="U28" s="27"/>
      <c r="V28" s="31">
        <f t="shared" si="0"/>
        <v>18</v>
      </c>
    </row>
    <row r="29" spans="1:1421" ht="15" x14ac:dyDescent="0.3">
      <c r="A29" s="28">
        <f t="shared" si="1"/>
        <v>24</v>
      </c>
      <c r="B29" s="29" t="s">
        <v>41</v>
      </c>
      <c r="C29" s="30" t="s">
        <v>31</v>
      </c>
      <c r="D29" s="49" t="s">
        <v>326</v>
      </c>
      <c r="E29" s="31">
        <f>'[1]Week  (3)'!U29</f>
        <v>12</v>
      </c>
      <c r="F29" s="32"/>
      <c r="G29" s="33"/>
      <c r="H29" s="34"/>
      <c r="I29" s="35"/>
      <c r="J29" s="24"/>
      <c r="K29" s="36"/>
      <c r="L29" s="27"/>
      <c r="M29" s="25"/>
      <c r="N29" s="25"/>
      <c r="O29" s="25"/>
      <c r="P29" s="24"/>
      <c r="Q29" s="27"/>
      <c r="R29" s="27"/>
      <c r="S29" s="25"/>
      <c r="T29" s="27"/>
      <c r="U29" s="27"/>
      <c r="V29" s="31">
        <f t="shared" si="0"/>
        <v>12</v>
      </c>
    </row>
    <row r="30" spans="1:1421" ht="15" x14ac:dyDescent="0.3">
      <c r="A30" s="28">
        <f t="shared" si="1"/>
        <v>25</v>
      </c>
      <c r="B30" s="52" t="s">
        <v>42</v>
      </c>
      <c r="C30" s="30" t="s">
        <v>31</v>
      </c>
      <c r="D30" s="49" t="s">
        <v>326</v>
      </c>
      <c r="E30" s="31">
        <f>'[1]Week  (3)'!U30</f>
        <v>15</v>
      </c>
      <c r="F30" s="37"/>
      <c r="G30" s="38"/>
      <c r="H30" s="39"/>
      <c r="I30" s="38"/>
      <c r="J30" s="40"/>
      <c r="K30" s="38"/>
      <c r="L30" s="27"/>
      <c r="M30" s="25"/>
      <c r="N30" s="25"/>
      <c r="O30" s="25"/>
      <c r="P30" s="24"/>
      <c r="Q30" s="27"/>
      <c r="R30" s="27"/>
      <c r="S30" s="25"/>
      <c r="T30" s="27"/>
      <c r="U30" s="27"/>
      <c r="V30" s="31">
        <f t="shared" si="0"/>
        <v>15</v>
      </c>
    </row>
    <row r="31" spans="1:1421" ht="15" x14ac:dyDescent="0.3">
      <c r="A31" s="28">
        <f t="shared" si="1"/>
        <v>26</v>
      </c>
      <c r="B31" s="44" t="s">
        <v>43</v>
      </c>
      <c r="C31" s="30" t="s">
        <v>31</v>
      </c>
      <c r="D31" s="49" t="s">
        <v>326</v>
      </c>
      <c r="E31" s="31">
        <f>'[1]Week  (3)'!U31</f>
        <v>18</v>
      </c>
      <c r="F31" s="32"/>
      <c r="G31" s="33"/>
      <c r="H31" s="34"/>
      <c r="I31" s="35"/>
      <c r="J31" s="24"/>
      <c r="K31" s="36"/>
      <c r="L31" s="27"/>
      <c r="M31" s="25"/>
      <c r="N31" s="25"/>
      <c r="O31" s="25"/>
      <c r="P31" s="24"/>
      <c r="Q31" s="27"/>
      <c r="R31" s="27"/>
      <c r="S31" s="25"/>
      <c r="T31" s="27"/>
      <c r="U31" s="27"/>
      <c r="V31" s="31">
        <f t="shared" si="0"/>
        <v>18</v>
      </c>
    </row>
    <row r="32" spans="1:1421" ht="15" x14ac:dyDescent="0.3">
      <c r="A32" s="28">
        <f t="shared" si="1"/>
        <v>27</v>
      </c>
      <c r="B32" s="44" t="s">
        <v>44</v>
      </c>
      <c r="C32" s="30" t="s">
        <v>31</v>
      </c>
      <c r="D32" s="49" t="s">
        <v>326</v>
      </c>
      <c r="E32" s="31">
        <f>'[1]Week  (3)'!U32</f>
        <v>8</v>
      </c>
      <c r="F32" s="37"/>
      <c r="G32" s="38"/>
      <c r="H32" s="34"/>
      <c r="I32" s="35"/>
      <c r="J32" s="40"/>
      <c r="K32" s="38"/>
      <c r="L32" s="27"/>
      <c r="M32" s="25"/>
      <c r="N32" s="25"/>
      <c r="O32" s="25"/>
      <c r="P32" s="24"/>
      <c r="Q32" s="27"/>
      <c r="R32" s="27"/>
      <c r="S32" s="25"/>
      <c r="T32" s="27"/>
      <c r="U32" s="27"/>
      <c r="V32" s="31">
        <f t="shared" si="0"/>
        <v>8</v>
      </c>
    </row>
    <row r="33" spans="1:22" ht="15" x14ac:dyDescent="0.3">
      <c r="A33" s="28">
        <f t="shared" si="1"/>
        <v>28</v>
      </c>
      <c r="B33" s="44" t="s">
        <v>45</v>
      </c>
      <c r="C33" s="30" t="s">
        <v>31</v>
      </c>
      <c r="D33" s="49" t="s">
        <v>326</v>
      </c>
      <c r="E33" s="31">
        <f>'[1]Week  (3)'!U33</f>
        <v>21</v>
      </c>
      <c r="F33" s="32"/>
      <c r="G33" s="33"/>
      <c r="H33" s="34"/>
      <c r="I33" s="35"/>
      <c r="J33" s="24"/>
      <c r="K33" s="36"/>
      <c r="L33" s="27"/>
      <c r="M33" s="25"/>
      <c r="N33" s="25"/>
      <c r="O33" s="25"/>
      <c r="P33" s="24"/>
      <c r="Q33" s="27"/>
      <c r="R33" s="27"/>
      <c r="S33" s="25"/>
      <c r="T33" s="27"/>
      <c r="U33" s="27"/>
      <c r="V33" s="31">
        <f t="shared" si="0"/>
        <v>21</v>
      </c>
    </row>
    <row r="34" spans="1:22" ht="15" x14ac:dyDescent="0.3">
      <c r="A34" s="28">
        <f t="shared" si="1"/>
        <v>29</v>
      </c>
      <c r="B34" s="29" t="s">
        <v>46</v>
      </c>
      <c r="C34" s="30" t="s">
        <v>31</v>
      </c>
      <c r="D34" s="49" t="s">
        <v>326</v>
      </c>
      <c r="E34" s="31">
        <f>'[1]Week  (3)'!U34</f>
        <v>1</v>
      </c>
      <c r="F34" s="37"/>
      <c r="G34" s="38"/>
      <c r="H34" s="39"/>
      <c r="I34" s="38"/>
      <c r="J34" s="40"/>
      <c r="K34" s="38"/>
      <c r="L34" s="27"/>
      <c r="M34" s="25"/>
      <c r="N34" s="25"/>
      <c r="O34" s="25"/>
      <c r="P34" s="24"/>
      <c r="Q34" s="27"/>
      <c r="R34" s="27"/>
      <c r="S34" s="25"/>
      <c r="T34" s="27"/>
      <c r="U34" s="27"/>
      <c r="V34" s="31">
        <f t="shared" si="0"/>
        <v>1</v>
      </c>
    </row>
    <row r="35" spans="1:22" ht="15" x14ac:dyDescent="0.3">
      <c r="A35" s="28">
        <f t="shared" si="1"/>
        <v>30</v>
      </c>
      <c r="B35" s="29" t="s">
        <v>47</v>
      </c>
      <c r="C35" s="30" t="s">
        <v>31</v>
      </c>
      <c r="D35" s="49" t="s">
        <v>326</v>
      </c>
      <c r="E35" s="31">
        <f>'[1]Week  (3)'!U35</f>
        <v>0</v>
      </c>
      <c r="F35" s="32"/>
      <c r="G35" s="33"/>
      <c r="H35" s="34"/>
      <c r="I35" s="35"/>
      <c r="J35" s="24"/>
      <c r="K35" s="36"/>
      <c r="L35" s="27"/>
      <c r="M35" s="25"/>
      <c r="N35" s="25"/>
      <c r="O35" s="25"/>
      <c r="P35" s="24"/>
      <c r="Q35" s="27"/>
      <c r="R35" s="27"/>
      <c r="S35" s="25"/>
      <c r="T35" s="27"/>
      <c r="U35" s="27"/>
      <c r="V35" s="31">
        <f t="shared" si="0"/>
        <v>0</v>
      </c>
    </row>
    <row r="36" spans="1:22" ht="30" x14ac:dyDescent="0.3">
      <c r="A36" s="28">
        <f t="shared" si="1"/>
        <v>31</v>
      </c>
      <c r="B36" s="103" t="s">
        <v>48</v>
      </c>
      <c r="C36" s="30" t="s">
        <v>31</v>
      </c>
      <c r="D36" s="30" t="s">
        <v>322</v>
      </c>
      <c r="E36" s="31">
        <f>'[1]Week  (3)'!U36</f>
        <v>0</v>
      </c>
      <c r="F36" s="37"/>
      <c r="G36" s="38"/>
      <c r="H36" s="39"/>
      <c r="I36" s="38"/>
      <c r="J36" s="40"/>
      <c r="K36" s="38"/>
      <c r="L36" s="27"/>
      <c r="M36" s="25"/>
      <c r="N36" s="25"/>
      <c r="O36" s="25"/>
      <c r="P36" s="24"/>
      <c r="Q36" s="27"/>
      <c r="R36" s="27"/>
      <c r="S36" s="25"/>
      <c r="T36" s="27"/>
      <c r="U36" s="27"/>
      <c r="V36" s="31">
        <f t="shared" si="0"/>
        <v>0</v>
      </c>
    </row>
    <row r="37" spans="1:22" ht="30" x14ac:dyDescent="0.3">
      <c r="A37" s="28">
        <f t="shared" si="1"/>
        <v>32</v>
      </c>
      <c r="B37" s="29" t="s">
        <v>49</v>
      </c>
      <c r="C37" s="30" t="s">
        <v>31</v>
      </c>
      <c r="D37" s="30" t="s">
        <v>322</v>
      </c>
      <c r="E37" s="31">
        <f>'[1]Week  (3)'!U37</f>
        <v>34</v>
      </c>
      <c r="F37" s="32"/>
      <c r="G37" s="33"/>
      <c r="H37" s="34"/>
      <c r="I37" s="35"/>
      <c r="J37" s="24"/>
      <c r="K37" s="36"/>
      <c r="L37" s="24"/>
      <c r="M37" s="25"/>
      <c r="N37" s="25"/>
      <c r="O37" s="25"/>
      <c r="P37" s="24"/>
      <c r="Q37" s="27"/>
      <c r="R37" s="27"/>
      <c r="S37" s="25"/>
      <c r="T37" s="27"/>
      <c r="U37" s="27"/>
      <c r="V37" s="31">
        <f t="shared" si="0"/>
        <v>34</v>
      </c>
    </row>
    <row r="38" spans="1:22" ht="15" x14ac:dyDescent="0.3">
      <c r="A38" s="28">
        <f t="shared" si="1"/>
        <v>33</v>
      </c>
      <c r="B38" s="2" t="s">
        <v>50</v>
      </c>
      <c r="C38" s="30" t="s">
        <v>31</v>
      </c>
      <c r="D38" s="30" t="s">
        <v>323</v>
      </c>
      <c r="E38" s="31">
        <f>'[1]Week  (3)'!U38</f>
        <v>26</v>
      </c>
      <c r="F38" s="37"/>
      <c r="G38" s="38"/>
      <c r="H38" s="39"/>
      <c r="I38" s="38"/>
      <c r="J38" s="40"/>
      <c r="K38" s="38"/>
      <c r="L38" s="27"/>
      <c r="M38" s="25"/>
      <c r="N38" s="25"/>
      <c r="O38" s="25"/>
      <c r="P38" s="24"/>
      <c r="Q38" s="27"/>
      <c r="R38" s="27"/>
      <c r="S38" s="25"/>
      <c r="T38" s="27"/>
      <c r="U38" s="27"/>
      <c r="V38" s="31">
        <f t="shared" si="0"/>
        <v>26</v>
      </c>
    </row>
    <row r="39" spans="1:22" ht="15" x14ac:dyDescent="0.3">
      <c r="A39" s="28">
        <f t="shared" si="1"/>
        <v>34</v>
      </c>
      <c r="B39" s="29" t="s">
        <v>51</v>
      </c>
      <c r="C39" s="30" t="s">
        <v>31</v>
      </c>
      <c r="D39" s="30" t="s">
        <v>319</v>
      </c>
      <c r="E39" s="31">
        <f>'[1]Week  (3)'!U39</f>
        <v>16</v>
      </c>
      <c r="F39" s="32"/>
      <c r="G39" s="33"/>
      <c r="H39" s="34"/>
      <c r="I39" s="35"/>
      <c r="J39" s="24"/>
      <c r="K39" s="36"/>
      <c r="L39" s="27"/>
      <c r="M39" s="25"/>
      <c r="N39" s="25"/>
      <c r="O39" s="25"/>
      <c r="P39" s="24"/>
      <c r="Q39" s="27"/>
      <c r="R39" s="27"/>
      <c r="S39" s="25"/>
      <c r="T39" s="27"/>
      <c r="U39" s="27"/>
      <c r="V39" s="31">
        <f t="shared" si="0"/>
        <v>16</v>
      </c>
    </row>
    <row r="40" spans="1:22" ht="15" x14ac:dyDescent="0.3">
      <c r="A40" s="28">
        <f t="shared" si="1"/>
        <v>35</v>
      </c>
      <c r="B40" s="29" t="s">
        <v>52</v>
      </c>
      <c r="C40" s="30" t="s">
        <v>31</v>
      </c>
      <c r="D40" s="30" t="s">
        <v>319</v>
      </c>
      <c r="E40" s="31">
        <f>'[1]Week  (3)'!U40</f>
        <v>6</v>
      </c>
      <c r="F40" s="37">
        <v>45985</v>
      </c>
      <c r="G40" s="38">
        <v>10</v>
      </c>
      <c r="H40" s="39"/>
      <c r="I40" s="38"/>
      <c r="J40" s="40"/>
      <c r="K40" s="38"/>
      <c r="L40" s="27"/>
      <c r="M40" s="25"/>
      <c r="N40" s="25"/>
      <c r="O40" s="25"/>
      <c r="P40" s="24"/>
      <c r="Q40" s="27"/>
      <c r="R40" s="27"/>
      <c r="S40" s="25"/>
      <c r="T40" s="27"/>
      <c r="U40" s="27"/>
      <c r="V40" s="31">
        <f t="shared" si="0"/>
        <v>16</v>
      </c>
    </row>
    <row r="41" spans="1:22" ht="12.75" customHeight="1" x14ac:dyDescent="0.3">
      <c r="A41" s="28">
        <f t="shared" si="1"/>
        <v>36</v>
      </c>
      <c r="B41" s="29" t="s">
        <v>53</v>
      </c>
      <c r="C41" s="30" t="s">
        <v>31</v>
      </c>
      <c r="D41" s="30" t="s">
        <v>319</v>
      </c>
      <c r="E41" s="31">
        <f>'[1]Week  (3)'!U41</f>
        <v>13</v>
      </c>
      <c r="F41" s="32"/>
      <c r="G41" s="33"/>
      <c r="H41" s="34"/>
      <c r="I41" s="35"/>
      <c r="J41" s="24"/>
      <c r="K41" s="36"/>
      <c r="L41" s="27"/>
      <c r="M41" s="25"/>
      <c r="N41" s="25" t="s">
        <v>54</v>
      </c>
      <c r="O41" s="25">
        <v>1</v>
      </c>
      <c r="P41" s="24"/>
      <c r="Q41" s="27"/>
      <c r="R41" s="27"/>
      <c r="S41" s="25"/>
      <c r="T41" s="27"/>
      <c r="U41" s="27"/>
      <c r="V41" s="31">
        <f t="shared" si="0"/>
        <v>12</v>
      </c>
    </row>
    <row r="42" spans="1:22" ht="15" x14ac:dyDescent="0.3">
      <c r="A42" s="28">
        <f t="shared" si="1"/>
        <v>37</v>
      </c>
      <c r="B42" s="29" t="s">
        <v>55</v>
      </c>
      <c r="C42" s="30" t="s">
        <v>31</v>
      </c>
      <c r="D42" s="30" t="s">
        <v>319</v>
      </c>
      <c r="E42" s="31">
        <f>'[1]Week  (3)'!U42</f>
        <v>19</v>
      </c>
      <c r="F42" s="37"/>
      <c r="G42" s="38"/>
      <c r="H42" s="39"/>
      <c r="I42" s="38"/>
      <c r="J42" s="40"/>
      <c r="K42" s="38"/>
      <c r="L42" s="27"/>
      <c r="M42" s="25"/>
      <c r="N42" s="25"/>
      <c r="O42" s="25"/>
      <c r="P42" s="24"/>
      <c r="Q42" s="27"/>
      <c r="R42" s="27"/>
      <c r="S42" s="25"/>
      <c r="T42" s="27"/>
      <c r="U42" s="27"/>
      <c r="V42" s="31">
        <f t="shared" si="0"/>
        <v>19</v>
      </c>
    </row>
    <row r="43" spans="1:22" ht="15" x14ac:dyDescent="0.3">
      <c r="A43" s="28">
        <f t="shared" si="1"/>
        <v>38</v>
      </c>
      <c r="B43" s="29" t="s">
        <v>56</v>
      </c>
      <c r="C43" s="30" t="s">
        <v>31</v>
      </c>
      <c r="D43" s="30" t="s">
        <v>319</v>
      </c>
      <c r="E43" s="31">
        <f>'[1]Week  (3)'!U43</f>
        <v>15</v>
      </c>
      <c r="F43" s="32"/>
      <c r="G43" s="33"/>
      <c r="H43" s="34"/>
      <c r="I43" s="35"/>
      <c r="J43" s="24"/>
      <c r="K43" s="36"/>
      <c r="L43" s="27"/>
      <c r="M43" s="25"/>
      <c r="N43" s="25"/>
      <c r="O43" s="25"/>
      <c r="P43" s="24"/>
      <c r="Q43" s="27"/>
      <c r="R43" s="27"/>
      <c r="S43" s="25"/>
      <c r="T43" s="27"/>
      <c r="U43" s="27"/>
      <c r="V43" s="31">
        <f t="shared" si="0"/>
        <v>15</v>
      </c>
    </row>
    <row r="44" spans="1:22" ht="15" x14ac:dyDescent="0.3">
      <c r="A44" s="28">
        <f t="shared" si="1"/>
        <v>39</v>
      </c>
      <c r="B44" s="51" t="s">
        <v>57</v>
      </c>
      <c r="C44" s="30" t="s">
        <v>31</v>
      </c>
      <c r="D44" s="30" t="s">
        <v>323</v>
      </c>
      <c r="E44" s="31">
        <f>'[1]Week  (3)'!U44</f>
        <v>12</v>
      </c>
      <c r="F44" s="37"/>
      <c r="G44" s="38"/>
      <c r="H44" s="39"/>
      <c r="I44" s="38"/>
      <c r="J44" s="40"/>
      <c r="K44" s="38"/>
      <c r="L44" s="27"/>
      <c r="M44" s="25"/>
      <c r="N44" s="25"/>
      <c r="O44" s="25"/>
      <c r="P44" s="24"/>
      <c r="Q44" s="27"/>
      <c r="R44" s="27"/>
      <c r="S44" s="25"/>
      <c r="T44" s="27"/>
      <c r="U44" s="27"/>
      <c r="V44" s="31">
        <f t="shared" si="0"/>
        <v>12</v>
      </c>
    </row>
    <row r="45" spans="1:22" ht="15" x14ac:dyDescent="0.3">
      <c r="A45" s="28">
        <f t="shared" si="1"/>
        <v>40</v>
      </c>
      <c r="B45" s="51" t="s">
        <v>58</v>
      </c>
      <c r="C45" s="30" t="s">
        <v>31</v>
      </c>
      <c r="D45" s="30" t="s">
        <v>323</v>
      </c>
      <c r="E45" s="31">
        <f>'[1]Week  (3)'!U45</f>
        <v>0</v>
      </c>
      <c r="F45" s="32"/>
      <c r="G45" s="33"/>
      <c r="H45" s="34"/>
      <c r="I45" s="35"/>
      <c r="J45" s="24"/>
      <c r="K45" s="36"/>
      <c r="L45" s="27"/>
      <c r="M45" s="25"/>
      <c r="N45" s="25"/>
      <c r="O45" s="25"/>
      <c r="P45" s="24"/>
      <c r="Q45" s="27"/>
      <c r="R45" s="27"/>
      <c r="S45" s="25"/>
      <c r="T45" s="27"/>
      <c r="U45" s="27"/>
      <c r="V45" s="31">
        <f t="shared" si="0"/>
        <v>0</v>
      </c>
    </row>
    <row r="46" spans="1:22" ht="15" x14ac:dyDescent="0.3">
      <c r="A46" s="28">
        <f t="shared" si="1"/>
        <v>41</v>
      </c>
      <c r="B46" s="29" t="s">
        <v>59</v>
      </c>
      <c r="C46" s="30" t="s">
        <v>31</v>
      </c>
      <c r="D46" s="30" t="s">
        <v>319</v>
      </c>
      <c r="E46" s="31">
        <f>'[1]Week  (3)'!U46</f>
        <v>2</v>
      </c>
      <c r="F46" s="37"/>
      <c r="G46" s="38"/>
      <c r="H46" s="39"/>
      <c r="I46" s="38"/>
      <c r="J46" s="40"/>
      <c r="K46" s="38"/>
      <c r="L46" s="27"/>
      <c r="M46" s="25"/>
      <c r="N46" s="25"/>
      <c r="O46" s="25"/>
      <c r="P46" s="24"/>
      <c r="Q46" s="27"/>
      <c r="R46" s="27"/>
      <c r="S46" s="25"/>
      <c r="T46" s="27"/>
      <c r="U46" s="27"/>
      <c r="V46" s="31">
        <f t="shared" si="0"/>
        <v>2</v>
      </c>
    </row>
    <row r="47" spans="1:22" ht="25.5" x14ac:dyDescent="0.2">
      <c r="A47" s="28">
        <f t="shared" si="1"/>
        <v>42</v>
      </c>
      <c r="B47" s="42" t="s">
        <v>60</v>
      </c>
      <c r="C47" s="43" t="s">
        <v>61</v>
      </c>
      <c r="D47" s="43" t="s">
        <v>321</v>
      </c>
      <c r="E47" s="31">
        <f>'[1]Week  (3)'!U47</f>
        <v>1.52</v>
      </c>
      <c r="F47" s="32"/>
      <c r="G47" s="33"/>
      <c r="H47" s="34"/>
      <c r="I47" s="53"/>
      <c r="J47" s="24"/>
      <c r="K47" s="36"/>
      <c r="L47" s="27"/>
      <c r="M47" s="25"/>
      <c r="N47" s="25"/>
      <c r="O47" s="25"/>
      <c r="P47" s="24"/>
      <c r="Q47" s="27"/>
      <c r="R47" s="27"/>
      <c r="S47" s="25"/>
      <c r="T47" s="27"/>
      <c r="U47" s="27"/>
      <c r="V47" s="31">
        <f t="shared" si="0"/>
        <v>1.52</v>
      </c>
    </row>
    <row r="48" spans="1:22" ht="30" x14ac:dyDescent="0.3">
      <c r="A48" s="28">
        <f t="shared" si="1"/>
        <v>43</v>
      </c>
      <c r="B48" s="29" t="s">
        <v>62</v>
      </c>
      <c r="C48" s="30" t="s">
        <v>63</v>
      </c>
      <c r="D48" s="43" t="s">
        <v>321</v>
      </c>
      <c r="E48" s="31">
        <f>'[1]Week  (3)'!U48</f>
        <v>0</v>
      </c>
      <c r="F48" s="37"/>
      <c r="G48" s="38"/>
      <c r="H48" s="39"/>
      <c r="I48" s="38"/>
      <c r="J48" s="40"/>
      <c r="K48" s="38"/>
      <c r="L48" s="27"/>
      <c r="M48" s="25"/>
      <c r="N48" s="25"/>
      <c r="O48" s="25"/>
      <c r="P48" s="24"/>
      <c r="Q48" s="27"/>
      <c r="R48" s="27"/>
      <c r="S48" s="25"/>
      <c r="T48" s="27"/>
      <c r="U48" s="27"/>
      <c r="V48" s="31">
        <f t="shared" si="0"/>
        <v>0</v>
      </c>
    </row>
    <row r="49" spans="1:22" ht="30" x14ac:dyDescent="0.3">
      <c r="A49" s="28">
        <f t="shared" si="1"/>
        <v>44</v>
      </c>
      <c r="B49" s="29" t="s">
        <v>64</v>
      </c>
      <c r="C49" s="30" t="s">
        <v>63</v>
      </c>
      <c r="D49" s="43" t="s">
        <v>321</v>
      </c>
      <c r="E49" s="31">
        <f>'[1]Week  (3)'!U49</f>
        <v>0</v>
      </c>
      <c r="F49" s="32"/>
      <c r="G49" s="33"/>
      <c r="H49" s="34"/>
      <c r="I49" s="35"/>
      <c r="J49" s="24"/>
      <c r="K49" s="36"/>
      <c r="L49" s="27"/>
      <c r="M49" s="25"/>
      <c r="N49" s="25"/>
      <c r="O49" s="25"/>
      <c r="P49" s="24"/>
      <c r="Q49" s="27"/>
      <c r="R49" s="27"/>
      <c r="S49" s="25"/>
      <c r="T49" s="27"/>
      <c r="U49" s="27"/>
      <c r="V49" s="31">
        <f t="shared" si="0"/>
        <v>0</v>
      </c>
    </row>
    <row r="50" spans="1:22" ht="15.75" x14ac:dyDescent="0.3">
      <c r="A50" s="28">
        <f t="shared" si="1"/>
        <v>45</v>
      </c>
      <c r="B50" s="29" t="s">
        <v>65</v>
      </c>
      <c r="C50" s="30" t="s">
        <v>66</v>
      </c>
      <c r="D50" s="43" t="s">
        <v>321</v>
      </c>
      <c r="E50" s="31">
        <f>'[1]Week  (3)'!U50</f>
        <v>0</v>
      </c>
      <c r="F50" s="37"/>
      <c r="G50" s="38"/>
      <c r="H50" s="39"/>
      <c r="I50" s="38"/>
      <c r="J50" s="40"/>
      <c r="K50" s="38"/>
      <c r="L50" s="27"/>
      <c r="M50" s="25"/>
      <c r="N50" s="27"/>
      <c r="O50" s="25"/>
      <c r="P50" s="24"/>
      <c r="Q50" s="27"/>
      <c r="R50" s="27"/>
      <c r="S50" s="25"/>
      <c r="T50" s="27"/>
      <c r="U50" s="27"/>
      <c r="V50" s="31">
        <f t="shared" si="0"/>
        <v>0</v>
      </c>
    </row>
    <row r="51" spans="1:22" ht="15.75" x14ac:dyDescent="0.3">
      <c r="A51" s="28">
        <f t="shared" si="1"/>
        <v>46</v>
      </c>
      <c r="B51" s="29" t="s">
        <v>67</v>
      </c>
      <c r="C51" s="30" t="s">
        <v>66</v>
      </c>
      <c r="D51" s="43" t="s">
        <v>321</v>
      </c>
      <c r="E51" s="31">
        <f>'[1]Week  (3)'!U51</f>
        <v>0.66857142857142882</v>
      </c>
      <c r="F51" s="32"/>
      <c r="G51" s="33"/>
      <c r="H51" s="34"/>
      <c r="I51" s="35"/>
      <c r="J51" s="24"/>
      <c r="K51" s="36"/>
      <c r="L51" s="27"/>
      <c r="M51" s="25"/>
      <c r="N51" s="25"/>
      <c r="O51" s="25"/>
      <c r="P51" s="24"/>
      <c r="Q51" s="27"/>
      <c r="R51" s="27"/>
      <c r="S51" s="25"/>
      <c r="T51" s="27"/>
      <c r="U51" s="27"/>
      <c r="V51" s="31">
        <f t="shared" si="0"/>
        <v>0.66857142857142882</v>
      </c>
    </row>
    <row r="52" spans="1:22" ht="15.75" x14ac:dyDescent="0.3">
      <c r="A52" s="28">
        <f t="shared" si="1"/>
        <v>47</v>
      </c>
      <c r="B52" s="29" t="s">
        <v>68</v>
      </c>
      <c r="C52" s="30" t="s">
        <v>66</v>
      </c>
      <c r="D52" s="43" t="s">
        <v>321</v>
      </c>
      <c r="E52" s="31">
        <f>'[1]Week  (3)'!U52</f>
        <v>1.4</v>
      </c>
      <c r="F52" s="37"/>
      <c r="G52" s="38"/>
      <c r="H52" s="39"/>
      <c r="I52" s="38"/>
      <c r="J52" s="40"/>
      <c r="K52" s="38"/>
      <c r="L52" s="27"/>
      <c r="M52" s="25"/>
      <c r="N52" s="25"/>
      <c r="O52" s="25"/>
      <c r="P52" s="24"/>
      <c r="Q52" s="27"/>
      <c r="R52" s="27"/>
      <c r="S52" s="25"/>
      <c r="T52" s="27"/>
      <c r="U52" s="27"/>
      <c r="V52" s="31">
        <f t="shared" si="0"/>
        <v>1.4</v>
      </c>
    </row>
    <row r="53" spans="1:22" ht="24" customHeight="1" x14ac:dyDescent="0.2">
      <c r="A53" s="28">
        <f t="shared" si="1"/>
        <v>48</v>
      </c>
      <c r="B53" s="42" t="s">
        <v>69</v>
      </c>
      <c r="C53" s="43" t="s">
        <v>70</v>
      </c>
      <c r="D53" s="43" t="s">
        <v>321</v>
      </c>
      <c r="E53" s="31">
        <f>'[1]Week  (3)'!U53</f>
        <v>4</v>
      </c>
      <c r="F53" s="32"/>
      <c r="G53" s="33"/>
      <c r="H53" s="34"/>
      <c r="I53" s="53"/>
      <c r="J53" s="24"/>
      <c r="K53" s="36"/>
      <c r="L53" s="34"/>
      <c r="M53" s="35"/>
      <c r="N53" s="25"/>
      <c r="O53" s="25"/>
      <c r="P53" s="24"/>
      <c r="Q53" s="27"/>
      <c r="R53" s="27"/>
      <c r="S53" s="25"/>
      <c r="T53" s="27"/>
      <c r="U53" s="27"/>
      <c r="V53" s="31">
        <f t="shared" si="0"/>
        <v>4</v>
      </c>
    </row>
    <row r="54" spans="1:22" ht="24" customHeight="1" x14ac:dyDescent="0.2">
      <c r="A54" s="28">
        <f t="shared" si="1"/>
        <v>49</v>
      </c>
      <c r="B54" s="54" t="s">
        <v>71</v>
      </c>
      <c r="C54" s="43" t="s">
        <v>72</v>
      </c>
      <c r="D54" s="43" t="s">
        <v>321</v>
      </c>
      <c r="E54" s="31">
        <f>'[1]Week  (3)'!U54</f>
        <v>0</v>
      </c>
      <c r="F54" s="37"/>
      <c r="G54" s="38"/>
      <c r="H54" s="39"/>
      <c r="I54" s="38"/>
      <c r="J54" s="40"/>
      <c r="K54" s="38"/>
      <c r="L54" s="27"/>
      <c r="M54" s="25"/>
      <c r="N54" s="25"/>
      <c r="O54" s="25"/>
      <c r="P54" s="24"/>
      <c r="Q54" s="27"/>
      <c r="R54" s="27"/>
      <c r="S54" s="25"/>
      <c r="T54" s="27"/>
      <c r="U54" s="27"/>
      <c r="V54" s="31">
        <f t="shared" si="0"/>
        <v>0</v>
      </c>
    </row>
    <row r="55" spans="1:22" ht="24" customHeight="1" x14ac:dyDescent="0.2">
      <c r="A55" s="28">
        <f t="shared" si="1"/>
        <v>50</v>
      </c>
      <c r="B55" s="42" t="s">
        <v>73</v>
      </c>
      <c r="C55" s="43" t="s">
        <v>72</v>
      </c>
      <c r="D55" s="43" t="s">
        <v>321</v>
      </c>
      <c r="E55" s="31">
        <f>'[1]Week  (3)'!U55</f>
        <v>0</v>
      </c>
      <c r="F55" s="32"/>
      <c r="G55" s="33"/>
      <c r="H55" s="34"/>
      <c r="I55" s="35"/>
      <c r="J55" s="24"/>
      <c r="K55" s="36"/>
      <c r="L55" s="27"/>
      <c r="M55" s="25"/>
      <c r="N55" s="25"/>
      <c r="O55" s="25"/>
      <c r="P55" s="24"/>
      <c r="Q55" s="27"/>
      <c r="R55" s="27"/>
      <c r="S55" s="25"/>
      <c r="T55" s="27"/>
      <c r="U55" s="27"/>
      <c r="V55" s="31">
        <f t="shared" si="0"/>
        <v>0</v>
      </c>
    </row>
    <row r="56" spans="1:22" ht="24" customHeight="1" x14ac:dyDescent="0.2">
      <c r="A56" s="28">
        <f t="shared" si="1"/>
        <v>51</v>
      </c>
      <c r="B56" s="54" t="s">
        <v>74</v>
      </c>
      <c r="C56" s="43" t="s">
        <v>72</v>
      </c>
      <c r="D56" s="43" t="s">
        <v>321</v>
      </c>
      <c r="E56" s="31">
        <f>'[1]Week  (3)'!U56</f>
        <v>1</v>
      </c>
      <c r="F56" s="37"/>
      <c r="G56" s="38"/>
      <c r="H56" s="39"/>
      <c r="I56" s="38"/>
      <c r="J56" s="40"/>
      <c r="K56" s="38"/>
      <c r="L56" s="27"/>
      <c r="M56" s="25"/>
      <c r="N56" s="25"/>
      <c r="O56" s="25"/>
      <c r="P56" s="24"/>
      <c r="Q56" s="27"/>
      <c r="R56" s="27"/>
      <c r="S56" s="25"/>
      <c r="T56" s="27"/>
      <c r="U56" s="27"/>
      <c r="V56" s="31">
        <f t="shared" si="0"/>
        <v>1</v>
      </c>
    </row>
    <row r="57" spans="1:22" ht="24" customHeight="1" x14ac:dyDescent="0.2">
      <c r="A57" s="28">
        <f t="shared" si="1"/>
        <v>52</v>
      </c>
      <c r="B57" s="54" t="s">
        <v>75</v>
      </c>
      <c r="C57" s="43" t="s">
        <v>76</v>
      </c>
      <c r="D57" s="43" t="s">
        <v>321</v>
      </c>
      <c r="E57" s="31">
        <f>'[1]Week  (3)'!U57</f>
        <v>5</v>
      </c>
      <c r="F57" s="32"/>
      <c r="G57" s="33"/>
      <c r="H57" s="34"/>
      <c r="I57" s="35"/>
      <c r="J57" s="24"/>
      <c r="K57" s="36"/>
      <c r="L57" s="27"/>
      <c r="M57" s="25"/>
      <c r="N57" s="25"/>
      <c r="O57" s="25"/>
      <c r="P57" s="24"/>
      <c r="Q57" s="27"/>
      <c r="R57" s="27"/>
      <c r="S57" s="25"/>
      <c r="T57" s="27"/>
      <c r="U57" s="27"/>
      <c r="V57" s="31">
        <f t="shared" si="0"/>
        <v>5</v>
      </c>
    </row>
    <row r="58" spans="1:22" ht="24" customHeight="1" x14ac:dyDescent="0.2">
      <c r="A58" s="28">
        <f t="shared" si="1"/>
        <v>53</v>
      </c>
      <c r="B58" s="54" t="s">
        <v>77</v>
      </c>
      <c r="C58" s="43" t="s">
        <v>76</v>
      </c>
      <c r="D58" s="43" t="s">
        <v>321</v>
      </c>
      <c r="E58" s="31">
        <f>'[1]Week  (3)'!U58</f>
        <v>0</v>
      </c>
      <c r="F58" s="37"/>
      <c r="G58" s="38"/>
      <c r="H58" s="39"/>
      <c r="I58" s="38"/>
      <c r="J58" s="40"/>
      <c r="K58" s="38"/>
      <c r="L58" s="27"/>
      <c r="M58" s="25"/>
      <c r="N58" s="25"/>
      <c r="O58" s="25"/>
      <c r="P58" s="24"/>
      <c r="Q58" s="27"/>
      <c r="R58" s="27"/>
      <c r="S58" s="25"/>
      <c r="T58" s="27"/>
      <c r="U58" s="27"/>
      <c r="V58" s="31">
        <f t="shared" si="0"/>
        <v>0</v>
      </c>
    </row>
    <row r="59" spans="1:22" ht="27" customHeight="1" x14ac:dyDescent="0.3">
      <c r="A59" s="28">
        <f t="shared" si="1"/>
        <v>54</v>
      </c>
      <c r="B59" s="29" t="s">
        <v>78</v>
      </c>
      <c r="C59" s="30" t="s">
        <v>79</v>
      </c>
      <c r="D59" s="43" t="s">
        <v>321</v>
      </c>
      <c r="E59" s="31">
        <f>'[1]Week  (3)'!U59</f>
        <v>3.8724999999999987</v>
      </c>
      <c r="F59" s="55"/>
      <c r="G59" s="33"/>
      <c r="H59" s="46"/>
      <c r="I59" s="56"/>
      <c r="J59" s="24"/>
      <c r="K59" s="57"/>
      <c r="L59" s="24"/>
      <c r="M59" s="25"/>
      <c r="N59" s="24" t="s">
        <v>80</v>
      </c>
      <c r="O59" s="25">
        <f>20/40</f>
        <v>0.5</v>
      </c>
      <c r="P59" s="24"/>
      <c r="Q59" s="27"/>
      <c r="R59" s="27"/>
      <c r="S59" s="25"/>
      <c r="T59" s="27"/>
      <c r="U59" s="27"/>
      <c r="V59" s="31">
        <f t="shared" si="0"/>
        <v>3.3724999999999987</v>
      </c>
    </row>
    <row r="60" spans="1:22" ht="15.75" x14ac:dyDescent="0.3">
      <c r="A60" s="28">
        <f t="shared" si="1"/>
        <v>55</v>
      </c>
      <c r="B60" s="29" t="s">
        <v>81</v>
      </c>
      <c r="C60" s="30" t="s">
        <v>76</v>
      </c>
      <c r="D60" s="43" t="s">
        <v>321</v>
      </c>
      <c r="E60" s="31">
        <f>'[1]Week  (3)'!U60</f>
        <v>0</v>
      </c>
      <c r="F60" s="37"/>
      <c r="G60" s="38"/>
      <c r="H60" s="46"/>
      <c r="I60" s="38"/>
      <c r="J60" s="40"/>
      <c r="K60" s="38"/>
      <c r="L60" s="24"/>
      <c r="M60" s="25"/>
      <c r="N60" s="25"/>
      <c r="O60" s="25"/>
      <c r="P60" s="24"/>
      <c r="Q60" s="27"/>
      <c r="R60" s="27"/>
      <c r="S60" s="25"/>
      <c r="T60" s="27"/>
      <c r="U60" s="27"/>
      <c r="V60" s="31">
        <f t="shared" si="0"/>
        <v>0</v>
      </c>
    </row>
    <row r="61" spans="1:22" ht="15.75" x14ac:dyDescent="0.3">
      <c r="A61" s="28">
        <f t="shared" si="1"/>
        <v>56</v>
      </c>
      <c r="B61" s="29" t="s">
        <v>82</v>
      </c>
      <c r="C61" s="30" t="s">
        <v>83</v>
      </c>
      <c r="D61" s="43" t="s">
        <v>321</v>
      </c>
      <c r="E61" s="31">
        <f>'[1]Week  (3)'!U61</f>
        <v>2</v>
      </c>
      <c r="F61" s="32"/>
      <c r="G61" s="33"/>
      <c r="H61" s="34"/>
      <c r="I61" s="35"/>
      <c r="J61" s="24"/>
      <c r="K61" s="36"/>
      <c r="L61" s="27"/>
      <c r="M61" s="25"/>
      <c r="N61" s="25"/>
      <c r="O61" s="25"/>
      <c r="P61" s="24"/>
      <c r="Q61" s="27"/>
      <c r="R61" s="27"/>
      <c r="S61" s="25"/>
      <c r="T61" s="27"/>
      <c r="U61" s="27"/>
      <c r="V61" s="31">
        <f t="shared" si="0"/>
        <v>2</v>
      </c>
    </row>
    <row r="62" spans="1:22" ht="15.75" x14ac:dyDescent="0.3">
      <c r="A62" s="28">
        <f t="shared" si="1"/>
        <v>57</v>
      </c>
      <c r="B62" s="29" t="s">
        <v>84</v>
      </c>
      <c r="C62" s="30" t="s">
        <v>85</v>
      </c>
      <c r="D62" s="43" t="s">
        <v>321</v>
      </c>
      <c r="E62" s="31">
        <f>'[1]Week  (3)'!U62</f>
        <v>0</v>
      </c>
      <c r="F62" s="37"/>
      <c r="G62" s="38"/>
      <c r="H62" s="39"/>
      <c r="I62" s="38"/>
      <c r="J62" s="40"/>
      <c r="K62" s="38"/>
      <c r="L62" s="27"/>
      <c r="M62" s="25"/>
      <c r="N62" s="25"/>
      <c r="O62" s="25"/>
      <c r="P62" s="24"/>
      <c r="Q62" s="27"/>
      <c r="R62" s="27"/>
      <c r="S62" s="25"/>
      <c r="T62" s="27"/>
      <c r="U62" s="27"/>
      <c r="V62" s="31">
        <f t="shared" si="0"/>
        <v>0</v>
      </c>
    </row>
    <row r="63" spans="1:22" ht="15" x14ac:dyDescent="0.3">
      <c r="A63" s="28">
        <f t="shared" si="1"/>
        <v>58</v>
      </c>
      <c r="B63" s="29" t="s">
        <v>86</v>
      </c>
      <c r="C63" s="30" t="s">
        <v>31</v>
      </c>
      <c r="D63" s="30" t="s">
        <v>323</v>
      </c>
      <c r="E63" s="31">
        <f>'[1]Week  (3)'!U63</f>
        <v>5</v>
      </c>
      <c r="F63" s="32"/>
      <c r="G63" s="33"/>
      <c r="H63" s="34"/>
      <c r="I63" s="35"/>
      <c r="J63" s="24"/>
      <c r="K63" s="36"/>
      <c r="L63" s="27"/>
      <c r="M63" s="25"/>
      <c r="N63" s="25"/>
      <c r="O63" s="25"/>
      <c r="P63" s="24"/>
      <c r="Q63" s="27"/>
      <c r="R63" s="27"/>
      <c r="S63" s="25"/>
      <c r="T63" s="27"/>
      <c r="U63" s="27"/>
      <c r="V63" s="31">
        <f t="shared" si="0"/>
        <v>5</v>
      </c>
    </row>
    <row r="64" spans="1:22" ht="15" x14ac:dyDescent="0.3">
      <c r="A64" s="28">
        <f t="shared" si="1"/>
        <v>59</v>
      </c>
      <c r="B64" s="29" t="s">
        <v>87</v>
      </c>
      <c r="C64" s="30" t="s">
        <v>31</v>
      </c>
      <c r="D64" s="30" t="s">
        <v>323</v>
      </c>
      <c r="E64" s="31">
        <f>'[1]Week  (3)'!U64</f>
        <v>6</v>
      </c>
      <c r="F64" s="37"/>
      <c r="G64" s="38"/>
      <c r="H64" s="39"/>
      <c r="I64" s="38"/>
      <c r="J64" s="40"/>
      <c r="K64" s="38"/>
      <c r="L64" s="27"/>
      <c r="M64" s="25"/>
      <c r="N64" s="25"/>
      <c r="O64" s="25"/>
      <c r="P64" s="24"/>
      <c r="Q64" s="27"/>
      <c r="R64" s="27"/>
      <c r="S64" s="25"/>
      <c r="T64" s="27"/>
      <c r="U64" s="27"/>
      <c r="V64" s="31">
        <f t="shared" si="0"/>
        <v>6</v>
      </c>
    </row>
    <row r="65" spans="1:22" ht="15" x14ac:dyDescent="0.3">
      <c r="A65" s="28">
        <f t="shared" si="1"/>
        <v>60</v>
      </c>
      <c r="B65" s="29" t="s">
        <v>88</v>
      </c>
      <c r="C65" s="30" t="s">
        <v>31</v>
      </c>
      <c r="D65" s="30" t="s">
        <v>323</v>
      </c>
      <c r="E65" s="31">
        <f>'[1]Week  (3)'!U65</f>
        <v>4</v>
      </c>
      <c r="F65" s="32"/>
      <c r="G65" s="33"/>
      <c r="H65" s="34"/>
      <c r="I65" s="35"/>
      <c r="J65" s="24"/>
      <c r="K65" s="36"/>
      <c r="L65" s="27"/>
      <c r="M65" s="25"/>
      <c r="N65" s="25"/>
      <c r="O65" s="25"/>
      <c r="P65" s="24"/>
      <c r="Q65" s="27"/>
      <c r="R65" s="27"/>
      <c r="S65" s="25"/>
      <c r="T65" s="27"/>
      <c r="U65" s="27"/>
      <c r="V65" s="31">
        <f t="shared" si="0"/>
        <v>4</v>
      </c>
    </row>
    <row r="66" spans="1:22" ht="15" x14ac:dyDescent="0.3">
      <c r="A66" s="28">
        <f t="shared" si="1"/>
        <v>61</v>
      </c>
      <c r="B66" s="29" t="s">
        <v>89</v>
      </c>
      <c r="C66" s="30" t="s">
        <v>31</v>
      </c>
      <c r="D66" s="30" t="s">
        <v>323</v>
      </c>
      <c r="E66" s="31">
        <f>'[1]Week  (3)'!U66</f>
        <v>3</v>
      </c>
      <c r="F66" s="37"/>
      <c r="G66" s="38"/>
      <c r="H66" s="39"/>
      <c r="I66" s="38"/>
      <c r="J66" s="40"/>
      <c r="K66" s="38"/>
      <c r="L66" s="27"/>
      <c r="M66" s="25"/>
      <c r="N66" s="25"/>
      <c r="O66" s="25"/>
      <c r="P66" s="24"/>
      <c r="Q66" s="27"/>
      <c r="R66" s="24"/>
      <c r="S66" s="27"/>
      <c r="T66" s="27"/>
      <c r="U66" s="27"/>
      <c r="V66" s="31">
        <f t="shared" si="0"/>
        <v>3</v>
      </c>
    </row>
    <row r="67" spans="1:22" ht="15" x14ac:dyDescent="0.3">
      <c r="A67" s="28">
        <f t="shared" si="1"/>
        <v>62</v>
      </c>
      <c r="B67" s="29" t="s">
        <v>90</v>
      </c>
      <c r="C67" s="30" t="s">
        <v>31</v>
      </c>
      <c r="D67" s="30" t="s">
        <v>323</v>
      </c>
      <c r="E67" s="31">
        <f>'[1]Week  (3)'!U67</f>
        <v>4</v>
      </c>
      <c r="F67" s="32"/>
      <c r="G67" s="33"/>
      <c r="H67" s="34"/>
      <c r="I67" s="35"/>
      <c r="J67" s="24"/>
      <c r="K67" s="36"/>
      <c r="L67" s="24"/>
      <c r="M67" s="25"/>
      <c r="N67" s="25"/>
      <c r="O67" s="25"/>
      <c r="P67" s="24"/>
      <c r="Q67" s="27"/>
      <c r="R67" s="27"/>
      <c r="S67" s="25"/>
      <c r="T67" s="27"/>
      <c r="U67" s="27"/>
      <c r="V67" s="31">
        <f t="shared" si="0"/>
        <v>4</v>
      </c>
    </row>
    <row r="68" spans="1:22" ht="30" x14ac:dyDescent="0.3">
      <c r="A68" s="28">
        <f t="shared" si="1"/>
        <v>63</v>
      </c>
      <c r="B68" s="58" t="s">
        <v>91</v>
      </c>
      <c r="C68" s="30" t="s">
        <v>31</v>
      </c>
      <c r="D68" s="30" t="s">
        <v>324</v>
      </c>
      <c r="E68" s="31">
        <f>'[1]Week  (3)'!U68</f>
        <v>4</v>
      </c>
      <c r="F68" s="37"/>
      <c r="G68" s="38"/>
      <c r="H68" s="39"/>
      <c r="I68" s="38"/>
      <c r="J68" s="40"/>
      <c r="K68" s="38"/>
      <c r="L68" s="27"/>
      <c r="M68" s="25"/>
      <c r="N68" s="25"/>
      <c r="O68" s="25"/>
      <c r="P68" s="24"/>
      <c r="Q68" s="27"/>
      <c r="R68" s="27"/>
      <c r="S68" s="25"/>
      <c r="T68" s="27"/>
      <c r="U68" s="27"/>
      <c r="V68" s="31">
        <f t="shared" si="0"/>
        <v>4</v>
      </c>
    </row>
    <row r="69" spans="1:22" ht="30" x14ac:dyDescent="0.3">
      <c r="A69" s="28">
        <f t="shared" si="1"/>
        <v>64</v>
      </c>
      <c r="B69" s="59" t="s">
        <v>92</v>
      </c>
      <c r="C69" s="30" t="s">
        <v>31</v>
      </c>
      <c r="D69" s="30" t="s">
        <v>324</v>
      </c>
      <c r="E69" s="31">
        <f>'[1]Week  (3)'!U69</f>
        <v>23</v>
      </c>
      <c r="F69" s="32"/>
      <c r="G69" s="33"/>
      <c r="H69" s="34"/>
      <c r="I69" s="35"/>
      <c r="J69" s="24"/>
      <c r="K69" s="36"/>
      <c r="L69" s="27"/>
      <c r="M69" s="25"/>
      <c r="N69" s="25"/>
      <c r="O69" s="25"/>
      <c r="P69" s="24"/>
      <c r="Q69" s="27"/>
      <c r="R69" s="27"/>
      <c r="S69" s="25"/>
      <c r="T69" s="27"/>
      <c r="U69" s="27"/>
      <c r="V69" s="31">
        <f t="shared" si="0"/>
        <v>23</v>
      </c>
    </row>
    <row r="70" spans="1:22" ht="30.75" customHeight="1" x14ac:dyDescent="0.3">
      <c r="A70" s="28">
        <f t="shared" si="1"/>
        <v>65</v>
      </c>
      <c r="B70" s="60" t="s">
        <v>93</v>
      </c>
      <c r="C70" s="30" t="s">
        <v>31</v>
      </c>
      <c r="D70" s="30" t="s">
        <v>324</v>
      </c>
      <c r="E70" s="31">
        <f>'[1]Week  (3)'!U70</f>
        <v>3</v>
      </c>
      <c r="F70" s="37"/>
      <c r="G70" s="38"/>
      <c r="H70" s="39"/>
      <c r="I70" s="38"/>
      <c r="J70" s="40"/>
      <c r="K70" s="38"/>
      <c r="L70" s="27"/>
      <c r="M70" s="25"/>
      <c r="N70" s="25"/>
      <c r="O70" s="25"/>
      <c r="P70" s="24"/>
      <c r="Q70" s="27"/>
      <c r="R70" s="27"/>
      <c r="S70" s="25"/>
      <c r="T70" s="27"/>
      <c r="U70" s="27"/>
      <c r="V70" s="31">
        <f t="shared" si="0"/>
        <v>3</v>
      </c>
    </row>
    <row r="71" spans="1:22" ht="33.75" customHeight="1" x14ac:dyDescent="0.3">
      <c r="A71" s="28">
        <f t="shared" si="1"/>
        <v>66</v>
      </c>
      <c r="B71" s="60" t="s">
        <v>94</v>
      </c>
      <c r="C71" s="30" t="s">
        <v>31</v>
      </c>
      <c r="D71" s="30" t="s">
        <v>324</v>
      </c>
      <c r="E71" s="31">
        <f>'[1]Week  (3)'!U71</f>
        <v>2</v>
      </c>
      <c r="F71" s="32"/>
      <c r="G71" s="33"/>
      <c r="H71" s="34"/>
      <c r="I71" s="35"/>
      <c r="J71" s="24"/>
      <c r="K71" s="36"/>
      <c r="L71" s="27"/>
      <c r="M71" s="25"/>
      <c r="N71" s="25"/>
      <c r="O71" s="25"/>
      <c r="P71" s="24"/>
      <c r="Q71" s="27"/>
      <c r="R71" s="27"/>
      <c r="S71" s="25"/>
      <c r="T71" s="27"/>
      <c r="U71" s="27"/>
      <c r="V71" s="31">
        <f t="shared" ref="V71:V134" si="2">E71+G71+-(I71+K71+M71+O71+Q71+S71+U71)</f>
        <v>2</v>
      </c>
    </row>
    <row r="72" spans="1:22" ht="30" x14ac:dyDescent="0.3">
      <c r="A72" s="28">
        <f t="shared" ref="A72:A135" si="3">A71+1</f>
        <v>67</v>
      </c>
      <c r="B72" s="60" t="s">
        <v>95</v>
      </c>
      <c r="C72" s="30" t="s">
        <v>31</v>
      </c>
      <c r="D72" s="30" t="s">
        <v>324</v>
      </c>
      <c r="E72" s="31">
        <f>'[1]Week  (3)'!U72</f>
        <v>1</v>
      </c>
      <c r="F72" s="37"/>
      <c r="G72" s="38"/>
      <c r="H72" s="39"/>
      <c r="I72" s="38"/>
      <c r="J72" s="40"/>
      <c r="K72" s="38"/>
      <c r="L72" s="27"/>
      <c r="M72" s="25"/>
      <c r="N72" s="25"/>
      <c r="O72" s="25"/>
      <c r="P72" s="24"/>
      <c r="Q72" s="27"/>
      <c r="R72" s="27"/>
      <c r="S72" s="25"/>
      <c r="T72" s="27"/>
      <c r="U72" s="27"/>
      <c r="V72" s="31">
        <f t="shared" si="2"/>
        <v>1</v>
      </c>
    </row>
    <row r="73" spans="1:22" ht="24" customHeight="1" x14ac:dyDescent="0.3">
      <c r="A73" s="28">
        <f t="shared" si="3"/>
        <v>68</v>
      </c>
      <c r="B73" s="59" t="s">
        <v>96</v>
      </c>
      <c r="C73" s="30" t="s">
        <v>31</v>
      </c>
      <c r="D73" s="30" t="s">
        <v>324</v>
      </c>
      <c r="E73" s="31">
        <f>'[1]Week  (3)'!U73</f>
        <v>10</v>
      </c>
      <c r="F73" s="32"/>
      <c r="G73" s="33"/>
      <c r="H73" s="34"/>
      <c r="I73" s="35"/>
      <c r="J73" s="24"/>
      <c r="K73" s="36"/>
      <c r="L73" s="27"/>
      <c r="M73" s="25"/>
      <c r="N73" s="25"/>
      <c r="O73" s="25"/>
      <c r="P73" s="24"/>
      <c r="Q73" s="27"/>
      <c r="R73" s="27"/>
      <c r="S73" s="25"/>
      <c r="T73" s="27"/>
      <c r="U73" s="27"/>
      <c r="V73" s="31">
        <f t="shared" si="2"/>
        <v>10</v>
      </c>
    </row>
    <row r="74" spans="1:22" ht="24" customHeight="1" x14ac:dyDescent="0.3">
      <c r="A74" s="28">
        <f t="shared" si="3"/>
        <v>69</v>
      </c>
      <c r="B74" s="59" t="s">
        <v>97</v>
      </c>
      <c r="C74" s="30" t="s">
        <v>31</v>
      </c>
      <c r="D74" s="30" t="s">
        <v>324</v>
      </c>
      <c r="E74" s="31">
        <f>'[1]Week  (3)'!U74</f>
        <v>8</v>
      </c>
      <c r="F74" s="37"/>
      <c r="G74" s="38"/>
      <c r="H74" s="39"/>
      <c r="I74" s="38"/>
      <c r="J74" s="40"/>
      <c r="K74" s="38"/>
      <c r="L74" s="27"/>
      <c r="M74" s="25"/>
      <c r="N74" s="25"/>
      <c r="O74" s="25"/>
      <c r="P74" s="24"/>
      <c r="Q74" s="27"/>
      <c r="R74" s="27"/>
      <c r="S74" s="25"/>
      <c r="T74" s="27"/>
      <c r="U74" s="27"/>
      <c r="V74" s="31">
        <f t="shared" si="2"/>
        <v>8</v>
      </c>
    </row>
    <row r="75" spans="1:22" ht="24" customHeight="1" x14ac:dyDescent="0.3">
      <c r="A75" s="28">
        <f t="shared" si="3"/>
        <v>70</v>
      </c>
      <c r="B75" s="59" t="s">
        <v>98</v>
      </c>
      <c r="C75" s="30" t="s">
        <v>31</v>
      </c>
      <c r="D75" s="30" t="s">
        <v>324</v>
      </c>
      <c r="E75" s="31">
        <f>'[1]Week  (3)'!U75</f>
        <v>5</v>
      </c>
      <c r="F75" s="32"/>
      <c r="G75" s="33"/>
      <c r="H75" s="34"/>
      <c r="I75" s="35"/>
      <c r="J75" s="24"/>
      <c r="K75" s="36"/>
      <c r="L75" s="27"/>
      <c r="M75" s="25"/>
      <c r="N75" s="25"/>
      <c r="O75" s="25"/>
      <c r="P75" s="24"/>
      <c r="Q75" s="27"/>
      <c r="R75" s="27"/>
      <c r="S75" s="25"/>
      <c r="T75" s="27"/>
      <c r="U75" s="27"/>
      <c r="V75" s="31">
        <f t="shared" si="2"/>
        <v>5</v>
      </c>
    </row>
    <row r="76" spans="1:22" ht="30" x14ac:dyDescent="0.3">
      <c r="A76" s="28">
        <f t="shared" si="3"/>
        <v>71</v>
      </c>
      <c r="B76" s="58" t="s">
        <v>99</v>
      </c>
      <c r="C76" s="30" t="s">
        <v>31</v>
      </c>
      <c r="D76" s="30" t="s">
        <v>324</v>
      </c>
      <c r="E76" s="31">
        <f>'[1]Week  (3)'!U76</f>
        <v>1</v>
      </c>
      <c r="F76" s="37"/>
      <c r="G76" s="38"/>
      <c r="H76" s="39"/>
      <c r="I76" s="38"/>
      <c r="J76" s="40"/>
      <c r="K76" s="38"/>
      <c r="L76" s="27"/>
      <c r="M76" s="25"/>
      <c r="N76" s="25"/>
      <c r="O76" s="25"/>
      <c r="P76" s="24"/>
      <c r="Q76" s="27"/>
      <c r="R76" s="27"/>
      <c r="S76" s="25"/>
      <c r="T76" s="27"/>
      <c r="U76" s="27"/>
      <c r="V76" s="31">
        <f t="shared" si="2"/>
        <v>1</v>
      </c>
    </row>
    <row r="77" spans="1:22" ht="15" x14ac:dyDescent="0.3">
      <c r="A77" s="28">
        <f t="shared" si="3"/>
        <v>72</v>
      </c>
      <c r="B77" s="29" t="s">
        <v>100</v>
      </c>
      <c r="C77" s="30" t="s">
        <v>31</v>
      </c>
      <c r="D77" s="30" t="s">
        <v>321</v>
      </c>
      <c r="E77" s="31">
        <f>'[1]Week  (3)'!U77</f>
        <v>9</v>
      </c>
      <c r="F77" s="32"/>
      <c r="G77" s="33"/>
      <c r="H77" s="34"/>
      <c r="I77" s="35"/>
      <c r="J77" s="24"/>
      <c r="K77" s="36"/>
      <c r="L77" s="46"/>
      <c r="M77" s="35"/>
      <c r="N77" s="25"/>
      <c r="O77" s="25"/>
      <c r="P77" s="24"/>
      <c r="Q77" s="27"/>
      <c r="R77" s="27"/>
      <c r="S77" s="25"/>
      <c r="T77" s="27"/>
      <c r="U77" s="27"/>
      <c r="V77" s="31">
        <f t="shared" si="2"/>
        <v>9</v>
      </c>
    </row>
    <row r="78" spans="1:22" ht="24" customHeight="1" x14ac:dyDescent="0.3">
      <c r="A78" s="28">
        <f t="shared" si="3"/>
        <v>73</v>
      </c>
      <c r="B78" s="29" t="s">
        <v>101</v>
      </c>
      <c r="C78" s="30" t="s">
        <v>31</v>
      </c>
      <c r="D78" s="30" t="s">
        <v>323</v>
      </c>
      <c r="E78" s="31">
        <f>'[1]Week  (3)'!U78</f>
        <v>7</v>
      </c>
      <c r="F78" s="37"/>
      <c r="G78" s="38"/>
      <c r="H78" s="39"/>
      <c r="I78" s="38"/>
      <c r="J78" s="40"/>
      <c r="K78" s="38"/>
      <c r="L78" s="27"/>
      <c r="M78" s="25"/>
      <c r="N78" s="25"/>
      <c r="O78" s="25"/>
      <c r="P78" s="24"/>
      <c r="Q78" s="27"/>
      <c r="R78" s="27"/>
      <c r="S78" s="25"/>
      <c r="T78" s="27"/>
      <c r="U78" s="27"/>
      <c r="V78" s="31">
        <f t="shared" si="2"/>
        <v>7</v>
      </c>
    </row>
    <row r="79" spans="1:22" ht="24" customHeight="1" x14ac:dyDescent="0.3">
      <c r="A79" s="28">
        <f t="shared" si="3"/>
        <v>74</v>
      </c>
      <c r="B79" s="29" t="s">
        <v>102</v>
      </c>
      <c r="C79" s="30" t="s">
        <v>31</v>
      </c>
      <c r="D79" s="30" t="s">
        <v>323</v>
      </c>
      <c r="E79" s="31">
        <f>'[1]Week  (3)'!U79</f>
        <v>7</v>
      </c>
      <c r="F79" s="32"/>
      <c r="G79" s="33"/>
      <c r="H79" s="34"/>
      <c r="I79" s="35"/>
      <c r="J79" s="24"/>
      <c r="K79" s="36"/>
      <c r="L79" s="27"/>
      <c r="M79" s="25"/>
      <c r="N79" s="25"/>
      <c r="O79" s="25"/>
      <c r="P79" s="24"/>
      <c r="Q79" s="27"/>
      <c r="R79" s="27"/>
      <c r="S79" s="25"/>
      <c r="T79" s="27"/>
      <c r="U79" s="27"/>
      <c r="V79" s="31">
        <f t="shared" si="2"/>
        <v>7</v>
      </c>
    </row>
    <row r="80" spans="1:22" ht="24" customHeight="1" x14ac:dyDescent="0.3">
      <c r="A80" s="28">
        <f t="shared" si="3"/>
        <v>75</v>
      </c>
      <c r="B80" s="29" t="s">
        <v>103</v>
      </c>
      <c r="C80" s="30" t="s">
        <v>31</v>
      </c>
      <c r="D80" s="30" t="s">
        <v>323</v>
      </c>
      <c r="E80" s="31">
        <f>'[1]Week  (3)'!U80</f>
        <v>6</v>
      </c>
      <c r="F80" s="37"/>
      <c r="G80" s="38"/>
      <c r="H80" s="39"/>
      <c r="I80" s="38"/>
      <c r="J80" s="40"/>
      <c r="K80" s="38"/>
      <c r="L80" s="27"/>
      <c r="M80" s="25"/>
      <c r="N80" s="25"/>
      <c r="O80" s="25"/>
      <c r="P80" s="24"/>
      <c r="Q80" s="27"/>
      <c r="R80" s="27"/>
      <c r="S80" s="25"/>
      <c r="T80" s="27"/>
      <c r="U80" s="27"/>
      <c r="V80" s="31">
        <f t="shared" si="2"/>
        <v>6</v>
      </c>
    </row>
    <row r="81" spans="1:22" ht="39" customHeight="1" x14ac:dyDescent="0.3">
      <c r="A81" s="28">
        <f t="shared" si="3"/>
        <v>76</v>
      </c>
      <c r="B81" s="42" t="s">
        <v>104</v>
      </c>
      <c r="C81" s="61" t="s">
        <v>28</v>
      </c>
      <c r="D81" s="30" t="s">
        <v>324</v>
      </c>
      <c r="E81" s="31">
        <f>'[1]Week  (3)'!U81</f>
        <v>4</v>
      </c>
      <c r="F81" s="32"/>
      <c r="G81" s="33"/>
      <c r="H81" s="34"/>
      <c r="I81" s="35"/>
      <c r="J81" s="24"/>
      <c r="K81" s="36"/>
      <c r="L81" s="27"/>
      <c r="M81" s="25"/>
      <c r="N81" s="25"/>
      <c r="O81" s="25"/>
      <c r="P81" s="24"/>
      <c r="Q81" s="27"/>
      <c r="R81" s="27"/>
      <c r="S81" s="25"/>
      <c r="T81" s="27"/>
      <c r="U81" s="27"/>
      <c r="V81" s="31">
        <f t="shared" si="2"/>
        <v>4</v>
      </c>
    </row>
    <row r="82" spans="1:22" ht="29.25" customHeight="1" x14ac:dyDescent="0.3">
      <c r="A82" s="28">
        <f t="shared" si="3"/>
        <v>77</v>
      </c>
      <c r="B82" s="58" t="s">
        <v>105</v>
      </c>
      <c r="C82" s="30" t="s">
        <v>31</v>
      </c>
      <c r="D82" s="30" t="s">
        <v>324</v>
      </c>
      <c r="E82" s="31">
        <f>'[1]Week  (3)'!U82</f>
        <v>7</v>
      </c>
      <c r="F82" s="37"/>
      <c r="G82" s="38"/>
      <c r="H82" s="39"/>
      <c r="I82" s="38"/>
      <c r="J82" s="40"/>
      <c r="K82" s="38"/>
      <c r="L82" s="27"/>
      <c r="M82" s="25"/>
      <c r="N82" s="25"/>
      <c r="O82" s="25"/>
      <c r="P82" s="24"/>
      <c r="Q82" s="27"/>
      <c r="R82" s="27"/>
      <c r="S82" s="25"/>
      <c r="T82" s="27"/>
      <c r="U82" s="27"/>
      <c r="V82" s="31">
        <f t="shared" si="2"/>
        <v>7</v>
      </c>
    </row>
    <row r="83" spans="1:22" ht="30" x14ac:dyDescent="0.3">
      <c r="A83" s="28">
        <f t="shared" si="3"/>
        <v>78</v>
      </c>
      <c r="B83" s="42" t="s">
        <v>106</v>
      </c>
      <c r="C83" s="61" t="s">
        <v>28</v>
      </c>
      <c r="D83" s="30" t="s">
        <v>324</v>
      </c>
      <c r="E83" s="31">
        <f>'[1]Week  (3)'!U83</f>
        <v>8</v>
      </c>
      <c r="F83" s="32"/>
      <c r="G83" s="33"/>
      <c r="H83" s="34"/>
      <c r="I83" s="35"/>
      <c r="J83" s="24"/>
      <c r="K83" s="36"/>
      <c r="L83" s="27"/>
      <c r="M83" s="25"/>
      <c r="N83" s="25"/>
      <c r="O83" s="25"/>
      <c r="P83" s="24"/>
      <c r="Q83" s="27"/>
      <c r="R83" s="27"/>
      <c r="S83" s="25"/>
      <c r="T83" s="27"/>
      <c r="U83" s="27"/>
      <c r="V83" s="31">
        <f t="shared" si="2"/>
        <v>8</v>
      </c>
    </row>
    <row r="84" spans="1:22" ht="30" x14ac:dyDescent="0.3">
      <c r="A84" s="28">
        <f t="shared" si="3"/>
        <v>79</v>
      </c>
      <c r="B84" s="42" t="s">
        <v>107</v>
      </c>
      <c r="C84" s="61" t="s">
        <v>28</v>
      </c>
      <c r="D84" s="30" t="s">
        <v>324</v>
      </c>
      <c r="E84" s="31">
        <f>'[1]Week  (3)'!U84</f>
        <v>19</v>
      </c>
      <c r="F84" s="37"/>
      <c r="G84" s="38"/>
      <c r="H84" s="39"/>
      <c r="I84" s="38"/>
      <c r="J84" s="40"/>
      <c r="K84" s="38"/>
      <c r="L84" s="27"/>
      <c r="M84" s="25"/>
      <c r="N84" s="25"/>
      <c r="O84" s="25"/>
      <c r="P84" s="24"/>
      <c r="Q84" s="27"/>
      <c r="R84" s="27"/>
      <c r="S84" s="25"/>
      <c r="T84" s="27"/>
      <c r="U84" s="27"/>
      <c r="V84" s="31">
        <f t="shared" si="2"/>
        <v>19</v>
      </c>
    </row>
    <row r="85" spans="1:22" s="63" customFormat="1" ht="24" customHeight="1" x14ac:dyDescent="0.3">
      <c r="A85" s="28">
        <v>80</v>
      </c>
      <c r="B85" s="59" t="s">
        <v>108</v>
      </c>
      <c r="C85" s="62" t="s">
        <v>28</v>
      </c>
      <c r="D85" s="30" t="s">
        <v>324</v>
      </c>
      <c r="E85" s="31">
        <f>'[1]Week  (3)'!U85</f>
        <v>0</v>
      </c>
      <c r="F85" s="32"/>
      <c r="G85" s="33"/>
      <c r="H85" s="34"/>
      <c r="I85" s="35"/>
      <c r="J85" s="24"/>
      <c r="K85" s="36"/>
      <c r="L85" s="27"/>
      <c r="M85" s="25"/>
      <c r="N85" s="25"/>
      <c r="O85" s="25"/>
      <c r="P85" s="24"/>
      <c r="Q85" s="27"/>
      <c r="R85" s="27"/>
      <c r="S85" s="25"/>
      <c r="T85" s="27"/>
      <c r="U85" s="27"/>
      <c r="V85" s="31">
        <f t="shared" si="2"/>
        <v>0</v>
      </c>
    </row>
    <row r="86" spans="1:22" ht="23.25" customHeight="1" x14ac:dyDescent="0.3">
      <c r="A86" s="28">
        <f t="shared" si="3"/>
        <v>81</v>
      </c>
      <c r="B86" s="29" t="s">
        <v>109</v>
      </c>
      <c r="C86" s="30" t="s">
        <v>31</v>
      </c>
      <c r="D86" s="30" t="s">
        <v>323</v>
      </c>
      <c r="E86" s="31">
        <f>'[1]Week  (3)'!U86</f>
        <v>5</v>
      </c>
      <c r="F86" s="37"/>
      <c r="G86" s="38"/>
      <c r="H86" s="39"/>
      <c r="I86" s="38"/>
      <c r="J86" s="40"/>
      <c r="K86" s="38"/>
      <c r="L86" s="27"/>
      <c r="M86" s="25"/>
      <c r="N86" s="25"/>
      <c r="O86" s="25"/>
      <c r="P86" s="24"/>
      <c r="Q86" s="27"/>
      <c r="R86" s="27"/>
      <c r="S86" s="25"/>
      <c r="T86" s="27"/>
      <c r="U86" s="27"/>
      <c r="V86" s="31">
        <f t="shared" si="2"/>
        <v>5</v>
      </c>
    </row>
    <row r="87" spans="1:22" ht="23.25" customHeight="1" x14ac:dyDescent="0.3">
      <c r="A87" s="28">
        <f t="shared" si="3"/>
        <v>82</v>
      </c>
      <c r="B87" s="29" t="s">
        <v>110</v>
      </c>
      <c r="C87" s="30" t="s">
        <v>31</v>
      </c>
      <c r="D87" s="30" t="s">
        <v>323</v>
      </c>
      <c r="E87" s="31">
        <f>'[1]Week  (3)'!U87</f>
        <v>0</v>
      </c>
      <c r="F87" s="32"/>
      <c r="G87" s="33"/>
      <c r="H87" s="34"/>
      <c r="I87" s="35"/>
      <c r="J87" s="24"/>
      <c r="K87" s="36"/>
      <c r="L87" s="27"/>
      <c r="M87" s="25"/>
      <c r="N87" s="25"/>
      <c r="O87" s="25"/>
      <c r="P87" s="24"/>
      <c r="Q87" s="27"/>
      <c r="R87" s="27"/>
      <c r="S87" s="25"/>
      <c r="T87" s="27"/>
      <c r="U87" s="27"/>
      <c r="V87" s="31">
        <f t="shared" si="2"/>
        <v>0</v>
      </c>
    </row>
    <row r="88" spans="1:22" ht="23.25" customHeight="1" x14ac:dyDescent="0.3">
      <c r="A88" s="28">
        <f t="shared" si="3"/>
        <v>83</v>
      </c>
      <c r="B88" s="29" t="s">
        <v>111</v>
      </c>
      <c r="C88" s="30" t="s">
        <v>31</v>
      </c>
      <c r="D88" s="30" t="s">
        <v>323</v>
      </c>
      <c r="E88" s="31">
        <f>'[1]Week  (3)'!U88</f>
        <v>2</v>
      </c>
      <c r="F88" s="37"/>
      <c r="G88" s="38"/>
      <c r="H88" s="39"/>
      <c r="I88" s="38"/>
      <c r="J88" s="40"/>
      <c r="K88" s="38"/>
      <c r="L88" s="27"/>
      <c r="M88" s="25"/>
      <c r="N88" s="25"/>
      <c r="O88" s="25"/>
      <c r="P88" s="24"/>
      <c r="Q88" s="27"/>
      <c r="R88" s="27"/>
      <c r="S88" s="25"/>
      <c r="T88" s="27"/>
      <c r="U88" s="27"/>
      <c r="V88" s="31">
        <f t="shared" si="2"/>
        <v>2</v>
      </c>
    </row>
    <row r="89" spans="1:22" ht="23.25" customHeight="1" x14ac:dyDescent="0.3">
      <c r="A89" s="28">
        <f t="shared" si="3"/>
        <v>84</v>
      </c>
      <c r="B89" s="29" t="s">
        <v>112</v>
      </c>
      <c r="C89" s="30" t="s">
        <v>31</v>
      </c>
      <c r="D89" s="30" t="s">
        <v>323</v>
      </c>
      <c r="E89" s="31">
        <f>'[1]Week  (3)'!U89</f>
        <v>5</v>
      </c>
      <c r="F89" s="32"/>
      <c r="G89" s="33"/>
      <c r="H89" s="34"/>
      <c r="I89" s="35"/>
      <c r="J89" s="24"/>
      <c r="K89" s="36"/>
      <c r="L89" s="27"/>
      <c r="M89" s="25"/>
      <c r="N89" s="25"/>
      <c r="O89" s="25"/>
      <c r="P89" s="24"/>
      <c r="Q89" s="27"/>
      <c r="R89" s="24"/>
      <c r="S89" s="25"/>
      <c r="T89" s="27"/>
      <c r="U89" s="27"/>
      <c r="V89" s="31">
        <f t="shared" si="2"/>
        <v>5</v>
      </c>
    </row>
    <row r="90" spans="1:22" ht="23.25" customHeight="1" x14ac:dyDescent="0.3">
      <c r="A90" s="28">
        <f t="shared" si="3"/>
        <v>85</v>
      </c>
      <c r="B90" s="29" t="s">
        <v>113</v>
      </c>
      <c r="C90" s="30" t="s">
        <v>31</v>
      </c>
      <c r="D90" s="30" t="s">
        <v>323</v>
      </c>
      <c r="E90" s="31">
        <f>'[1]Week  (3)'!U90</f>
        <v>4</v>
      </c>
      <c r="F90" s="37"/>
      <c r="G90" s="38"/>
      <c r="H90" s="39"/>
      <c r="I90" s="38"/>
      <c r="J90" s="40"/>
      <c r="K90" s="38"/>
      <c r="L90" s="27"/>
      <c r="M90" s="25"/>
      <c r="N90" s="25"/>
      <c r="O90" s="25"/>
      <c r="P90" s="24"/>
      <c r="Q90" s="27"/>
      <c r="R90" s="27"/>
      <c r="S90" s="25"/>
      <c r="T90" s="27"/>
      <c r="U90" s="27"/>
      <c r="V90" s="31">
        <f t="shared" si="2"/>
        <v>4</v>
      </c>
    </row>
    <row r="91" spans="1:22" ht="23.25" customHeight="1" x14ac:dyDescent="0.3">
      <c r="A91" s="28">
        <f t="shared" si="3"/>
        <v>86</v>
      </c>
      <c r="B91" s="29" t="s">
        <v>114</v>
      </c>
      <c r="C91" s="30" t="s">
        <v>31</v>
      </c>
      <c r="D91" s="30" t="s">
        <v>323</v>
      </c>
      <c r="E91" s="31">
        <f>'[1]Week  (3)'!U91</f>
        <v>5</v>
      </c>
      <c r="F91" s="32"/>
      <c r="G91" s="33"/>
      <c r="H91" s="34"/>
      <c r="I91" s="35"/>
      <c r="J91" s="24"/>
      <c r="K91" s="36"/>
      <c r="L91" s="27"/>
      <c r="M91" s="25"/>
      <c r="N91" s="25"/>
      <c r="O91" s="25"/>
      <c r="P91" s="24"/>
      <c r="Q91" s="27"/>
      <c r="R91" s="27"/>
      <c r="S91" s="25"/>
      <c r="T91" s="27"/>
      <c r="U91" s="27"/>
      <c r="V91" s="31">
        <f t="shared" si="2"/>
        <v>5</v>
      </c>
    </row>
    <row r="92" spans="1:22" ht="23.25" customHeight="1" x14ac:dyDescent="0.3">
      <c r="A92" s="28">
        <f t="shared" si="3"/>
        <v>87</v>
      </c>
      <c r="B92" s="29" t="s">
        <v>115</v>
      </c>
      <c r="C92" s="30" t="s">
        <v>31</v>
      </c>
      <c r="D92" s="30" t="s">
        <v>323</v>
      </c>
      <c r="E92" s="31">
        <f>'[1]Week  (3)'!U92</f>
        <v>5</v>
      </c>
      <c r="F92" s="37"/>
      <c r="G92" s="38"/>
      <c r="H92" s="39"/>
      <c r="I92" s="38"/>
      <c r="J92" s="40"/>
      <c r="K92" s="38"/>
      <c r="L92" s="27"/>
      <c r="M92" s="25"/>
      <c r="N92" s="25"/>
      <c r="O92" s="25"/>
      <c r="P92" s="24"/>
      <c r="Q92" s="27"/>
      <c r="R92" s="27"/>
      <c r="S92" s="25"/>
      <c r="T92" s="27"/>
      <c r="U92" s="27"/>
      <c r="V92" s="31">
        <f t="shared" si="2"/>
        <v>5</v>
      </c>
    </row>
    <row r="93" spans="1:22" ht="13.5" customHeight="1" x14ac:dyDescent="0.3">
      <c r="A93" s="28">
        <f t="shared" si="3"/>
        <v>88</v>
      </c>
      <c r="B93" s="29" t="s">
        <v>116</v>
      </c>
      <c r="C93" s="30" t="s">
        <v>117</v>
      </c>
      <c r="D93" s="30" t="s">
        <v>321</v>
      </c>
      <c r="E93" s="31">
        <f>'[1]Week  (3)'!U93</f>
        <v>9</v>
      </c>
      <c r="F93" s="32"/>
      <c r="G93" s="33"/>
      <c r="H93" s="34"/>
      <c r="I93" s="35"/>
      <c r="J93" s="24"/>
      <c r="K93" s="36"/>
      <c r="L93" s="27"/>
      <c r="M93" s="25"/>
      <c r="N93" s="25"/>
      <c r="O93" s="25"/>
      <c r="P93" s="24"/>
      <c r="Q93" s="27"/>
      <c r="R93" s="24"/>
      <c r="S93" s="27"/>
      <c r="T93" s="27"/>
      <c r="U93" s="27"/>
      <c r="V93" s="31">
        <f t="shared" si="2"/>
        <v>9</v>
      </c>
    </row>
    <row r="94" spans="1:22" ht="27" customHeight="1" x14ac:dyDescent="0.3">
      <c r="A94" s="28">
        <f t="shared" si="3"/>
        <v>89</v>
      </c>
      <c r="B94" s="29" t="s">
        <v>118</v>
      </c>
      <c r="C94" s="30" t="s">
        <v>31</v>
      </c>
      <c r="D94" s="30" t="s">
        <v>321</v>
      </c>
      <c r="E94" s="31">
        <f>'[1]Week  (3)'!U94</f>
        <v>7</v>
      </c>
      <c r="F94" s="37"/>
      <c r="G94" s="38"/>
      <c r="H94" s="64"/>
      <c r="I94" s="38"/>
      <c r="J94" s="40"/>
      <c r="K94" s="38"/>
      <c r="L94" s="40"/>
      <c r="M94" s="38"/>
      <c r="N94" s="34"/>
      <c r="O94" s="25"/>
      <c r="P94" s="40"/>
      <c r="Q94" s="27"/>
      <c r="R94" s="27"/>
      <c r="S94" s="25"/>
      <c r="T94" s="27"/>
      <c r="U94" s="27"/>
      <c r="V94" s="31">
        <f t="shared" si="2"/>
        <v>7</v>
      </c>
    </row>
    <row r="95" spans="1:22" ht="25.5" customHeight="1" x14ac:dyDescent="0.3">
      <c r="A95" s="28">
        <f t="shared" si="3"/>
        <v>90</v>
      </c>
      <c r="B95" s="65" t="s">
        <v>119</v>
      </c>
      <c r="C95" s="30" t="s">
        <v>31</v>
      </c>
      <c r="D95" s="30" t="s">
        <v>321</v>
      </c>
      <c r="E95" s="31">
        <f>'[1]Week  (3)'!U95</f>
        <v>10</v>
      </c>
      <c r="F95" s="32"/>
      <c r="G95" s="33"/>
      <c r="H95" s="34"/>
      <c r="I95" s="53"/>
      <c r="J95" s="34"/>
      <c r="K95" s="53"/>
      <c r="L95" s="34"/>
      <c r="M95" s="53"/>
      <c r="N95" s="46"/>
      <c r="O95" s="25"/>
      <c r="P95" s="34"/>
      <c r="Q95" s="25"/>
      <c r="R95" s="27"/>
      <c r="S95" s="25"/>
      <c r="T95" s="27"/>
      <c r="U95" s="27"/>
      <c r="V95" s="31">
        <f t="shared" si="2"/>
        <v>10</v>
      </c>
    </row>
    <row r="96" spans="1:22" ht="13.5" customHeight="1" x14ac:dyDescent="0.3">
      <c r="A96" s="28">
        <f t="shared" si="3"/>
        <v>91</v>
      </c>
      <c r="B96" s="65" t="s">
        <v>120</v>
      </c>
      <c r="C96" s="30" t="s">
        <v>31</v>
      </c>
      <c r="D96" s="30" t="s">
        <v>321</v>
      </c>
      <c r="E96" s="31">
        <f>'[1]Week  (3)'!U96</f>
        <v>6</v>
      </c>
      <c r="F96" s="66"/>
      <c r="G96" s="38"/>
      <c r="H96" s="39"/>
      <c r="I96" s="38"/>
      <c r="J96" s="40"/>
      <c r="K96" s="38"/>
      <c r="L96" s="40"/>
      <c r="M96" s="38"/>
      <c r="N96" s="34"/>
      <c r="O96" s="25"/>
      <c r="P96" s="40"/>
      <c r="Q96" s="27"/>
      <c r="R96" s="27"/>
      <c r="S96" s="25"/>
      <c r="T96" s="27"/>
      <c r="U96" s="27"/>
      <c r="V96" s="31">
        <f t="shared" si="2"/>
        <v>6</v>
      </c>
    </row>
    <row r="97" spans="1:22" ht="13.5" customHeight="1" x14ac:dyDescent="0.3">
      <c r="A97" s="28">
        <f t="shared" si="3"/>
        <v>92</v>
      </c>
      <c r="B97" s="29" t="s">
        <v>121</v>
      </c>
      <c r="C97" s="30" t="s">
        <v>31</v>
      </c>
      <c r="D97" s="30" t="s">
        <v>321</v>
      </c>
      <c r="E97" s="31">
        <f>'[1]Week  (3)'!U97</f>
        <v>6</v>
      </c>
      <c r="F97" s="32"/>
      <c r="G97" s="33"/>
      <c r="H97" s="34"/>
      <c r="I97" s="35"/>
      <c r="J97" s="24"/>
      <c r="K97" s="36"/>
      <c r="L97" s="27"/>
      <c r="M97" s="25"/>
      <c r="N97" s="25"/>
      <c r="O97" s="25"/>
      <c r="P97" s="24"/>
      <c r="Q97" s="27"/>
      <c r="R97" s="27"/>
      <c r="S97" s="25"/>
      <c r="T97" s="27"/>
      <c r="U97" s="27"/>
      <c r="V97" s="31">
        <f t="shared" si="2"/>
        <v>6</v>
      </c>
    </row>
    <row r="98" spans="1:22" ht="15" x14ac:dyDescent="0.3">
      <c r="A98" s="28">
        <f t="shared" si="3"/>
        <v>93</v>
      </c>
      <c r="B98" s="29" t="s">
        <v>122</v>
      </c>
      <c r="C98" s="30" t="s">
        <v>31</v>
      </c>
      <c r="D98" s="30" t="s">
        <v>321</v>
      </c>
      <c r="E98" s="31">
        <f>'[1]Week  (3)'!U98</f>
        <v>14.5</v>
      </c>
      <c r="F98" s="37"/>
      <c r="G98" s="38"/>
      <c r="H98" s="39"/>
      <c r="I98" s="38"/>
      <c r="J98" s="40"/>
      <c r="K98" s="38"/>
      <c r="L98" s="27"/>
      <c r="M98" s="25"/>
      <c r="N98" s="25"/>
      <c r="O98" s="25"/>
      <c r="P98" s="24"/>
      <c r="Q98" s="27"/>
      <c r="R98" s="27"/>
      <c r="S98" s="25"/>
      <c r="T98" s="27"/>
      <c r="U98" s="27"/>
      <c r="V98" s="31">
        <f t="shared" si="2"/>
        <v>14.5</v>
      </c>
    </row>
    <row r="99" spans="1:22" ht="30" x14ac:dyDescent="0.3">
      <c r="A99" s="28">
        <f t="shared" si="3"/>
        <v>94</v>
      </c>
      <c r="B99" s="29" t="s">
        <v>123</v>
      </c>
      <c r="C99" s="30" t="s">
        <v>31</v>
      </c>
      <c r="D99" s="30" t="s">
        <v>321</v>
      </c>
      <c r="E99" s="31">
        <f>'[1]Week  (3)'!U99</f>
        <v>9.5</v>
      </c>
      <c r="F99" s="32"/>
      <c r="G99" s="33"/>
      <c r="H99" s="34"/>
      <c r="I99" s="35"/>
      <c r="J99" s="24"/>
      <c r="K99" s="36"/>
      <c r="L99" s="27"/>
      <c r="M99" s="25"/>
      <c r="N99" s="25"/>
      <c r="O99" s="25"/>
      <c r="P99" s="24"/>
      <c r="Q99" s="27"/>
      <c r="R99" s="27"/>
      <c r="S99" s="25"/>
      <c r="T99" s="27"/>
      <c r="U99" s="27"/>
      <c r="V99" s="31">
        <f t="shared" si="2"/>
        <v>9.5</v>
      </c>
    </row>
    <row r="100" spans="1:22" ht="15" x14ac:dyDescent="0.3">
      <c r="A100" s="28">
        <f t="shared" si="3"/>
        <v>95</v>
      </c>
      <c r="B100" s="29" t="s">
        <v>124</v>
      </c>
      <c r="C100" s="30" t="s">
        <v>31</v>
      </c>
      <c r="D100" s="30" t="s">
        <v>321</v>
      </c>
      <c r="E100" s="31">
        <f>'[1]Week  (3)'!U100</f>
        <v>3</v>
      </c>
      <c r="F100" s="55">
        <v>45985</v>
      </c>
      <c r="G100" s="38">
        <v>15</v>
      </c>
      <c r="H100" s="34"/>
      <c r="I100" s="53"/>
      <c r="J100" s="34"/>
      <c r="K100" s="53"/>
      <c r="L100" s="34"/>
      <c r="M100" s="53"/>
      <c r="N100" s="34"/>
      <c r="O100" s="25"/>
      <c r="P100" s="34"/>
      <c r="Q100" s="25"/>
      <c r="R100" s="64"/>
      <c r="S100" s="25"/>
      <c r="T100" s="27"/>
      <c r="U100" s="27"/>
      <c r="V100" s="31">
        <f t="shared" si="2"/>
        <v>18</v>
      </c>
    </row>
    <row r="101" spans="1:22" ht="15" x14ac:dyDescent="0.3">
      <c r="A101" s="28">
        <f t="shared" si="3"/>
        <v>96</v>
      </c>
      <c r="B101" s="29" t="s">
        <v>125</v>
      </c>
      <c r="C101" s="30" t="s">
        <v>31</v>
      </c>
      <c r="D101" s="30" t="s">
        <v>321</v>
      </c>
      <c r="E101" s="31">
        <f>'[1]Week  (3)'!U101</f>
        <v>6.5</v>
      </c>
      <c r="F101" s="55"/>
      <c r="G101" s="38"/>
      <c r="H101" s="64"/>
      <c r="I101" s="38"/>
      <c r="J101" s="40"/>
      <c r="K101" s="38"/>
      <c r="L101" s="27"/>
      <c r="M101" s="25"/>
      <c r="N101" s="25"/>
      <c r="O101" s="25"/>
      <c r="P101" s="24"/>
      <c r="Q101" s="27"/>
      <c r="R101" s="27"/>
      <c r="S101" s="25"/>
      <c r="T101" s="27"/>
      <c r="U101" s="27"/>
      <c r="V101" s="31">
        <f t="shared" si="2"/>
        <v>6.5</v>
      </c>
    </row>
    <row r="102" spans="1:22" ht="15" x14ac:dyDescent="0.3">
      <c r="A102" s="28">
        <f t="shared" si="3"/>
        <v>97</v>
      </c>
      <c r="B102" s="42" t="s">
        <v>126</v>
      </c>
      <c r="C102" s="61" t="s">
        <v>28</v>
      </c>
      <c r="D102" s="30" t="s">
        <v>321</v>
      </c>
      <c r="E102" s="31">
        <f>'[1]Week  (3)'!U102</f>
        <v>5</v>
      </c>
      <c r="F102" s="37"/>
      <c r="G102" s="38"/>
      <c r="H102" s="39"/>
      <c r="I102" s="38"/>
      <c r="J102" s="40"/>
      <c r="K102" s="38"/>
      <c r="L102" s="27"/>
      <c r="M102" s="25"/>
      <c r="N102" s="25"/>
      <c r="O102" s="25"/>
      <c r="P102" s="24"/>
      <c r="Q102" s="27"/>
      <c r="R102" s="27"/>
      <c r="S102" s="25"/>
      <c r="T102" s="27"/>
      <c r="U102" s="27"/>
      <c r="V102" s="31">
        <f t="shared" si="2"/>
        <v>5</v>
      </c>
    </row>
    <row r="103" spans="1:22" ht="15" x14ac:dyDescent="0.3">
      <c r="A103" s="28">
        <f t="shared" si="3"/>
        <v>98</v>
      </c>
      <c r="B103" s="42" t="s">
        <v>127</v>
      </c>
      <c r="C103" s="61" t="s">
        <v>28</v>
      </c>
      <c r="D103" s="30" t="s">
        <v>321</v>
      </c>
      <c r="E103" s="31">
        <f>'[1]Week  (3)'!U103</f>
        <v>9</v>
      </c>
      <c r="F103" s="32"/>
      <c r="G103" s="33"/>
      <c r="H103" s="34"/>
      <c r="I103" s="35"/>
      <c r="J103" s="24"/>
      <c r="K103" s="36"/>
      <c r="L103" s="27"/>
      <c r="M103" s="25"/>
      <c r="N103" s="25"/>
      <c r="O103" s="25"/>
      <c r="P103" s="24"/>
      <c r="Q103" s="27"/>
      <c r="R103" s="27"/>
      <c r="S103" s="25"/>
      <c r="T103" s="27"/>
      <c r="U103" s="27"/>
      <c r="V103" s="31">
        <f t="shared" si="2"/>
        <v>9</v>
      </c>
    </row>
    <row r="104" spans="1:22" ht="27" customHeight="1" x14ac:dyDescent="0.3">
      <c r="A104" s="28">
        <f t="shared" si="3"/>
        <v>99</v>
      </c>
      <c r="B104" s="58" t="s">
        <v>128</v>
      </c>
      <c r="C104" s="30" t="s">
        <v>31</v>
      </c>
      <c r="D104" s="30" t="s">
        <v>321</v>
      </c>
      <c r="E104" s="31">
        <f>'[1]Week  (3)'!U104</f>
        <v>14</v>
      </c>
      <c r="F104" s="37"/>
      <c r="G104" s="38"/>
      <c r="H104" s="39"/>
      <c r="I104" s="38"/>
      <c r="J104" s="40"/>
      <c r="K104" s="38"/>
      <c r="L104" s="27"/>
      <c r="M104" s="25"/>
      <c r="N104" s="25"/>
      <c r="O104" s="25"/>
      <c r="P104" s="24"/>
      <c r="Q104" s="27"/>
      <c r="R104" s="27"/>
      <c r="S104" s="25"/>
      <c r="T104" s="27"/>
      <c r="U104" s="27"/>
      <c r="V104" s="31">
        <f t="shared" si="2"/>
        <v>14</v>
      </c>
    </row>
    <row r="105" spans="1:22" s="63" customFormat="1" ht="30" x14ac:dyDescent="0.3">
      <c r="A105" s="28">
        <f t="shared" si="3"/>
        <v>100</v>
      </c>
      <c r="B105" s="58" t="s">
        <v>129</v>
      </c>
      <c r="C105" s="30" t="s">
        <v>31</v>
      </c>
      <c r="D105" s="30" t="s">
        <v>324</v>
      </c>
      <c r="E105" s="31">
        <f>'[1]Week  (3)'!U105</f>
        <v>1</v>
      </c>
      <c r="F105" s="32"/>
      <c r="G105" s="33"/>
      <c r="H105" s="34"/>
      <c r="I105" s="35"/>
      <c r="J105" s="24"/>
      <c r="K105" s="36"/>
      <c r="L105" s="27"/>
      <c r="M105" s="25"/>
      <c r="N105" s="25"/>
      <c r="O105" s="25"/>
      <c r="P105" s="24"/>
      <c r="Q105" s="27"/>
      <c r="R105" s="27"/>
      <c r="S105" s="25"/>
      <c r="T105" s="27"/>
      <c r="U105" s="27"/>
      <c r="V105" s="31">
        <f t="shared" si="2"/>
        <v>1</v>
      </c>
    </row>
    <row r="106" spans="1:22" ht="30" x14ac:dyDescent="0.3">
      <c r="A106" s="28">
        <f t="shared" si="3"/>
        <v>101</v>
      </c>
      <c r="B106" s="59" t="s">
        <v>130</v>
      </c>
      <c r="C106" s="30" t="s">
        <v>31</v>
      </c>
      <c r="D106" s="30" t="s">
        <v>324</v>
      </c>
      <c r="E106" s="31">
        <f>'[1]Week  (3)'!U106</f>
        <v>15</v>
      </c>
      <c r="F106" s="37"/>
      <c r="G106" s="38"/>
      <c r="H106" s="39"/>
      <c r="I106" s="38"/>
      <c r="J106" s="40"/>
      <c r="K106" s="38"/>
      <c r="L106" s="27"/>
      <c r="M106" s="25"/>
      <c r="N106" s="25"/>
      <c r="O106" s="25"/>
      <c r="P106" s="24"/>
      <c r="Q106" s="27"/>
      <c r="R106" s="27"/>
      <c r="S106" s="25"/>
      <c r="T106" s="27"/>
      <c r="U106" s="27"/>
      <c r="V106" s="31">
        <f t="shared" si="2"/>
        <v>15</v>
      </c>
    </row>
    <row r="107" spans="1:22" ht="30" x14ac:dyDescent="0.3">
      <c r="A107" s="28">
        <f t="shared" si="3"/>
        <v>102</v>
      </c>
      <c r="B107" s="58" t="s">
        <v>131</v>
      </c>
      <c r="C107" s="30" t="s">
        <v>31</v>
      </c>
      <c r="D107" s="30" t="s">
        <v>324</v>
      </c>
      <c r="E107" s="31">
        <f>'[1]Week  (3)'!U107</f>
        <v>7</v>
      </c>
      <c r="F107" s="32"/>
      <c r="G107" s="33"/>
      <c r="H107" s="34"/>
      <c r="I107" s="35"/>
      <c r="J107" s="24"/>
      <c r="K107" s="36"/>
      <c r="L107" s="27"/>
      <c r="M107" s="25"/>
      <c r="N107" s="25"/>
      <c r="O107" s="25"/>
      <c r="P107" s="24"/>
      <c r="Q107" s="27"/>
      <c r="R107" s="27"/>
      <c r="S107" s="25"/>
      <c r="T107" s="27"/>
      <c r="U107" s="27"/>
      <c r="V107" s="31">
        <f t="shared" si="2"/>
        <v>7</v>
      </c>
    </row>
    <row r="108" spans="1:22" ht="30" x14ac:dyDescent="0.3">
      <c r="A108" s="28">
        <f t="shared" si="3"/>
        <v>103</v>
      </c>
      <c r="B108" s="59" t="s">
        <v>132</v>
      </c>
      <c r="C108" s="30" t="s">
        <v>31</v>
      </c>
      <c r="D108" s="30" t="s">
        <v>324</v>
      </c>
      <c r="E108" s="31">
        <f>'[1]Week  (3)'!U108</f>
        <v>5</v>
      </c>
      <c r="F108" s="37"/>
      <c r="G108" s="38"/>
      <c r="H108" s="39"/>
      <c r="I108" s="38"/>
      <c r="J108" s="40"/>
      <c r="K108" s="38"/>
      <c r="L108" s="27"/>
      <c r="M108" s="25"/>
      <c r="N108" s="25"/>
      <c r="O108" s="25"/>
      <c r="P108" s="24"/>
      <c r="Q108" s="27"/>
      <c r="R108" s="27"/>
      <c r="S108" s="25"/>
      <c r="T108" s="27"/>
      <c r="U108" s="27"/>
      <c r="V108" s="31">
        <f t="shared" si="2"/>
        <v>5</v>
      </c>
    </row>
    <row r="109" spans="1:22" ht="30" x14ac:dyDescent="0.3">
      <c r="A109" s="28">
        <f t="shared" si="3"/>
        <v>104</v>
      </c>
      <c r="B109" s="59" t="s">
        <v>133</v>
      </c>
      <c r="C109" s="30" t="s">
        <v>31</v>
      </c>
      <c r="D109" s="30" t="s">
        <v>324</v>
      </c>
      <c r="E109" s="31">
        <f>'[1]Week  (3)'!U109</f>
        <v>6</v>
      </c>
      <c r="F109" s="32"/>
      <c r="G109" s="33"/>
      <c r="H109" s="34"/>
      <c r="I109" s="35"/>
      <c r="J109" s="24"/>
      <c r="K109" s="36"/>
      <c r="L109" s="27"/>
      <c r="M109" s="25"/>
      <c r="N109" s="25"/>
      <c r="O109" s="25"/>
      <c r="P109" s="24"/>
      <c r="Q109" s="27"/>
      <c r="R109" s="27"/>
      <c r="S109" s="25"/>
      <c r="T109" s="27"/>
      <c r="U109" s="27"/>
      <c r="V109" s="31">
        <f t="shared" si="2"/>
        <v>6</v>
      </c>
    </row>
    <row r="110" spans="1:22" ht="27" customHeight="1" x14ac:dyDescent="0.3">
      <c r="A110" s="28">
        <f t="shared" si="3"/>
        <v>105</v>
      </c>
      <c r="B110" s="29" t="s">
        <v>134</v>
      </c>
      <c r="C110" s="30" t="s">
        <v>31</v>
      </c>
      <c r="D110" s="30" t="s">
        <v>322</v>
      </c>
      <c r="E110" s="31">
        <f>'[1]Week  (3)'!U110</f>
        <v>14</v>
      </c>
      <c r="F110" s="37"/>
      <c r="G110" s="38"/>
      <c r="H110" s="39"/>
      <c r="I110" s="38"/>
      <c r="J110" s="40"/>
      <c r="K110" s="38"/>
      <c r="L110" s="27"/>
      <c r="M110" s="25"/>
      <c r="N110" s="25"/>
      <c r="O110" s="25"/>
      <c r="P110" s="24"/>
      <c r="Q110" s="27"/>
      <c r="R110" s="25"/>
      <c r="S110" s="25"/>
      <c r="T110" s="27"/>
      <c r="U110" s="27"/>
      <c r="V110" s="31">
        <f t="shared" si="2"/>
        <v>14</v>
      </c>
    </row>
    <row r="111" spans="1:22" ht="25.5" customHeight="1" x14ac:dyDescent="0.3">
      <c r="A111" s="28">
        <f t="shared" si="3"/>
        <v>106</v>
      </c>
      <c r="B111" s="2" t="s">
        <v>135</v>
      </c>
      <c r="C111" s="30" t="s">
        <v>31</v>
      </c>
      <c r="D111" s="30" t="s">
        <v>322</v>
      </c>
      <c r="E111" s="31">
        <f>'[1]Week  (3)'!U111</f>
        <v>5</v>
      </c>
      <c r="F111" s="32"/>
      <c r="G111" s="33"/>
      <c r="H111" s="46"/>
      <c r="I111" s="35"/>
      <c r="J111" s="24"/>
      <c r="K111" s="36"/>
      <c r="L111" s="27"/>
      <c r="M111" s="25"/>
      <c r="N111" s="25"/>
      <c r="O111" s="25"/>
      <c r="P111" s="24"/>
      <c r="Q111" s="27"/>
      <c r="R111" s="27"/>
      <c r="S111" s="25"/>
      <c r="T111" s="27"/>
      <c r="U111" s="27"/>
      <c r="V111" s="31">
        <f t="shared" si="2"/>
        <v>5</v>
      </c>
    </row>
    <row r="112" spans="1:22" ht="25.5" customHeight="1" x14ac:dyDescent="0.3">
      <c r="A112" s="28">
        <f t="shared" si="3"/>
        <v>107</v>
      </c>
      <c r="B112" s="29" t="s">
        <v>136</v>
      </c>
      <c r="C112" s="30" t="s">
        <v>31</v>
      </c>
      <c r="D112" s="30" t="s">
        <v>320</v>
      </c>
      <c r="E112" s="31">
        <f>'[1]Week  (3)'!U112</f>
        <v>0</v>
      </c>
      <c r="F112" s="37"/>
      <c r="G112" s="38"/>
      <c r="H112" s="39"/>
      <c r="I112" s="38"/>
      <c r="J112" s="40"/>
      <c r="K112" s="38"/>
      <c r="L112" s="27"/>
      <c r="M112" s="25"/>
      <c r="N112" s="25"/>
      <c r="O112" s="25"/>
      <c r="P112" s="24"/>
      <c r="Q112" s="27"/>
      <c r="R112" s="27"/>
      <c r="S112" s="25"/>
      <c r="T112" s="27"/>
      <c r="U112" s="27"/>
      <c r="V112" s="31">
        <f t="shared" si="2"/>
        <v>0</v>
      </c>
    </row>
    <row r="113" spans="1:22" ht="42" customHeight="1" x14ac:dyDescent="0.3">
      <c r="A113" s="28">
        <f t="shared" si="3"/>
        <v>108</v>
      </c>
      <c r="B113" s="29" t="s">
        <v>137</v>
      </c>
      <c r="C113" s="30" t="s">
        <v>31</v>
      </c>
      <c r="D113" s="30" t="s">
        <v>320</v>
      </c>
      <c r="E113" s="31">
        <f>'[1]Week  (3)'!U113</f>
        <v>4</v>
      </c>
      <c r="F113" s="32"/>
      <c r="G113" s="33"/>
      <c r="H113" s="34"/>
      <c r="I113" s="35"/>
      <c r="J113" s="24"/>
      <c r="K113" s="36"/>
      <c r="L113" s="27"/>
      <c r="M113" s="25"/>
      <c r="N113" s="25"/>
      <c r="O113" s="25"/>
      <c r="P113" s="24"/>
      <c r="Q113" s="27"/>
      <c r="R113" s="27"/>
      <c r="S113" s="25"/>
      <c r="T113" s="27"/>
      <c r="U113" s="27"/>
      <c r="V113" s="31">
        <f t="shared" si="2"/>
        <v>4</v>
      </c>
    </row>
    <row r="114" spans="1:22" ht="30" customHeight="1" x14ac:dyDescent="0.3">
      <c r="A114" s="28">
        <f t="shared" si="3"/>
        <v>109</v>
      </c>
      <c r="B114" s="29" t="s">
        <v>138</v>
      </c>
      <c r="C114" s="30" t="s">
        <v>31</v>
      </c>
      <c r="D114" s="30" t="s">
        <v>320</v>
      </c>
      <c r="E114" s="31">
        <f>'[1]Week  (3)'!U114</f>
        <v>1</v>
      </c>
      <c r="F114" s="37"/>
      <c r="G114" s="38"/>
      <c r="H114" s="39"/>
      <c r="I114" s="38"/>
      <c r="J114" s="40"/>
      <c r="K114" s="38"/>
      <c r="L114" s="27"/>
      <c r="M114" s="25"/>
      <c r="N114" s="25"/>
      <c r="O114" s="25"/>
      <c r="P114" s="24"/>
      <c r="Q114" s="27"/>
      <c r="R114" s="27"/>
      <c r="S114" s="25"/>
      <c r="T114" s="27"/>
      <c r="U114" s="27"/>
      <c r="V114" s="31">
        <f t="shared" si="2"/>
        <v>1</v>
      </c>
    </row>
    <row r="115" spans="1:22" ht="27" customHeight="1" x14ac:dyDescent="0.3">
      <c r="A115" s="28">
        <f t="shared" si="3"/>
        <v>110</v>
      </c>
      <c r="B115" s="29" t="s">
        <v>139</v>
      </c>
      <c r="C115" s="30" t="s">
        <v>31</v>
      </c>
      <c r="D115" s="30" t="s">
        <v>320</v>
      </c>
      <c r="E115" s="31">
        <f>'[1]Week  (3)'!U115</f>
        <v>2</v>
      </c>
      <c r="F115" s="32"/>
      <c r="G115" s="33"/>
      <c r="H115" s="34"/>
      <c r="I115" s="35"/>
      <c r="J115" s="24"/>
      <c r="K115" s="36"/>
      <c r="L115" s="27"/>
      <c r="M115" s="25"/>
      <c r="N115" s="25"/>
      <c r="O115" s="25"/>
      <c r="P115" s="24"/>
      <c r="Q115" s="27"/>
      <c r="R115" s="27"/>
      <c r="S115" s="25"/>
      <c r="T115" s="27"/>
      <c r="U115" s="27"/>
      <c r="V115" s="31">
        <f t="shared" si="2"/>
        <v>2</v>
      </c>
    </row>
    <row r="116" spans="1:22" ht="20.25" customHeight="1" x14ac:dyDescent="0.3">
      <c r="A116" s="28">
        <f t="shared" si="3"/>
        <v>111</v>
      </c>
      <c r="B116" s="29" t="s">
        <v>140</v>
      </c>
      <c r="C116" s="30" t="s">
        <v>31</v>
      </c>
      <c r="D116" s="30" t="s">
        <v>324</v>
      </c>
      <c r="E116" s="31">
        <f>'[1]Week  (3)'!U116</f>
        <v>11</v>
      </c>
      <c r="F116" s="37"/>
      <c r="G116" s="38"/>
      <c r="H116" s="39"/>
      <c r="I116" s="38"/>
      <c r="J116" s="40"/>
      <c r="K116" s="38"/>
      <c r="L116" s="27"/>
      <c r="M116" s="25"/>
      <c r="N116" s="25"/>
      <c r="O116" s="25"/>
      <c r="P116" s="24" t="s">
        <v>141</v>
      </c>
      <c r="Q116" s="27">
        <v>1</v>
      </c>
      <c r="R116" s="27"/>
      <c r="S116" s="25"/>
      <c r="T116" s="27"/>
      <c r="U116" s="27"/>
      <c r="V116" s="31">
        <f t="shared" si="2"/>
        <v>10</v>
      </c>
    </row>
    <row r="117" spans="1:22" ht="27" customHeight="1" x14ac:dyDescent="0.3">
      <c r="A117" s="28">
        <f t="shared" si="3"/>
        <v>112</v>
      </c>
      <c r="B117" s="29" t="s">
        <v>142</v>
      </c>
      <c r="C117" s="30" t="s">
        <v>31</v>
      </c>
      <c r="D117" s="30" t="s">
        <v>324</v>
      </c>
      <c r="E117" s="31">
        <f>'[1]Week  (3)'!U117</f>
        <v>4</v>
      </c>
      <c r="F117" s="32"/>
      <c r="G117" s="33"/>
      <c r="H117" s="34"/>
      <c r="I117" s="35"/>
      <c r="J117" s="24"/>
      <c r="K117" s="36"/>
      <c r="L117" s="27"/>
      <c r="M117" s="25"/>
      <c r="N117" s="25"/>
      <c r="O117" s="25"/>
      <c r="P117" s="24"/>
      <c r="Q117" s="27"/>
      <c r="R117" s="27"/>
      <c r="S117" s="25"/>
      <c r="T117" s="27"/>
      <c r="U117" s="27"/>
      <c r="V117" s="31">
        <f t="shared" si="2"/>
        <v>4</v>
      </c>
    </row>
    <row r="118" spans="1:22" ht="28.5" customHeight="1" x14ac:dyDescent="0.3">
      <c r="A118" s="28">
        <f t="shared" si="3"/>
        <v>113</v>
      </c>
      <c r="B118" s="29" t="s">
        <v>143</v>
      </c>
      <c r="C118" s="30" t="s">
        <v>31</v>
      </c>
      <c r="D118" s="30" t="s">
        <v>324</v>
      </c>
      <c r="E118" s="31">
        <f>'[1]Week  (3)'!U118</f>
        <v>6</v>
      </c>
      <c r="F118" s="37"/>
      <c r="G118" s="38"/>
      <c r="H118" s="39"/>
      <c r="I118" s="38"/>
      <c r="J118" s="40"/>
      <c r="K118" s="38"/>
      <c r="L118" s="27"/>
      <c r="M118" s="25"/>
      <c r="N118" s="25"/>
      <c r="O118" s="25"/>
      <c r="P118" s="24"/>
      <c r="Q118" s="27"/>
      <c r="R118" s="27"/>
      <c r="S118" s="25"/>
      <c r="T118" s="27"/>
      <c r="U118" s="27"/>
      <c r="V118" s="31">
        <f t="shared" si="2"/>
        <v>6</v>
      </c>
    </row>
    <row r="119" spans="1:22" ht="27" customHeight="1" x14ac:dyDescent="0.3">
      <c r="A119" s="28">
        <f t="shared" si="3"/>
        <v>114</v>
      </c>
      <c r="B119" s="29" t="s">
        <v>144</v>
      </c>
      <c r="C119" s="30" t="s">
        <v>145</v>
      </c>
      <c r="D119" s="30" t="s">
        <v>324</v>
      </c>
      <c r="E119" s="31">
        <f>'[1]Week  (3)'!U119</f>
        <v>5</v>
      </c>
      <c r="F119" s="32"/>
      <c r="G119" s="33"/>
      <c r="H119" s="34"/>
      <c r="I119" s="35"/>
      <c r="J119" s="24"/>
      <c r="K119" s="36"/>
      <c r="L119" s="27"/>
      <c r="M119" s="25"/>
      <c r="N119" s="25"/>
      <c r="O119" s="25"/>
      <c r="P119" s="24"/>
      <c r="Q119" s="27"/>
      <c r="R119" s="27"/>
      <c r="S119" s="25"/>
      <c r="T119" s="27"/>
      <c r="U119" s="27"/>
      <c r="V119" s="31">
        <f t="shared" si="2"/>
        <v>5</v>
      </c>
    </row>
    <row r="120" spans="1:22" ht="27" customHeight="1" x14ac:dyDescent="0.3">
      <c r="A120" s="28">
        <f t="shared" si="3"/>
        <v>115</v>
      </c>
      <c r="B120" s="29" t="s">
        <v>146</v>
      </c>
      <c r="C120" s="30" t="s">
        <v>31</v>
      </c>
      <c r="D120" s="30" t="s">
        <v>324</v>
      </c>
      <c r="E120" s="31">
        <f>'[1]Week  (3)'!U120</f>
        <v>0</v>
      </c>
      <c r="F120" s="37"/>
      <c r="G120" s="38"/>
      <c r="H120" s="39"/>
      <c r="I120" s="38"/>
      <c r="J120" s="40"/>
      <c r="K120" s="38"/>
      <c r="L120" s="27"/>
      <c r="M120" s="25"/>
      <c r="N120" s="25"/>
      <c r="O120" s="25"/>
      <c r="P120" s="24"/>
      <c r="Q120" s="27"/>
      <c r="R120" s="27"/>
      <c r="S120" s="25"/>
      <c r="T120" s="27"/>
      <c r="U120" s="27"/>
      <c r="V120" s="31">
        <f t="shared" si="2"/>
        <v>0</v>
      </c>
    </row>
    <row r="121" spans="1:22" ht="32.25" customHeight="1" x14ac:dyDescent="0.3">
      <c r="A121" s="28">
        <f t="shared" si="3"/>
        <v>116</v>
      </c>
      <c r="B121" s="29" t="s">
        <v>147</v>
      </c>
      <c r="C121" s="30" t="s">
        <v>31</v>
      </c>
      <c r="D121" s="30" t="s">
        <v>325</v>
      </c>
      <c r="E121" s="31">
        <f>'[1]Week  (3)'!U121</f>
        <v>2</v>
      </c>
      <c r="F121" s="32">
        <v>45985</v>
      </c>
      <c r="G121" s="33">
        <v>5</v>
      </c>
      <c r="H121" s="34"/>
      <c r="I121" s="35"/>
      <c r="J121" s="24"/>
      <c r="K121" s="36"/>
      <c r="L121" s="27"/>
      <c r="M121" s="25"/>
      <c r="N121" s="25"/>
      <c r="O121" s="25"/>
      <c r="P121" s="24"/>
      <c r="Q121" s="27"/>
      <c r="R121" s="27"/>
      <c r="S121" s="25"/>
      <c r="T121" s="27"/>
      <c r="U121" s="27"/>
      <c r="V121" s="31">
        <f t="shared" si="2"/>
        <v>7</v>
      </c>
    </row>
    <row r="122" spans="1:22" ht="27.75" customHeight="1" x14ac:dyDescent="0.3">
      <c r="A122" s="28">
        <f t="shared" si="3"/>
        <v>117</v>
      </c>
      <c r="B122" s="29" t="s">
        <v>148</v>
      </c>
      <c r="C122" s="30" t="s">
        <v>31</v>
      </c>
      <c r="D122" s="30" t="s">
        <v>325</v>
      </c>
      <c r="E122" s="31">
        <f>'[1]Week  (3)'!U122</f>
        <v>2</v>
      </c>
      <c r="F122" s="37"/>
      <c r="G122" s="38"/>
      <c r="H122" s="39"/>
      <c r="I122" s="38"/>
      <c r="J122" s="40"/>
      <c r="K122" s="38"/>
      <c r="L122" s="27"/>
      <c r="M122" s="25"/>
      <c r="N122" s="25"/>
      <c r="O122" s="25"/>
      <c r="P122" s="24"/>
      <c r="Q122" s="27"/>
      <c r="R122" s="27" t="s">
        <v>80</v>
      </c>
      <c r="S122" s="25">
        <v>1</v>
      </c>
      <c r="T122" s="27"/>
      <c r="U122" s="27"/>
      <c r="V122" s="31">
        <f t="shared" si="2"/>
        <v>1</v>
      </c>
    </row>
    <row r="123" spans="1:22" ht="24" customHeight="1" x14ac:dyDescent="0.3">
      <c r="A123" s="28">
        <f t="shared" si="3"/>
        <v>118</v>
      </c>
      <c r="B123" s="29" t="s">
        <v>149</v>
      </c>
      <c r="C123" s="30" t="s">
        <v>31</v>
      </c>
      <c r="D123" s="30" t="s">
        <v>325</v>
      </c>
      <c r="E123" s="31">
        <f>'[1]Week  (3)'!U123</f>
        <v>7</v>
      </c>
      <c r="F123" s="32"/>
      <c r="G123" s="33"/>
      <c r="H123" s="34"/>
      <c r="I123" s="35"/>
      <c r="J123" s="24"/>
      <c r="K123" s="36"/>
      <c r="L123" s="27"/>
      <c r="M123" s="25"/>
      <c r="N123" s="25"/>
      <c r="O123" s="25"/>
      <c r="P123" s="24"/>
      <c r="Q123" s="27"/>
      <c r="R123" s="27"/>
      <c r="S123" s="25"/>
      <c r="T123" s="27"/>
      <c r="U123" s="27"/>
      <c r="V123" s="31">
        <f t="shared" si="2"/>
        <v>7</v>
      </c>
    </row>
    <row r="124" spans="1:22" ht="24" customHeight="1" x14ac:dyDescent="0.3">
      <c r="A124" s="28">
        <f t="shared" si="3"/>
        <v>119</v>
      </c>
      <c r="B124" s="29" t="s">
        <v>150</v>
      </c>
      <c r="C124" s="30" t="s">
        <v>151</v>
      </c>
      <c r="D124" s="30" t="s">
        <v>319</v>
      </c>
      <c r="E124" s="31">
        <f>'[1]Week  (3)'!U124</f>
        <v>0</v>
      </c>
      <c r="F124" s="37"/>
      <c r="G124" s="38"/>
      <c r="H124" s="39"/>
      <c r="I124" s="38"/>
      <c r="J124" s="40"/>
      <c r="K124" s="38"/>
      <c r="L124" s="27"/>
      <c r="M124" s="25"/>
      <c r="N124" s="25"/>
      <c r="O124" s="25"/>
      <c r="P124" s="24"/>
      <c r="Q124" s="27"/>
      <c r="R124" s="27"/>
      <c r="S124" s="25"/>
      <c r="T124" s="27"/>
      <c r="U124" s="27"/>
      <c r="V124" s="31">
        <f t="shared" si="2"/>
        <v>0</v>
      </c>
    </row>
    <row r="125" spans="1:22" ht="24" customHeight="1" x14ac:dyDescent="0.3">
      <c r="A125" s="28">
        <f t="shared" si="3"/>
        <v>120</v>
      </c>
      <c r="B125" s="29" t="s">
        <v>152</v>
      </c>
      <c r="C125" s="30" t="s">
        <v>151</v>
      </c>
      <c r="D125" s="30" t="s">
        <v>319</v>
      </c>
      <c r="E125" s="31">
        <f>'[1]Week  (3)'!U125</f>
        <v>0</v>
      </c>
      <c r="F125" s="32"/>
      <c r="G125" s="33"/>
      <c r="H125" s="34"/>
      <c r="I125" s="35"/>
      <c r="J125" s="24"/>
      <c r="K125" s="36"/>
      <c r="L125" s="27"/>
      <c r="M125" s="25"/>
      <c r="N125" s="25"/>
      <c r="O125" s="25"/>
      <c r="P125" s="24"/>
      <c r="Q125" s="27"/>
      <c r="R125" s="27"/>
      <c r="S125" s="25"/>
      <c r="T125" s="27"/>
      <c r="U125" s="27"/>
      <c r="V125" s="31">
        <f t="shared" si="2"/>
        <v>0</v>
      </c>
    </row>
    <row r="126" spans="1:22" ht="27" customHeight="1" x14ac:dyDescent="0.2">
      <c r="A126" s="28">
        <f t="shared" si="3"/>
        <v>121</v>
      </c>
      <c r="B126" s="42" t="s">
        <v>153</v>
      </c>
      <c r="C126" s="43" t="s">
        <v>28</v>
      </c>
      <c r="D126" s="43" t="s">
        <v>324</v>
      </c>
      <c r="E126" s="31">
        <f>'[1]Week  (3)'!U126</f>
        <v>5</v>
      </c>
      <c r="F126" s="37"/>
      <c r="G126" s="38"/>
      <c r="H126" s="39"/>
      <c r="I126" s="38"/>
      <c r="J126" s="40"/>
      <c r="K126" s="38"/>
      <c r="L126" s="27"/>
      <c r="M126" s="25"/>
      <c r="N126" s="25"/>
      <c r="O126" s="25"/>
      <c r="P126" s="24"/>
      <c r="Q126" s="27"/>
      <c r="R126" s="27"/>
      <c r="S126" s="25"/>
      <c r="T126" s="27"/>
      <c r="U126" s="27"/>
      <c r="V126" s="31">
        <f t="shared" si="2"/>
        <v>5</v>
      </c>
    </row>
    <row r="127" spans="1:22" ht="27" customHeight="1" x14ac:dyDescent="0.2">
      <c r="A127" s="28">
        <f t="shared" si="3"/>
        <v>122</v>
      </c>
      <c r="B127" s="42" t="s">
        <v>154</v>
      </c>
      <c r="C127" s="43" t="s">
        <v>28</v>
      </c>
      <c r="D127" s="43" t="s">
        <v>324</v>
      </c>
      <c r="E127" s="31">
        <f>'[1]Week  (3)'!U127</f>
        <v>2</v>
      </c>
      <c r="F127" s="32"/>
      <c r="G127" s="33"/>
      <c r="H127" s="34"/>
      <c r="I127" s="35"/>
      <c r="J127" s="24"/>
      <c r="K127" s="36"/>
      <c r="L127" s="27"/>
      <c r="M127" s="25"/>
      <c r="N127" s="25"/>
      <c r="O127" s="25"/>
      <c r="P127" s="24"/>
      <c r="Q127" s="27"/>
      <c r="R127" s="24"/>
      <c r="S127" s="25"/>
      <c r="T127" s="27"/>
      <c r="U127" s="27"/>
      <c r="V127" s="31">
        <f t="shared" si="2"/>
        <v>2</v>
      </c>
    </row>
    <row r="128" spans="1:22" x14ac:dyDescent="0.2">
      <c r="A128" s="28">
        <f t="shared" si="3"/>
        <v>123</v>
      </c>
      <c r="B128" s="42" t="s">
        <v>155</v>
      </c>
      <c r="C128" s="61" t="s">
        <v>28</v>
      </c>
      <c r="D128" s="61" t="s">
        <v>321</v>
      </c>
      <c r="E128" s="31">
        <f>'[1]Week  (3)'!U128</f>
        <v>40</v>
      </c>
      <c r="F128" s="37"/>
      <c r="G128" s="38"/>
      <c r="H128" s="39"/>
      <c r="I128" s="38"/>
      <c r="J128" s="40"/>
      <c r="K128" s="38"/>
      <c r="L128" s="24"/>
      <c r="M128" s="25"/>
      <c r="N128" s="25"/>
      <c r="O128" s="25"/>
      <c r="P128" s="24"/>
      <c r="Q128" s="27"/>
      <c r="R128" s="27"/>
      <c r="S128" s="25"/>
      <c r="T128" s="27"/>
      <c r="U128" s="27"/>
      <c r="V128" s="31">
        <f t="shared" si="2"/>
        <v>40</v>
      </c>
    </row>
    <row r="129" spans="1:22" ht="27" customHeight="1" x14ac:dyDescent="0.3">
      <c r="A129" s="28">
        <f t="shared" si="3"/>
        <v>124</v>
      </c>
      <c r="B129" s="29" t="s">
        <v>156</v>
      </c>
      <c r="C129" s="30" t="s">
        <v>31</v>
      </c>
      <c r="D129" s="30" t="s">
        <v>325</v>
      </c>
      <c r="E129" s="31">
        <f>'[1]Week  (3)'!U129</f>
        <v>2</v>
      </c>
      <c r="F129" s="32">
        <v>45987</v>
      </c>
      <c r="G129" s="33">
        <v>5</v>
      </c>
      <c r="H129" s="46"/>
      <c r="I129" s="35"/>
      <c r="J129" s="24"/>
      <c r="K129" s="36"/>
      <c r="L129" s="24"/>
      <c r="M129" s="25"/>
      <c r="N129" s="25"/>
      <c r="O129" s="25"/>
      <c r="P129" s="24"/>
      <c r="Q129" s="27"/>
      <c r="R129" s="27" t="s">
        <v>80</v>
      </c>
      <c r="S129" s="25">
        <v>1</v>
      </c>
      <c r="T129" s="27"/>
      <c r="U129" s="27"/>
      <c r="V129" s="31">
        <f t="shared" si="2"/>
        <v>6</v>
      </c>
    </row>
    <row r="130" spans="1:22" ht="27" customHeight="1" x14ac:dyDescent="0.3">
      <c r="A130" s="28">
        <f t="shared" si="3"/>
        <v>125</v>
      </c>
      <c r="B130" s="29" t="s">
        <v>157</v>
      </c>
      <c r="C130" s="30" t="s">
        <v>158</v>
      </c>
      <c r="D130" s="30" t="s">
        <v>321</v>
      </c>
      <c r="E130" s="31">
        <f>'[1]Week  (3)'!U130</f>
        <v>0</v>
      </c>
      <c r="F130" s="32">
        <v>45985</v>
      </c>
      <c r="G130" s="38">
        <v>5</v>
      </c>
      <c r="H130" s="39"/>
      <c r="I130" s="38"/>
      <c r="J130" s="40"/>
      <c r="K130" s="38"/>
      <c r="L130" s="27"/>
      <c r="M130" s="25"/>
      <c r="N130" s="25"/>
      <c r="O130" s="25"/>
      <c r="P130" s="24"/>
      <c r="Q130" s="27"/>
      <c r="R130" s="27"/>
      <c r="S130" s="25"/>
      <c r="T130" s="27"/>
      <c r="U130" s="27"/>
      <c r="V130" s="31">
        <f t="shared" si="2"/>
        <v>5</v>
      </c>
    </row>
    <row r="131" spans="1:22" ht="27" customHeight="1" x14ac:dyDescent="0.3">
      <c r="A131" s="28">
        <f t="shared" si="3"/>
        <v>126</v>
      </c>
      <c r="B131" s="29" t="s">
        <v>159</v>
      </c>
      <c r="C131" s="30" t="s">
        <v>31</v>
      </c>
      <c r="D131" s="30" t="s">
        <v>325</v>
      </c>
      <c r="E131" s="31">
        <f>'[1]Week  (3)'!U131</f>
        <v>2</v>
      </c>
      <c r="F131" s="32"/>
      <c r="G131" s="33"/>
      <c r="H131" s="34"/>
      <c r="I131" s="35"/>
      <c r="J131" s="24"/>
      <c r="K131" s="36"/>
      <c r="L131" s="27"/>
      <c r="M131" s="25"/>
      <c r="N131" s="25"/>
      <c r="O131" s="25"/>
      <c r="P131" s="24"/>
      <c r="Q131" s="27"/>
      <c r="R131" s="27"/>
      <c r="S131" s="25"/>
      <c r="T131" s="27"/>
      <c r="U131" s="27"/>
      <c r="V131" s="31">
        <f t="shared" si="2"/>
        <v>2</v>
      </c>
    </row>
    <row r="132" spans="1:22" ht="13.5" customHeight="1" x14ac:dyDescent="0.3">
      <c r="A132" s="28">
        <f t="shared" si="3"/>
        <v>127</v>
      </c>
      <c r="B132" s="29" t="s">
        <v>160</v>
      </c>
      <c r="C132" s="30" t="s">
        <v>31</v>
      </c>
      <c r="D132" s="30" t="s">
        <v>318</v>
      </c>
      <c r="E132" s="31">
        <f>'[1]Week  (3)'!U132</f>
        <v>2</v>
      </c>
      <c r="F132" s="37"/>
      <c r="G132" s="38"/>
      <c r="H132" s="39"/>
      <c r="I132" s="38"/>
      <c r="J132" s="40"/>
      <c r="K132" s="38"/>
      <c r="L132" s="27"/>
      <c r="M132" s="25"/>
      <c r="N132" s="25"/>
      <c r="O132" s="25"/>
      <c r="P132" s="24"/>
      <c r="Q132" s="27"/>
      <c r="R132" s="27"/>
      <c r="S132" s="25"/>
      <c r="T132" s="27"/>
      <c r="U132" s="27"/>
      <c r="V132" s="31">
        <f t="shared" si="2"/>
        <v>2</v>
      </c>
    </row>
    <row r="133" spans="1:22" ht="15" x14ac:dyDescent="0.3">
      <c r="A133" s="28">
        <f t="shared" si="3"/>
        <v>128</v>
      </c>
      <c r="B133" s="29" t="s">
        <v>161</v>
      </c>
      <c r="C133" s="30" t="s">
        <v>31</v>
      </c>
      <c r="D133" s="30" t="s">
        <v>321</v>
      </c>
      <c r="E133" s="31">
        <f>'[1]Week  (3)'!U133</f>
        <v>13</v>
      </c>
      <c r="F133" s="32"/>
      <c r="G133" s="33"/>
      <c r="H133" s="34"/>
      <c r="I133" s="35"/>
      <c r="J133" s="24"/>
      <c r="K133" s="36"/>
      <c r="L133" s="27"/>
      <c r="M133" s="25"/>
      <c r="N133" s="25"/>
      <c r="O133" s="25"/>
      <c r="P133" s="24"/>
      <c r="Q133" s="27"/>
      <c r="R133" s="27"/>
      <c r="S133" s="25"/>
      <c r="T133" s="27"/>
      <c r="U133" s="27"/>
      <c r="V133" s="31">
        <f t="shared" si="2"/>
        <v>13</v>
      </c>
    </row>
    <row r="134" spans="1:22" ht="24" customHeight="1" x14ac:dyDescent="0.2">
      <c r="A134" s="28">
        <f t="shared" si="3"/>
        <v>129</v>
      </c>
      <c r="B134" s="42" t="s">
        <v>162</v>
      </c>
      <c r="C134" s="43" t="s">
        <v>163</v>
      </c>
      <c r="D134" s="43" t="s">
        <v>323</v>
      </c>
      <c r="E134" s="31">
        <f>'[1]Week  (3)'!U134</f>
        <v>18</v>
      </c>
      <c r="F134" s="37"/>
      <c r="G134" s="38"/>
      <c r="H134" s="39"/>
      <c r="I134" s="38"/>
      <c r="J134" s="40"/>
      <c r="K134" s="38"/>
      <c r="L134" s="27"/>
      <c r="M134" s="25"/>
      <c r="N134" s="25"/>
      <c r="O134" s="25"/>
      <c r="P134" s="24"/>
      <c r="Q134" s="27"/>
      <c r="R134" s="27"/>
      <c r="S134" s="25"/>
      <c r="T134" s="27"/>
      <c r="U134" s="27"/>
      <c r="V134" s="31">
        <f t="shared" si="2"/>
        <v>18</v>
      </c>
    </row>
    <row r="135" spans="1:22" ht="24" customHeight="1" x14ac:dyDescent="0.2">
      <c r="A135" s="28">
        <f t="shared" si="3"/>
        <v>130</v>
      </c>
      <c r="B135" s="42" t="s">
        <v>164</v>
      </c>
      <c r="C135" s="43" t="s">
        <v>163</v>
      </c>
      <c r="D135" s="43" t="s">
        <v>323</v>
      </c>
      <c r="E135" s="31">
        <f>'[1]Week  (3)'!U135</f>
        <v>0</v>
      </c>
      <c r="F135" s="32"/>
      <c r="G135" s="33"/>
      <c r="H135" s="34"/>
      <c r="I135" s="35"/>
      <c r="J135" s="24"/>
      <c r="K135" s="36"/>
      <c r="L135" s="27"/>
      <c r="M135" s="25"/>
      <c r="N135" s="25"/>
      <c r="O135" s="25"/>
      <c r="P135" s="24"/>
      <c r="Q135" s="27"/>
      <c r="R135" s="27"/>
      <c r="S135" s="25"/>
      <c r="T135" s="27"/>
      <c r="U135" s="27"/>
      <c r="V135" s="31">
        <f t="shared" ref="V135:V201" si="4">E135+G135+-(I135+K135+M135+O135+Q135+S135+U135)</f>
        <v>0</v>
      </c>
    </row>
    <row r="136" spans="1:22" ht="24" customHeight="1" x14ac:dyDescent="0.2">
      <c r="A136" s="28">
        <f t="shared" ref="A136:A199" si="5">A135+1</f>
        <v>131</v>
      </c>
      <c r="B136" s="42" t="s">
        <v>165</v>
      </c>
      <c r="C136" s="43" t="s">
        <v>163</v>
      </c>
      <c r="D136" s="43" t="s">
        <v>323</v>
      </c>
      <c r="E136" s="31">
        <f>'[1]Week  (3)'!U136</f>
        <v>34</v>
      </c>
      <c r="F136" s="37"/>
      <c r="G136" s="38"/>
      <c r="H136" s="39"/>
      <c r="I136" s="38"/>
      <c r="J136" s="40"/>
      <c r="K136" s="38"/>
      <c r="L136" s="27"/>
      <c r="M136" s="25"/>
      <c r="N136" s="25"/>
      <c r="O136" s="25"/>
      <c r="P136" s="24"/>
      <c r="Q136" s="27"/>
      <c r="R136" s="27"/>
      <c r="S136" s="25"/>
      <c r="T136" s="27"/>
      <c r="U136" s="27"/>
      <c r="V136" s="31">
        <f t="shared" si="4"/>
        <v>34</v>
      </c>
    </row>
    <row r="137" spans="1:22" ht="24" customHeight="1" x14ac:dyDescent="0.2">
      <c r="A137" s="28">
        <f t="shared" si="5"/>
        <v>132</v>
      </c>
      <c r="B137" s="42" t="s">
        <v>166</v>
      </c>
      <c r="C137" s="43" t="s">
        <v>163</v>
      </c>
      <c r="D137" s="43" t="s">
        <v>323</v>
      </c>
      <c r="E137" s="31">
        <f>'[1]Week  (3)'!U137</f>
        <v>100</v>
      </c>
      <c r="F137" s="32"/>
      <c r="G137" s="33"/>
      <c r="H137" s="34"/>
      <c r="I137" s="35"/>
      <c r="J137" s="34"/>
      <c r="K137" s="35"/>
      <c r="L137" s="34"/>
      <c r="M137" s="25"/>
      <c r="N137" s="25"/>
      <c r="O137" s="25"/>
      <c r="P137" s="24"/>
      <c r="Q137" s="27"/>
      <c r="R137" s="27"/>
      <c r="S137" s="25"/>
      <c r="T137" s="27"/>
      <c r="U137" s="27"/>
      <c r="V137" s="31">
        <f t="shared" si="4"/>
        <v>100</v>
      </c>
    </row>
    <row r="138" spans="1:22" ht="24" customHeight="1" x14ac:dyDescent="0.2">
      <c r="A138" s="28">
        <f t="shared" si="5"/>
        <v>133</v>
      </c>
      <c r="B138" s="42" t="s">
        <v>167</v>
      </c>
      <c r="C138" s="43" t="s">
        <v>163</v>
      </c>
      <c r="D138" s="43" t="s">
        <v>323</v>
      </c>
      <c r="E138" s="31">
        <f>'[1]Week  (3)'!U138</f>
        <v>68</v>
      </c>
      <c r="F138" s="32"/>
      <c r="G138" s="33"/>
      <c r="H138" s="34"/>
      <c r="I138" s="35"/>
      <c r="J138" s="34"/>
      <c r="K138" s="35"/>
      <c r="L138" s="24"/>
      <c r="M138" s="25"/>
      <c r="N138" s="25"/>
      <c r="O138" s="25"/>
      <c r="P138" s="24"/>
      <c r="Q138" s="27"/>
      <c r="R138" s="27"/>
      <c r="S138" s="25"/>
      <c r="T138" s="27"/>
      <c r="U138" s="27"/>
      <c r="V138" s="31">
        <f t="shared" si="4"/>
        <v>68</v>
      </c>
    </row>
    <row r="139" spans="1:22" ht="24" customHeight="1" x14ac:dyDescent="0.2">
      <c r="A139" s="28">
        <f t="shared" si="5"/>
        <v>134</v>
      </c>
      <c r="B139" s="42" t="s">
        <v>168</v>
      </c>
      <c r="C139" s="43" t="s">
        <v>169</v>
      </c>
      <c r="D139" s="43" t="s">
        <v>320</v>
      </c>
      <c r="E139" s="31">
        <f>'[1]Week  (3)'!U139</f>
        <v>8</v>
      </c>
      <c r="F139" s="37"/>
      <c r="G139" s="38"/>
      <c r="H139" s="39"/>
      <c r="I139" s="38"/>
      <c r="J139" s="40"/>
      <c r="K139" s="38"/>
      <c r="L139" s="27"/>
      <c r="M139" s="25"/>
      <c r="N139" s="25"/>
      <c r="O139" s="25"/>
      <c r="P139" s="24"/>
      <c r="Q139" s="27"/>
      <c r="R139" s="27"/>
      <c r="S139" s="25"/>
      <c r="T139" s="27"/>
      <c r="U139" s="27"/>
      <c r="V139" s="31">
        <f t="shared" si="4"/>
        <v>8</v>
      </c>
    </row>
    <row r="140" spans="1:22" ht="27" customHeight="1" x14ac:dyDescent="0.3">
      <c r="A140" s="28">
        <f t="shared" si="5"/>
        <v>135</v>
      </c>
      <c r="B140" s="29" t="s">
        <v>170</v>
      </c>
      <c r="C140" s="30" t="s">
        <v>171</v>
      </c>
      <c r="D140" s="30" t="s">
        <v>321</v>
      </c>
      <c r="E140" s="31">
        <f>'[1]Week  (3)'!U140</f>
        <v>0</v>
      </c>
      <c r="F140" s="32"/>
      <c r="G140" s="33"/>
      <c r="H140" s="34"/>
      <c r="I140" s="35"/>
      <c r="J140" s="24"/>
      <c r="K140" s="36"/>
      <c r="L140" s="27"/>
      <c r="M140" s="25"/>
      <c r="N140" s="25"/>
      <c r="O140" s="25"/>
      <c r="P140" s="24"/>
      <c r="Q140" s="27"/>
      <c r="R140" s="27"/>
      <c r="S140" s="25"/>
      <c r="T140" s="27"/>
      <c r="U140" s="27"/>
      <c r="V140" s="31">
        <f t="shared" si="4"/>
        <v>0</v>
      </c>
    </row>
    <row r="141" spans="1:22" ht="25.5" customHeight="1" x14ac:dyDescent="0.3">
      <c r="A141" s="28">
        <f t="shared" si="5"/>
        <v>136</v>
      </c>
      <c r="B141" s="29" t="s">
        <v>172</v>
      </c>
      <c r="C141" s="30" t="s">
        <v>171</v>
      </c>
      <c r="D141" s="30" t="s">
        <v>321</v>
      </c>
      <c r="E141" s="31">
        <f>'[1]Week  (3)'!U141</f>
        <v>0</v>
      </c>
      <c r="F141" s="37"/>
      <c r="G141" s="38"/>
      <c r="H141" s="39"/>
      <c r="I141" s="38"/>
      <c r="J141" s="40"/>
      <c r="K141" s="38"/>
      <c r="L141" s="27"/>
      <c r="M141" s="25"/>
      <c r="N141" s="25"/>
      <c r="O141" s="25"/>
      <c r="P141" s="24"/>
      <c r="Q141" s="27"/>
      <c r="R141" s="27"/>
      <c r="S141" s="25"/>
      <c r="T141" s="27"/>
      <c r="U141" s="27"/>
      <c r="V141" s="31">
        <f t="shared" si="4"/>
        <v>0</v>
      </c>
    </row>
    <row r="142" spans="1:22" ht="27" customHeight="1" x14ac:dyDescent="0.3">
      <c r="A142" s="28">
        <f t="shared" si="5"/>
        <v>137</v>
      </c>
      <c r="B142" s="29" t="s">
        <v>173</v>
      </c>
      <c r="C142" s="30" t="s">
        <v>171</v>
      </c>
      <c r="D142" s="30" t="s">
        <v>321</v>
      </c>
      <c r="E142" s="31">
        <f>'[1]Week  (3)'!U142</f>
        <v>3</v>
      </c>
      <c r="F142" s="32"/>
      <c r="G142" s="33"/>
      <c r="H142" s="34"/>
      <c r="I142" s="35"/>
      <c r="J142" s="24"/>
      <c r="K142" s="36"/>
      <c r="L142" s="27"/>
      <c r="M142" s="25"/>
      <c r="N142" s="25"/>
      <c r="O142" s="25"/>
      <c r="P142" s="24"/>
      <c r="Q142" s="27"/>
      <c r="R142" s="27"/>
      <c r="S142" s="25"/>
      <c r="T142" s="27"/>
      <c r="U142" s="27"/>
      <c r="V142" s="31">
        <f t="shared" si="4"/>
        <v>3</v>
      </c>
    </row>
    <row r="143" spans="1:22" ht="13.5" customHeight="1" x14ac:dyDescent="0.3">
      <c r="A143" s="28">
        <f t="shared" si="5"/>
        <v>138</v>
      </c>
      <c r="B143" s="29" t="s">
        <v>174</v>
      </c>
      <c r="C143" s="30" t="s">
        <v>171</v>
      </c>
      <c r="D143" s="30" t="s">
        <v>321</v>
      </c>
      <c r="E143" s="31">
        <f>'[1]Week  (3)'!U143</f>
        <v>4</v>
      </c>
      <c r="F143" s="37"/>
      <c r="G143" s="38"/>
      <c r="H143" s="39"/>
      <c r="I143" s="38"/>
      <c r="J143" s="40"/>
      <c r="K143" s="38"/>
      <c r="L143" s="27"/>
      <c r="M143" s="25"/>
      <c r="N143" s="25"/>
      <c r="O143" s="25"/>
      <c r="P143" s="24"/>
      <c r="Q143" s="27"/>
      <c r="R143" s="27"/>
      <c r="S143" s="25"/>
      <c r="T143" s="27"/>
      <c r="U143" s="27"/>
      <c r="V143" s="31">
        <f t="shared" si="4"/>
        <v>4</v>
      </c>
    </row>
    <row r="144" spans="1:22" ht="27.75" customHeight="1" x14ac:dyDescent="0.3">
      <c r="A144" s="28">
        <f t="shared" si="5"/>
        <v>139</v>
      </c>
      <c r="B144" s="42" t="s">
        <v>175</v>
      </c>
      <c r="C144" s="61" t="s">
        <v>28</v>
      </c>
      <c r="D144" s="30" t="s">
        <v>320</v>
      </c>
      <c r="E144" s="31">
        <f>'[1]Week  (3)'!U144</f>
        <v>14</v>
      </c>
      <c r="F144" s="32"/>
      <c r="G144" s="33"/>
      <c r="H144" s="34"/>
      <c r="I144" s="35"/>
      <c r="J144" s="24"/>
      <c r="K144" s="36"/>
      <c r="L144" s="27"/>
      <c r="M144" s="25"/>
      <c r="N144" s="25" t="s">
        <v>176</v>
      </c>
      <c r="O144" s="25">
        <v>2</v>
      </c>
      <c r="P144" s="24"/>
      <c r="Q144" s="27"/>
      <c r="R144" s="27"/>
      <c r="S144" s="25"/>
      <c r="T144" s="27"/>
      <c r="U144" s="27"/>
      <c r="V144" s="31">
        <f t="shared" si="4"/>
        <v>12</v>
      </c>
    </row>
    <row r="145" spans="1:22" ht="26.25" customHeight="1" x14ac:dyDescent="0.3">
      <c r="A145" s="28">
        <f t="shared" si="5"/>
        <v>140</v>
      </c>
      <c r="B145" s="42" t="s">
        <v>177</v>
      </c>
      <c r="C145" s="43" t="s">
        <v>28</v>
      </c>
      <c r="D145" s="30" t="s">
        <v>320</v>
      </c>
      <c r="E145" s="31">
        <f>'[1]Week  (3)'!U145</f>
        <v>0</v>
      </c>
      <c r="F145" s="37"/>
      <c r="G145" s="38"/>
      <c r="H145" s="39"/>
      <c r="I145" s="38"/>
      <c r="J145" s="40"/>
      <c r="K145" s="38"/>
      <c r="L145" s="27"/>
      <c r="M145" s="25"/>
      <c r="N145" s="25"/>
      <c r="O145" s="25"/>
      <c r="P145" s="24"/>
      <c r="Q145" s="27"/>
      <c r="R145" s="27"/>
      <c r="S145" s="25"/>
      <c r="T145" s="27"/>
      <c r="U145" s="27"/>
      <c r="V145" s="31">
        <f t="shared" si="4"/>
        <v>0</v>
      </c>
    </row>
    <row r="146" spans="1:22" ht="26.25" customHeight="1" x14ac:dyDescent="0.3">
      <c r="A146" s="28">
        <f t="shared" si="5"/>
        <v>141</v>
      </c>
      <c r="B146" s="41" t="s">
        <v>178</v>
      </c>
      <c r="C146" s="30" t="s">
        <v>31</v>
      </c>
      <c r="D146" s="30" t="s">
        <v>320</v>
      </c>
      <c r="E146" s="31">
        <f>'[1]Week  (3)'!U146</f>
        <v>17</v>
      </c>
      <c r="F146" s="32"/>
      <c r="G146" s="33"/>
      <c r="H146" s="34"/>
      <c r="I146" s="35"/>
      <c r="J146" s="24"/>
      <c r="K146" s="36"/>
      <c r="L146" s="27"/>
      <c r="M146" s="25"/>
      <c r="N146" s="25"/>
      <c r="O146" s="25"/>
      <c r="P146" s="24"/>
      <c r="Q146" s="27"/>
      <c r="R146" s="27"/>
      <c r="S146" s="25"/>
      <c r="T146" s="27"/>
      <c r="U146" s="27"/>
      <c r="V146" s="31">
        <f t="shared" si="4"/>
        <v>17</v>
      </c>
    </row>
    <row r="147" spans="1:22" ht="15" x14ac:dyDescent="0.3">
      <c r="A147" s="28">
        <f t="shared" si="5"/>
        <v>142</v>
      </c>
      <c r="B147" s="41" t="s">
        <v>179</v>
      </c>
      <c r="C147" s="30" t="s">
        <v>31</v>
      </c>
      <c r="D147" s="30" t="s">
        <v>320</v>
      </c>
      <c r="E147" s="31">
        <f>'[1]Week  (3)'!U147</f>
        <v>0</v>
      </c>
      <c r="F147" s="32">
        <v>45985</v>
      </c>
      <c r="G147" s="38">
        <v>10</v>
      </c>
      <c r="H147" s="39"/>
      <c r="I147" s="38"/>
      <c r="J147" s="24"/>
      <c r="K147" s="38"/>
      <c r="L147" s="27" t="s">
        <v>180</v>
      </c>
      <c r="M147" s="25">
        <v>1</v>
      </c>
      <c r="N147" s="25"/>
      <c r="O147" s="25"/>
      <c r="P147" s="24"/>
      <c r="Q147" s="27"/>
      <c r="R147" s="27"/>
      <c r="S147" s="25"/>
      <c r="T147" s="27"/>
      <c r="U147" s="27"/>
      <c r="V147" s="31">
        <f t="shared" si="4"/>
        <v>9</v>
      </c>
    </row>
    <row r="148" spans="1:22" ht="15" x14ac:dyDescent="0.3">
      <c r="A148" s="28">
        <f t="shared" si="5"/>
        <v>143</v>
      </c>
      <c r="B148" s="67" t="s">
        <v>181</v>
      </c>
      <c r="C148" s="30" t="s">
        <v>31</v>
      </c>
      <c r="D148" s="30" t="s">
        <v>319</v>
      </c>
      <c r="E148" s="31">
        <f>'[1]Week  (3)'!U148</f>
        <v>0</v>
      </c>
      <c r="F148" s="32"/>
      <c r="G148" s="38"/>
      <c r="H148" s="39"/>
      <c r="I148" s="38"/>
      <c r="J148" s="39"/>
      <c r="K148" s="38"/>
      <c r="L148" s="39"/>
      <c r="M148" s="38"/>
      <c r="N148" s="25"/>
      <c r="O148" s="25"/>
      <c r="P148" s="24"/>
      <c r="Q148" s="27"/>
      <c r="R148" s="24"/>
      <c r="S148" s="27"/>
      <c r="T148" s="27"/>
      <c r="U148" s="27"/>
      <c r="V148" s="31">
        <f t="shared" si="4"/>
        <v>0</v>
      </c>
    </row>
    <row r="149" spans="1:22" ht="15" x14ac:dyDescent="0.3">
      <c r="A149" s="28">
        <f t="shared" si="5"/>
        <v>144</v>
      </c>
      <c r="B149" s="67" t="s">
        <v>182</v>
      </c>
      <c r="C149" s="30" t="s">
        <v>31</v>
      </c>
      <c r="D149" s="30" t="s">
        <v>319</v>
      </c>
      <c r="E149" s="31">
        <f>'[1]Week  (3)'!U149</f>
        <v>0</v>
      </c>
      <c r="F149" s="32"/>
      <c r="G149" s="38"/>
      <c r="H149" s="39"/>
      <c r="I149" s="38"/>
      <c r="J149" s="40"/>
      <c r="K149" s="38"/>
      <c r="L149" s="39"/>
      <c r="M149" s="38"/>
      <c r="N149" s="25"/>
      <c r="O149" s="25"/>
      <c r="P149" s="24"/>
      <c r="Q149" s="27"/>
      <c r="R149" s="27"/>
      <c r="S149" s="25"/>
      <c r="T149" s="27"/>
      <c r="U149" s="27"/>
      <c r="V149" s="31">
        <f t="shared" si="4"/>
        <v>0</v>
      </c>
    </row>
    <row r="150" spans="1:22" ht="27" x14ac:dyDescent="0.3">
      <c r="A150" s="28">
        <f t="shared" si="5"/>
        <v>145</v>
      </c>
      <c r="B150" s="42" t="s">
        <v>183</v>
      </c>
      <c r="C150" s="30" t="s">
        <v>31</v>
      </c>
      <c r="D150" s="30" t="s">
        <v>322</v>
      </c>
      <c r="E150" s="31">
        <f>'[1]Week  (3)'!U150</f>
        <v>20</v>
      </c>
      <c r="F150" s="32"/>
      <c r="G150" s="33"/>
      <c r="H150" s="34"/>
      <c r="I150" s="35"/>
      <c r="J150" s="24"/>
      <c r="K150" s="36"/>
      <c r="L150" s="27"/>
      <c r="M150" s="25"/>
      <c r="N150" s="25"/>
      <c r="O150" s="25"/>
      <c r="P150" s="24"/>
      <c r="Q150" s="27"/>
      <c r="R150" s="27"/>
      <c r="S150" s="25"/>
      <c r="T150" s="27"/>
      <c r="U150" s="27"/>
      <c r="V150" s="31">
        <f t="shared" si="4"/>
        <v>20</v>
      </c>
    </row>
    <row r="151" spans="1:22" ht="15" x14ac:dyDescent="0.3">
      <c r="A151" s="28">
        <f t="shared" si="5"/>
        <v>146</v>
      </c>
      <c r="B151" s="68" t="s">
        <v>184</v>
      </c>
      <c r="C151" s="30" t="s">
        <v>31</v>
      </c>
      <c r="D151" s="30" t="s">
        <v>322</v>
      </c>
      <c r="E151" s="31">
        <f>'[1]Week  (3)'!U151</f>
        <v>1</v>
      </c>
      <c r="F151" s="37"/>
      <c r="G151" s="38"/>
      <c r="H151" s="39"/>
      <c r="I151" s="38"/>
      <c r="J151" s="40"/>
      <c r="K151" s="38"/>
      <c r="L151" s="27"/>
      <c r="M151" s="25"/>
      <c r="N151" s="25"/>
      <c r="O151" s="25"/>
      <c r="P151" s="24"/>
      <c r="Q151" s="27"/>
      <c r="R151" s="27"/>
      <c r="S151" s="25"/>
      <c r="T151" s="27"/>
      <c r="U151" s="27"/>
      <c r="V151" s="31">
        <f t="shared" si="4"/>
        <v>1</v>
      </c>
    </row>
    <row r="152" spans="1:22" ht="25.5" x14ac:dyDescent="0.3">
      <c r="A152" s="28">
        <f t="shared" si="5"/>
        <v>147</v>
      </c>
      <c r="B152" s="68" t="s">
        <v>185</v>
      </c>
      <c r="C152" s="30" t="s">
        <v>31</v>
      </c>
      <c r="D152" s="30" t="s">
        <v>322</v>
      </c>
      <c r="E152" s="31">
        <f>'[1]Week  (3)'!U152</f>
        <v>1</v>
      </c>
      <c r="F152" s="32"/>
      <c r="G152" s="33"/>
      <c r="H152" s="34"/>
      <c r="I152" s="35"/>
      <c r="J152" s="24"/>
      <c r="K152" s="36"/>
      <c r="L152" s="27"/>
      <c r="M152" s="25"/>
      <c r="N152" s="25"/>
      <c r="O152" s="25"/>
      <c r="P152" s="24"/>
      <c r="Q152" s="27"/>
      <c r="R152" s="27"/>
      <c r="S152" s="25"/>
      <c r="T152" s="27"/>
      <c r="U152" s="27"/>
      <c r="V152" s="31">
        <f t="shared" si="4"/>
        <v>1</v>
      </c>
    </row>
    <row r="153" spans="1:22" ht="15.75" x14ac:dyDescent="0.3">
      <c r="A153" s="28">
        <f t="shared" si="5"/>
        <v>148</v>
      </c>
      <c r="B153" s="69" t="s">
        <v>186</v>
      </c>
      <c r="C153" s="43" t="s">
        <v>28</v>
      </c>
      <c r="D153" s="30" t="s">
        <v>322</v>
      </c>
      <c r="E153" s="31">
        <f>'[1]Week  (3)'!U153</f>
        <v>4</v>
      </c>
      <c r="F153" s="37"/>
      <c r="G153" s="38"/>
      <c r="H153" s="64"/>
      <c r="I153" s="38"/>
      <c r="J153" s="40"/>
      <c r="K153" s="38"/>
      <c r="L153" s="27"/>
      <c r="M153" s="25"/>
      <c r="N153" s="25"/>
      <c r="O153" s="25"/>
      <c r="P153" s="24"/>
      <c r="Q153" s="27"/>
      <c r="R153" s="24"/>
      <c r="S153" s="25"/>
      <c r="T153" s="27"/>
      <c r="U153" s="27"/>
      <c r="V153" s="31">
        <f t="shared" si="4"/>
        <v>4</v>
      </c>
    </row>
    <row r="154" spans="1:22" ht="15.75" x14ac:dyDescent="0.3">
      <c r="A154" s="28">
        <f t="shared" si="5"/>
        <v>149</v>
      </c>
      <c r="B154" s="69" t="s">
        <v>187</v>
      </c>
      <c r="C154" s="43" t="s">
        <v>28</v>
      </c>
      <c r="D154" s="30" t="s">
        <v>322</v>
      </c>
      <c r="E154" s="31">
        <f>'[1]Week  (3)'!U154</f>
        <v>2</v>
      </c>
      <c r="F154" s="32"/>
      <c r="G154" s="33"/>
      <c r="H154" s="34"/>
      <c r="I154" s="35"/>
      <c r="J154" s="24"/>
      <c r="K154" s="36"/>
      <c r="L154" s="27"/>
      <c r="M154" s="25"/>
      <c r="N154" s="25"/>
      <c r="O154" s="25"/>
      <c r="P154" s="24"/>
      <c r="Q154" s="27"/>
      <c r="R154" s="27"/>
      <c r="S154" s="25"/>
      <c r="T154" s="27"/>
      <c r="U154" s="27"/>
      <c r="V154" s="31">
        <f t="shared" si="4"/>
        <v>2</v>
      </c>
    </row>
    <row r="155" spans="1:22" ht="15.75" x14ac:dyDescent="0.3">
      <c r="A155" s="28">
        <f t="shared" si="5"/>
        <v>150</v>
      </c>
      <c r="B155" s="69" t="s">
        <v>188</v>
      </c>
      <c r="C155" s="43" t="s">
        <v>28</v>
      </c>
      <c r="D155" s="30" t="s">
        <v>322</v>
      </c>
      <c r="E155" s="31">
        <f>'[1]Week  (3)'!U155</f>
        <v>0</v>
      </c>
      <c r="F155" s="37"/>
      <c r="G155" s="38"/>
      <c r="H155" s="39"/>
      <c r="I155" s="38"/>
      <c r="J155" s="40"/>
      <c r="K155" s="38"/>
      <c r="L155" s="40"/>
      <c r="M155" s="38"/>
      <c r="N155" s="25"/>
      <c r="O155" s="25"/>
      <c r="P155" s="24"/>
      <c r="Q155" s="27"/>
      <c r="R155" s="24"/>
      <c r="S155" s="25"/>
      <c r="T155" s="27"/>
      <c r="U155" s="27"/>
      <c r="V155" s="31">
        <f t="shared" si="4"/>
        <v>0</v>
      </c>
    </row>
    <row r="156" spans="1:22" ht="25.5" x14ac:dyDescent="0.3">
      <c r="A156" s="28">
        <f t="shared" si="5"/>
        <v>151</v>
      </c>
      <c r="B156" s="42" t="s">
        <v>189</v>
      </c>
      <c r="C156" s="43" t="s">
        <v>28</v>
      </c>
      <c r="D156" s="30" t="s">
        <v>322</v>
      </c>
      <c r="E156" s="31">
        <f>'[1]Week  (3)'!U156</f>
        <v>23</v>
      </c>
      <c r="F156" s="55"/>
      <c r="G156" s="33"/>
      <c r="H156" s="46"/>
      <c r="I156" s="35"/>
      <c r="J156" s="24" t="s">
        <v>190</v>
      </c>
      <c r="K156" s="36">
        <v>1</v>
      </c>
      <c r="L156" s="25" t="s">
        <v>191</v>
      </c>
      <c r="M156" s="25">
        <f>1+1</f>
        <v>2</v>
      </c>
      <c r="N156" s="25" t="s">
        <v>192</v>
      </c>
      <c r="O156" s="25">
        <v>2</v>
      </c>
      <c r="P156" s="24"/>
      <c r="Q156" s="27"/>
      <c r="R156" s="24"/>
      <c r="S156" s="25"/>
      <c r="T156" s="24"/>
      <c r="U156" s="27"/>
      <c r="V156" s="31">
        <f t="shared" si="4"/>
        <v>18</v>
      </c>
    </row>
    <row r="157" spans="1:22" ht="25.5" x14ac:dyDescent="0.3">
      <c r="A157" s="28">
        <f t="shared" si="5"/>
        <v>152</v>
      </c>
      <c r="B157" s="68" t="s">
        <v>193</v>
      </c>
      <c r="C157" s="30" t="s">
        <v>31</v>
      </c>
      <c r="D157" s="30" t="s">
        <v>322</v>
      </c>
      <c r="E157" s="31">
        <f>'[1]Week  (3)'!U157</f>
        <v>2</v>
      </c>
      <c r="F157" s="37"/>
      <c r="G157" s="38"/>
      <c r="H157" s="39"/>
      <c r="I157" s="38"/>
      <c r="J157" s="40"/>
      <c r="K157" s="38"/>
      <c r="L157" s="27"/>
      <c r="M157" s="25"/>
      <c r="N157" s="25"/>
      <c r="O157" s="25"/>
      <c r="P157" s="24"/>
      <c r="Q157" s="27"/>
      <c r="R157" s="27"/>
      <c r="S157" s="25"/>
      <c r="T157" s="27"/>
      <c r="U157" s="27"/>
      <c r="V157" s="31">
        <f t="shared" si="4"/>
        <v>2</v>
      </c>
    </row>
    <row r="158" spans="1:22" ht="15" x14ac:dyDescent="0.3">
      <c r="A158" s="28">
        <f t="shared" si="5"/>
        <v>153</v>
      </c>
      <c r="B158" s="29" t="s">
        <v>194</v>
      </c>
      <c r="C158" s="30" t="s">
        <v>28</v>
      </c>
      <c r="D158" s="30" t="s">
        <v>321</v>
      </c>
      <c r="E158" s="31">
        <f>'[1]Week  (3)'!U158</f>
        <v>15</v>
      </c>
      <c r="F158" s="32"/>
      <c r="G158" s="33"/>
      <c r="H158" s="34"/>
      <c r="I158" s="35"/>
      <c r="J158" s="24"/>
      <c r="K158" s="36"/>
      <c r="L158" s="25" t="s">
        <v>195</v>
      </c>
      <c r="M158" s="25">
        <v>1</v>
      </c>
      <c r="N158" s="25" t="s">
        <v>24</v>
      </c>
      <c r="O158" s="25">
        <v>1</v>
      </c>
      <c r="P158" s="24"/>
      <c r="Q158" s="27"/>
      <c r="R158" s="27"/>
      <c r="S158" s="25"/>
      <c r="T158" s="27"/>
      <c r="U158" s="27"/>
      <c r="V158" s="31">
        <f t="shared" si="4"/>
        <v>13</v>
      </c>
    </row>
    <row r="159" spans="1:22" ht="15" x14ac:dyDescent="0.3">
      <c r="A159" s="28">
        <f t="shared" si="5"/>
        <v>154</v>
      </c>
      <c r="B159" s="29" t="s">
        <v>196</v>
      </c>
      <c r="C159" s="30" t="s">
        <v>31</v>
      </c>
      <c r="D159" s="30" t="s">
        <v>325</v>
      </c>
      <c r="E159" s="31">
        <f>'[1]Week  (3)'!U159</f>
        <v>4</v>
      </c>
      <c r="F159" s="37"/>
      <c r="G159" s="38"/>
      <c r="H159" s="39"/>
      <c r="I159" s="38"/>
      <c r="J159" s="40"/>
      <c r="K159" s="38"/>
      <c r="L159" s="27"/>
      <c r="M159" s="25"/>
      <c r="N159" s="25"/>
      <c r="O159" s="25"/>
      <c r="P159" s="24"/>
      <c r="Q159" s="27"/>
      <c r="R159" s="27"/>
      <c r="S159" s="25"/>
      <c r="T159" s="27"/>
      <c r="U159" s="27"/>
      <c r="V159" s="31">
        <f t="shared" si="4"/>
        <v>4</v>
      </c>
    </row>
    <row r="160" spans="1:22" ht="15" x14ac:dyDescent="0.3">
      <c r="A160" s="28">
        <f t="shared" si="5"/>
        <v>155</v>
      </c>
      <c r="B160" s="29" t="s">
        <v>197</v>
      </c>
      <c r="C160" s="30" t="s">
        <v>31</v>
      </c>
      <c r="D160" s="30" t="s">
        <v>325</v>
      </c>
      <c r="E160" s="31">
        <f>'[1]Week  (3)'!U160</f>
        <v>7</v>
      </c>
      <c r="F160" s="32"/>
      <c r="G160" s="33"/>
      <c r="H160" s="34"/>
      <c r="I160" s="35"/>
      <c r="J160" s="24"/>
      <c r="K160" s="36"/>
      <c r="L160" s="27"/>
      <c r="M160" s="25"/>
      <c r="N160" s="25"/>
      <c r="O160" s="25"/>
      <c r="P160" s="24"/>
      <c r="Q160" s="27"/>
      <c r="R160" s="27"/>
      <c r="S160" s="25"/>
      <c r="T160" s="27"/>
      <c r="U160" s="27"/>
      <c r="V160" s="31">
        <f t="shared" si="4"/>
        <v>7</v>
      </c>
    </row>
    <row r="161" spans="1:22" ht="15" x14ac:dyDescent="0.3">
      <c r="A161" s="28">
        <f t="shared" si="5"/>
        <v>156</v>
      </c>
      <c r="B161" s="29" t="s">
        <v>198</v>
      </c>
      <c r="C161" s="30" t="s">
        <v>31</v>
      </c>
      <c r="D161" s="30" t="s">
        <v>321</v>
      </c>
      <c r="E161" s="31">
        <f>'[1]Week  (3)'!U161</f>
        <v>20</v>
      </c>
      <c r="F161" s="37"/>
      <c r="G161" s="38"/>
      <c r="H161" s="39"/>
      <c r="I161" s="38"/>
      <c r="J161" s="40"/>
      <c r="K161" s="38"/>
      <c r="L161" s="27"/>
      <c r="M161" s="25"/>
      <c r="N161" s="25"/>
      <c r="O161" s="25"/>
      <c r="P161" s="24"/>
      <c r="Q161" s="27"/>
      <c r="R161" s="27"/>
      <c r="S161" s="25"/>
      <c r="T161" s="27"/>
      <c r="U161" s="27"/>
      <c r="V161" s="31">
        <f t="shared" si="4"/>
        <v>20</v>
      </c>
    </row>
    <row r="162" spans="1:22" ht="15" x14ac:dyDescent="0.3">
      <c r="A162" s="28">
        <f t="shared" si="5"/>
        <v>157</v>
      </c>
      <c r="B162" s="29" t="s">
        <v>199</v>
      </c>
      <c r="C162" s="30" t="s">
        <v>31</v>
      </c>
      <c r="D162" s="30" t="s">
        <v>321</v>
      </c>
      <c r="E162" s="31">
        <f>'[1]Week  (3)'!U162</f>
        <v>4</v>
      </c>
      <c r="F162" s="32"/>
      <c r="G162" s="33"/>
      <c r="H162" s="34"/>
      <c r="I162" s="35"/>
      <c r="J162" s="24"/>
      <c r="K162" s="36"/>
      <c r="L162" s="27"/>
      <c r="M162" s="25"/>
      <c r="N162" s="25"/>
      <c r="O162" s="25"/>
      <c r="P162" s="24"/>
      <c r="Q162" s="27"/>
      <c r="R162" s="27"/>
      <c r="S162" s="25"/>
      <c r="T162" s="27"/>
      <c r="U162" s="27"/>
      <c r="V162" s="31">
        <f t="shared" si="4"/>
        <v>4</v>
      </c>
    </row>
    <row r="163" spans="1:22" ht="14.25" x14ac:dyDescent="0.2">
      <c r="A163" s="28">
        <f t="shared" si="5"/>
        <v>158</v>
      </c>
      <c r="B163" s="42" t="s">
        <v>200</v>
      </c>
      <c r="C163" s="43" t="s">
        <v>28</v>
      </c>
      <c r="D163" s="43" t="s">
        <v>320</v>
      </c>
      <c r="E163" s="31">
        <f>'[1]Week  (3)'!U163</f>
        <v>0</v>
      </c>
      <c r="F163" s="37"/>
      <c r="G163" s="38"/>
      <c r="H163" s="39"/>
      <c r="I163" s="38"/>
      <c r="J163" s="40"/>
      <c r="K163" s="38"/>
      <c r="L163" s="27"/>
      <c r="M163" s="25"/>
      <c r="N163" s="25"/>
      <c r="O163" s="25"/>
      <c r="P163" s="24"/>
      <c r="Q163" s="27"/>
      <c r="R163" s="27"/>
      <c r="S163" s="25"/>
      <c r="T163" s="27"/>
      <c r="U163" s="27"/>
      <c r="V163" s="31">
        <f t="shared" si="4"/>
        <v>0</v>
      </c>
    </row>
    <row r="164" spans="1:22" ht="14.25" x14ac:dyDescent="0.2">
      <c r="A164" s="28">
        <f t="shared" si="5"/>
        <v>159</v>
      </c>
      <c r="B164" s="42" t="s">
        <v>201</v>
      </c>
      <c r="C164" s="43" t="s">
        <v>28</v>
      </c>
      <c r="D164" s="43" t="s">
        <v>320</v>
      </c>
      <c r="E164" s="31">
        <f>'[1]Week  (3)'!U164</f>
        <v>0</v>
      </c>
      <c r="F164" s="32"/>
      <c r="G164" s="33"/>
      <c r="H164" s="34"/>
      <c r="I164" s="35"/>
      <c r="J164" s="24"/>
      <c r="K164" s="36"/>
      <c r="L164" s="27"/>
      <c r="M164" s="25"/>
      <c r="N164" s="25"/>
      <c r="O164" s="25"/>
      <c r="P164" s="24"/>
      <c r="Q164" s="27"/>
      <c r="R164" s="27"/>
      <c r="S164" s="25"/>
      <c r="T164" s="27"/>
      <c r="U164" s="27"/>
      <c r="V164" s="31">
        <f t="shared" si="4"/>
        <v>0</v>
      </c>
    </row>
    <row r="165" spans="1:22" ht="15" x14ac:dyDescent="0.3">
      <c r="A165" s="28">
        <f t="shared" si="5"/>
        <v>160</v>
      </c>
      <c r="B165" s="29" t="s">
        <v>202</v>
      </c>
      <c r="C165" s="30" t="s">
        <v>31</v>
      </c>
      <c r="D165" s="30" t="s">
        <v>323</v>
      </c>
      <c r="E165" s="31">
        <f>'[1]Week  (3)'!U165</f>
        <v>8</v>
      </c>
      <c r="F165" s="37"/>
      <c r="G165" s="38"/>
      <c r="H165" s="39"/>
      <c r="I165" s="38"/>
      <c r="J165" s="40"/>
      <c r="K165" s="38"/>
      <c r="L165" s="27"/>
      <c r="M165" s="25"/>
      <c r="N165" s="25"/>
      <c r="O165" s="25"/>
      <c r="P165" s="24"/>
      <c r="Q165" s="27"/>
      <c r="R165" s="27"/>
      <c r="S165" s="25"/>
      <c r="T165" s="27"/>
      <c r="U165" s="27"/>
      <c r="V165" s="31">
        <f t="shared" si="4"/>
        <v>8</v>
      </c>
    </row>
    <row r="166" spans="1:22" ht="26.25" customHeight="1" x14ac:dyDescent="0.3">
      <c r="A166" s="28">
        <f t="shared" si="5"/>
        <v>161</v>
      </c>
      <c r="B166" s="29" t="s">
        <v>203</v>
      </c>
      <c r="C166" s="30" t="s">
        <v>31</v>
      </c>
      <c r="D166" s="30" t="s">
        <v>323</v>
      </c>
      <c r="E166" s="31">
        <f>'[1]Week  (3)'!U166</f>
        <v>5</v>
      </c>
      <c r="F166" s="32"/>
      <c r="G166" s="33"/>
      <c r="H166" s="34"/>
      <c r="I166" s="35"/>
      <c r="J166" s="24"/>
      <c r="K166" s="36"/>
      <c r="L166" s="27"/>
      <c r="M166" s="25"/>
      <c r="N166" s="25"/>
      <c r="O166" s="25"/>
      <c r="P166" s="24"/>
      <c r="Q166" s="27"/>
      <c r="R166" s="27"/>
      <c r="S166" s="25"/>
      <c r="T166" s="27"/>
      <c r="U166" s="27"/>
      <c r="V166" s="31">
        <f t="shared" si="4"/>
        <v>5</v>
      </c>
    </row>
    <row r="167" spans="1:22" ht="15" x14ac:dyDescent="0.3">
      <c r="A167" s="28">
        <f t="shared" si="5"/>
        <v>162</v>
      </c>
      <c r="B167" s="29" t="s">
        <v>204</v>
      </c>
      <c r="C167" s="30" t="s">
        <v>31</v>
      </c>
      <c r="D167" s="30" t="s">
        <v>323</v>
      </c>
      <c r="E167" s="31">
        <f>'[1]Week  (3)'!U167</f>
        <v>3</v>
      </c>
      <c r="F167" s="37"/>
      <c r="G167" s="38"/>
      <c r="H167" s="39"/>
      <c r="I167" s="38"/>
      <c r="J167" s="40"/>
      <c r="K167" s="38"/>
      <c r="L167" s="27"/>
      <c r="M167" s="25"/>
      <c r="N167" s="25"/>
      <c r="O167" s="25"/>
      <c r="P167" s="24"/>
      <c r="Q167" s="27"/>
      <c r="R167" s="27"/>
      <c r="S167" s="25"/>
      <c r="T167" s="27"/>
      <c r="U167" s="27"/>
      <c r="V167" s="31">
        <f t="shared" si="4"/>
        <v>3</v>
      </c>
    </row>
    <row r="168" spans="1:22" ht="15" x14ac:dyDescent="0.3">
      <c r="A168" s="28">
        <f t="shared" si="5"/>
        <v>163</v>
      </c>
      <c r="B168" s="29" t="s">
        <v>205</v>
      </c>
      <c r="C168" s="30" t="s">
        <v>31</v>
      </c>
      <c r="D168" s="30" t="s">
        <v>323</v>
      </c>
      <c r="E168" s="31">
        <f>'[1]Week  (3)'!U168</f>
        <v>16</v>
      </c>
      <c r="F168" s="32"/>
      <c r="G168" s="33"/>
      <c r="H168" s="34"/>
      <c r="I168" s="35"/>
      <c r="J168" s="24"/>
      <c r="K168" s="36"/>
      <c r="L168" s="27"/>
      <c r="M168" s="25"/>
      <c r="N168" s="25"/>
      <c r="O168" s="25"/>
      <c r="P168" s="24"/>
      <c r="Q168" s="27"/>
      <c r="R168" s="27"/>
      <c r="S168" s="25"/>
      <c r="T168" s="27"/>
      <c r="U168" s="27"/>
      <c r="V168" s="31">
        <f t="shared" si="4"/>
        <v>16</v>
      </c>
    </row>
    <row r="169" spans="1:22" ht="15" x14ac:dyDescent="0.3">
      <c r="A169" s="28">
        <f t="shared" si="5"/>
        <v>164</v>
      </c>
      <c r="B169" s="29" t="s">
        <v>206</v>
      </c>
      <c r="C169" s="30" t="s">
        <v>31</v>
      </c>
      <c r="D169" s="30" t="s">
        <v>323</v>
      </c>
      <c r="E169" s="31">
        <f>'[1]Week  (3)'!U169</f>
        <v>7</v>
      </c>
      <c r="F169" s="37"/>
      <c r="G169" s="38"/>
      <c r="H169" s="39"/>
      <c r="I169" s="38"/>
      <c r="J169" s="40"/>
      <c r="K169" s="38"/>
      <c r="L169" s="27"/>
      <c r="M169" s="25"/>
      <c r="N169" s="25"/>
      <c r="O169" s="25"/>
      <c r="P169" s="24"/>
      <c r="Q169" s="27"/>
      <c r="R169" s="27"/>
      <c r="S169" s="25"/>
      <c r="T169" s="27"/>
      <c r="U169" s="27"/>
      <c r="V169" s="31">
        <f t="shared" si="4"/>
        <v>7</v>
      </c>
    </row>
    <row r="170" spans="1:22" ht="15" x14ac:dyDescent="0.3">
      <c r="A170" s="28">
        <f t="shared" si="5"/>
        <v>165</v>
      </c>
      <c r="B170" s="29" t="s">
        <v>207</v>
      </c>
      <c r="C170" s="30" t="s">
        <v>31</v>
      </c>
      <c r="D170" s="30" t="s">
        <v>323</v>
      </c>
      <c r="E170" s="31">
        <f>'[1]Week  (3)'!U170</f>
        <v>5</v>
      </c>
      <c r="F170" s="32"/>
      <c r="G170" s="33"/>
      <c r="H170" s="34"/>
      <c r="I170" s="35"/>
      <c r="J170" s="24"/>
      <c r="K170" s="36"/>
      <c r="L170" s="27"/>
      <c r="M170" s="25"/>
      <c r="N170" s="25"/>
      <c r="O170" s="25"/>
      <c r="P170" s="24"/>
      <c r="Q170" s="27"/>
      <c r="R170" s="27"/>
      <c r="S170" s="25"/>
      <c r="T170" s="27"/>
      <c r="U170" s="27"/>
      <c r="V170" s="31">
        <f t="shared" si="4"/>
        <v>5</v>
      </c>
    </row>
    <row r="171" spans="1:22" ht="15" x14ac:dyDescent="0.3">
      <c r="A171" s="28">
        <f t="shared" si="5"/>
        <v>166</v>
      </c>
      <c r="B171" s="29" t="s">
        <v>208</v>
      </c>
      <c r="C171" s="30" t="s">
        <v>31</v>
      </c>
      <c r="D171" s="30" t="s">
        <v>323</v>
      </c>
      <c r="E171" s="31">
        <f>'[1]Week  (3)'!U171</f>
        <v>15</v>
      </c>
      <c r="F171" s="37"/>
      <c r="G171" s="38"/>
      <c r="H171" s="39"/>
      <c r="I171" s="38"/>
      <c r="J171" s="40"/>
      <c r="K171" s="38"/>
      <c r="L171" s="27"/>
      <c r="M171" s="25"/>
      <c r="N171" s="25"/>
      <c r="O171" s="25"/>
      <c r="P171" s="24"/>
      <c r="Q171" s="27"/>
      <c r="R171" s="27"/>
      <c r="S171" s="25"/>
      <c r="T171" s="27"/>
      <c r="U171" s="27"/>
      <c r="V171" s="31">
        <f t="shared" si="4"/>
        <v>15</v>
      </c>
    </row>
    <row r="172" spans="1:22" ht="15" x14ac:dyDescent="0.3">
      <c r="A172" s="28">
        <f t="shared" si="5"/>
        <v>167</v>
      </c>
      <c r="B172" s="29" t="s">
        <v>209</v>
      </c>
      <c r="C172" s="30" t="s">
        <v>31</v>
      </c>
      <c r="D172" s="30" t="s">
        <v>323</v>
      </c>
      <c r="E172" s="31">
        <f>'[1]Week  (3)'!U172</f>
        <v>12</v>
      </c>
      <c r="F172" s="32"/>
      <c r="G172" s="33"/>
      <c r="H172" s="34"/>
      <c r="I172" s="35"/>
      <c r="J172" s="24"/>
      <c r="K172" s="36"/>
      <c r="L172" s="27"/>
      <c r="M172" s="25"/>
      <c r="N172" s="25"/>
      <c r="O172" s="25"/>
      <c r="P172" s="24"/>
      <c r="Q172" s="27"/>
      <c r="R172" s="27"/>
      <c r="S172" s="25"/>
      <c r="T172" s="27"/>
      <c r="U172" s="27"/>
      <c r="V172" s="31">
        <f t="shared" si="4"/>
        <v>12</v>
      </c>
    </row>
    <row r="173" spans="1:22" ht="15" x14ac:dyDescent="0.3">
      <c r="A173" s="28">
        <f t="shared" si="5"/>
        <v>168</v>
      </c>
      <c r="B173" s="29" t="s">
        <v>210</v>
      </c>
      <c r="C173" s="30" t="s">
        <v>31</v>
      </c>
      <c r="D173" s="30" t="s">
        <v>323</v>
      </c>
      <c r="E173" s="31">
        <f>'[1]Week  (3)'!U173</f>
        <v>10</v>
      </c>
      <c r="F173" s="37"/>
      <c r="G173" s="38"/>
      <c r="H173" s="39"/>
      <c r="I173" s="38"/>
      <c r="J173" s="40"/>
      <c r="K173" s="38"/>
      <c r="L173" s="27"/>
      <c r="M173" s="25"/>
      <c r="N173" s="25"/>
      <c r="O173" s="25"/>
      <c r="P173" s="24"/>
      <c r="Q173" s="27"/>
      <c r="R173" s="24"/>
      <c r="S173" s="25"/>
      <c r="T173" s="27"/>
      <c r="U173" s="27"/>
      <c r="V173" s="31">
        <f t="shared" si="4"/>
        <v>10</v>
      </c>
    </row>
    <row r="174" spans="1:22" ht="15" x14ac:dyDescent="0.3">
      <c r="A174" s="28">
        <f t="shared" si="5"/>
        <v>169</v>
      </c>
      <c r="B174" s="29" t="s">
        <v>211</v>
      </c>
      <c r="C174" s="30" t="s">
        <v>31</v>
      </c>
      <c r="D174" s="30" t="s">
        <v>323</v>
      </c>
      <c r="E174" s="31">
        <f>'[1]Week  (3)'!U174</f>
        <v>7</v>
      </c>
      <c r="F174" s="32"/>
      <c r="G174" s="33"/>
      <c r="H174" s="34"/>
      <c r="I174" s="35"/>
      <c r="J174" s="24"/>
      <c r="K174" s="36"/>
      <c r="L174" s="27"/>
      <c r="M174" s="25"/>
      <c r="N174" s="25"/>
      <c r="O174" s="25"/>
      <c r="P174" s="25"/>
      <c r="Q174" s="25"/>
      <c r="R174" s="27"/>
      <c r="S174" s="25"/>
      <c r="T174" s="27"/>
      <c r="U174" s="27"/>
      <c r="V174" s="31">
        <f t="shared" si="4"/>
        <v>7</v>
      </c>
    </row>
    <row r="175" spans="1:22" ht="15" x14ac:dyDescent="0.3">
      <c r="A175" s="28">
        <f t="shared" si="5"/>
        <v>170</v>
      </c>
      <c r="B175" s="29" t="s">
        <v>212</v>
      </c>
      <c r="C175" s="30" t="s">
        <v>31</v>
      </c>
      <c r="D175" s="30" t="s">
        <v>323</v>
      </c>
      <c r="E175" s="31">
        <f>'[1]Week  (3)'!U175</f>
        <v>5</v>
      </c>
      <c r="F175" s="37"/>
      <c r="G175" s="38"/>
      <c r="H175" s="39"/>
      <c r="I175" s="38"/>
      <c r="J175" s="40"/>
      <c r="K175" s="38"/>
      <c r="L175" s="27"/>
      <c r="M175" s="25"/>
      <c r="N175" s="25"/>
      <c r="O175" s="25"/>
      <c r="P175" s="24"/>
      <c r="Q175" s="27"/>
      <c r="R175" s="27"/>
      <c r="S175" s="25"/>
      <c r="T175" s="27"/>
      <c r="U175" s="27"/>
      <c r="V175" s="31">
        <f t="shared" si="4"/>
        <v>5</v>
      </c>
    </row>
    <row r="176" spans="1:22" ht="15" x14ac:dyDescent="0.3">
      <c r="A176" s="28">
        <f t="shared" si="5"/>
        <v>171</v>
      </c>
      <c r="B176" s="29" t="s">
        <v>213</v>
      </c>
      <c r="C176" s="30" t="s">
        <v>31</v>
      </c>
      <c r="D176" s="30" t="s">
        <v>323</v>
      </c>
      <c r="E176" s="31">
        <f>'[1]Week  (3)'!U176</f>
        <v>1</v>
      </c>
      <c r="F176" s="32"/>
      <c r="G176" s="33"/>
      <c r="H176" s="34"/>
      <c r="I176" s="35"/>
      <c r="J176" s="24"/>
      <c r="K176" s="36"/>
      <c r="L176" s="27"/>
      <c r="M176" s="25"/>
      <c r="N176" s="25"/>
      <c r="O176" s="25"/>
      <c r="P176" s="24"/>
      <c r="Q176" s="27"/>
      <c r="R176" s="27"/>
      <c r="S176" s="25"/>
      <c r="T176" s="27"/>
      <c r="U176" s="27"/>
      <c r="V176" s="31">
        <f t="shared" si="4"/>
        <v>1</v>
      </c>
    </row>
    <row r="177" spans="1:22" ht="15" x14ac:dyDescent="0.3">
      <c r="A177" s="28">
        <f t="shared" si="5"/>
        <v>172</v>
      </c>
      <c r="B177" s="29" t="s">
        <v>214</v>
      </c>
      <c r="C177" s="30" t="s">
        <v>31</v>
      </c>
      <c r="D177" s="30" t="s">
        <v>326</v>
      </c>
      <c r="E177" s="31">
        <f>'[1]Week  (3)'!U177</f>
        <v>0</v>
      </c>
      <c r="F177" s="37"/>
      <c r="G177" s="38"/>
      <c r="H177" s="39"/>
      <c r="I177" s="38"/>
      <c r="J177" s="40"/>
      <c r="K177" s="38"/>
      <c r="L177" s="27"/>
      <c r="M177" s="25"/>
      <c r="N177" s="25"/>
      <c r="O177" s="25"/>
      <c r="P177" s="24"/>
      <c r="Q177" s="27"/>
      <c r="R177" s="27"/>
      <c r="S177" s="25"/>
      <c r="T177" s="27"/>
      <c r="U177" s="27"/>
      <c r="V177" s="31">
        <f t="shared" si="4"/>
        <v>0</v>
      </c>
    </row>
    <row r="178" spans="1:22" ht="30" x14ac:dyDescent="0.3">
      <c r="A178" s="28">
        <f t="shared" si="5"/>
        <v>173</v>
      </c>
      <c r="B178" s="29" t="s">
        <v>215</v>
      </c>
      <c r="C178" s="30" t="s">
        <v>31</v>
      </c>
      <c r="D178" s="30" t="s">
        <v>319</v>
      </c>
      <c r="E178" s="31">
        <f>'[1]Week  (3)'!U178</f>
        <v>0</v>
      </c>
      <c r="F178" s="32"/>
      <c r="G178" s="33"/>
      <c r="H178" s="34"/>
      <c r="I178" s="35"/>
      <c r="J178" s="24"/>
      <c r="K178" s="36"/>
      <c r="L178" s="27"/>
      <c r="M178" s="25"/>
      <c r="N178" s="25"/>
      <c r="O178" s="25"/>
      <c r="P178" s="24"/>
      <c r="Q178" s="27"/>
      <c r="R178" s="27"/>
      <c r="S178" s="25"/>
      <c r="T178" s="27"/>
      <c r="U178" s="27"/>
      <c r="V178" s="31">
        <f t="shared" si="4"/>
        <v>0</v>
      </c>
    </row>
    <row r="179" spans="1:22" ht="15" x14ac:dyDescent="0.3">
      <c r="A179" s="28">
        <f t="shared" si="5"/>
        <v>174</v>
      </c>
      <c r="B179" s="29" t="s">
        <v>216</v>
      </c>
      <c r="C179" s="30" t="s">
        <v>70</v>
      </c>
      <c r="D179" s="30" t="s">
        <v>321</v>
      </c>
      <c r="E179" s="31">
        <f>'[1]Week  (3)'!U179</f>
        <v>15</v>
      </c>
      <c r="F179" s="37"/>
      <c r="G179" s="38"/>
      <c r="H179" s="39"/>
      <c r="I179" s="38"/>
      <c r="J179" s="40"/>
      <c r="K179" s="38"/>
      <c r="L179" s="27"/>
      <c r="M179" s="25"/>
      <c r="N179" s="25"/>
      <c r="O179" s="25"/>
      <c r="P179" s="24"/>
      <c r="Q179" s="27"/>
      <c r="R179" s="27"/>
      <c r="S179" s="25"/>
      <c r="T179" s="27"/>
      <c r="U179" s="27"/>
      <c r="V179" s="31">
        <f t="shared" si="4"/>
        <v>15</v>
      </c>
    </row>
    <row r="180" spans="1:22" ht="15" x14ac:dyDescent="0.3">
      <c r="A180" s="28">
        <f t="shared" si="5"/>
        <v>175</v>
      </c>
      <c r="B180" s="29" t="s">
        <v>217</v>
      </c>
      <c r="C180" s="30" t="s">
        <v>70</v>
      </c>
      <c r="D180" s="30" t="s">
        <v>321</v>
      </c>
      <c r="E180" s="31">
        <f>'[1]Week  (3)'!U180</f>
        <v>8</v>
      </c>
      <c r="F180" s="32"/>
      <c r="G180" s="33"/>
      <c r="H180" s="70"/>
      <c r="I180" s="53"/>
      <c r="J180" s="24"/>
      <c r="K180" s="36"/>
      <c r="L180" s="27" t="s">
        <v>180</v>
      </c>
      <c r="M180" s="25">
        <v>1</v>
      </c>
      <c r="N180" s="25" t="s">
        <v>80</v>
      </c>
      <c r="O180" s="25">
        <v>1</v>
      </c>
      <c r="P180" s="24" t="s">
        <v>218</v>
      </c>
      <c r="Q180" s="27">
        <v>1</v>
      </c>
      <c r="R180" s="27"/>
      <c r="S180" s="25"/>
      <c r="T180" s="27"/>
      <c r="U180" s="27"/>
      <c r="V180" s="31">
        <f t="shared" si="4"/>
        <v>5</v>
      </c>
    </row>
    <row r="181" spans="1:22" ht="15" x14ac:dyDescent="0.3">
      <c r="A181" s="28">
        <f t="shared" si="5"/>
        <v>176</v>
      </c>
      <c r="B181" s="29" t="s">
        <v>219</v>
      </c>
      <c r="C181" s="30" t="s">
        <v>31</v>
      </c>
      <c r="D181" s="30" t="s">
        <v>321</v>
      </c>
      <c r="E181" s="31">
        <f>'[1]Week  (3)'!U181</f>
        <v>22</v>
      </c>
      <c r="F181" s="37"/>
      <c r="G181" s="38"/>
      <c r="H181" s="70"/>
      <c r="I181" s="35"/>
      <c r="J181" s="24"/>
      <c r="K181" s="38"/>
      <c r="L181" s="27"/>
      <c r="M181" s="25"/>
      <c r="N181" s="25" t="s">
        <v>80</v>
      </c>
      <c r="O181" s="25">
        <v>2</v>
      </c>
      <c r="P181" s="24"/>
      <c r="Q181" s="27"/>
      <c r="R181" s="27"/>
      <c r="S181" s="25"/>
      <c r="T181" s="27"/>
      <c r="U181" s="27"/>
      <c r="V181" s="31">
        <f t="shared" si="4"/>
        <v>20</v>
      </c>
    </row>
    <row r="182" spans="1:22" ht="30" x14ac:dyDescent="0.3">
      <c r="A182" s="28">
        <f t="shared" si="5"/>
        <v>177</v>
      </c>
      <c r="B182" s="29" t="s">
        <v>220</v>
      </c>
      <c r="C182" s="30" t="s">
        <v>63</v>
      </c>
      <c r="D182" s="30" t="s">
        <v>327</v>
      </c>
      <c r="E182" s="31">
        <f>'[1]Week  (3)'!U182</f>
        <v>0</v>
      </c>
      <c r="F182" s="32"/>
      <c r="G182" s="33"/>
      <c r="H182" s="34"/>
      <c r="I182" s="35"/>
      <c r="J182" s="24"/>
      <c r="K182" s="36"/>
      <c r="L182" s="27"/>
      <c r="M182" s="25"/>
      <c r="N182" s="25"/>
      <c r="O182" s="25"/>
      <c r="P182" s="24"/>
      <c r="Q182" s="27"/>
      <c r="R182" s="27"/>
      <c r="S182" s="25"/>
      <c r="T182" s="27"/>
      <c r="U182" s="27"/>
      <c r="V182" s="31">
        <f t="shared" si="4"/>
        <v>0</v>
      </c>
    </row>
    <row r="183" spans="1:22" ht="15" x14ac:dyDescent="0.3">
      <c r="A183" s="28">
        <f t="shared" si="5"/>
        <v>178</v>
      </c>
      <c r="B183" s="29" t="s">
        <v>221</v>
      </c>
      <c r="C183" s="30" t="s">
        <v>63</v>
      </c>
      <c r="D183" s="30" t="s">
        <v>327</v>
      </c>
      <c r="E183" s="31">
        <f>'[1]Week  (3)'!U183</f>
        <v>0</v>
      </c>
      <c r="F183" s="37"/>
      <c r="G183" s="38"/>
      <c r="H183" s="39"/>
      <c r="I183" s="38"/>
      <c r="J183" s="40"/>
      <c r="K183" s="38"/>
      <c r="L183" s="27"/>
      <c r="M183" s="25"/>
      <c r="N183" s="25"/>
      <c r="O183" s="25"/>
      <c r="P183" s="24"/>
      <c r="Q183" s="27"/>
      <c r="R183" s="27"/>
      <c r="S183" s="25"/>
      <c r="T183" s="27"/>
      <c r="U183" s="27"/>
      <c r="V183" s="31">
        <f t="shared" si="4"/>
        <v>0</v>
      </c>
    </row>
    <row r="184" spans="1:22" ht="30" x14ac:dyDescent="0.3">
      <c r="A184" s="28">
        <f t="shared" si="5"/>
        <v>179</v>
      </c>
      <c r="B184" s="29" t="s">
        <v>222</v>
      </c>
      <c r="C184" s="30" t="s">
        <v>31</v>
      </c>
      <c r="D184" s="30" t="s">
        <v>323</v>
      </c>
      <c r="E184" s="31">
        <f>'[1]Week  (3)'!U184</f>
        <v>3</v>
      </c>
      <c r="F184" s="32"/>
      <c r="G184" s="33"/>
      <c r="H184" s="34"/>
      <c r="I184" s="35"/>
      <c r="J184" s="24"/>
      <c r="K184" s="36"/>
      <c r="L184" s="27"/>
      <c r="M184" s="25"/>
      <c r="N184" s="25"/>
      <c r="O184" s="25"/>
      <c r="P184" s="24"/>
      <c r="Q184" s="27"/>
      <c r="R184" s="27"/>
      <c r="S184" s="25"/>
      <c r="T184" s="27"/>
      <c r="U184" s="27"/>
      <c r="V184" s="31">
        <f t="shared" si="4"/>
        <v>3</v>
      </c>
    </row>
    <row r="185" spans="1:22" ht="30" x14ac:dyDescent="0.3">
      <c r="A185" s="28">
        <f t="shared" si="5"/>
        <v>180</v>
      </c>
      <c r="B185" s="29" t="s">
        <v>223</v>
      </c>
      <c r="C185" s="30" t="s">
        <v>31</v>
      </c>
      <c r="D185" s="30" t="s">
        <v>323</v>
      </c>
      <c r="E185" s="31">
        <f>'[1]Week  (3)'!U185</f>
        <v>1</v>
      </c>
      <c r="F185" s="37"/>
      <c r="G185" s="38"/>
      <c r="H185" s="39"/>
      <c r="I185" s="38"/>
      <c r="J185" s="40"/>
      <c r="K185" s="38"/>
      <c r="L185" s="27"/>
      <c r="M185" s="25"/>
      <c r="N185" s="25"/>
      <c r="O185" s="25"/>
      <c r="P185" s="24"/>
      <c r="Q185" s="27"/>
      <c r="R185" s="27"/>
      <c r="S185" s="25"/>
      <c r="T185" s="27"/>
      <c r="U185" s="27"/>
      <c r="V185" s="31">
        <f t="shared" si="4"/>
        <v>1</v>
      </c>
    </row>
    <row r="186" spans="1:22" ht="30" x14ac:dyDescent="0.3">
      <c r="A186" s="28">
        <f t="shared" si="5"/>
        <v>181</v>
      </c>
      <c r="B186" s="29" t="s">
        <v>224</v>
      </c>
      <c r="C186" s="30" t="s">
        <v>31</v>
      </c>
      <c r="D186" s="30" t="s">
        <v>323</v>
      </c>
      <c r="E186" s="31">
        <f>'[1]Week  (3)'!U186</f>
        <v>3</v>
      </c>
      <c r="F186" s="32"/>
      <c r="G186" s="33"/>
      <c r="H186" s="34"/>
      <c r="I186" s="35"/>
      <c r="J186" s="24"/>
      <c r="K186" s="36"/>
      <c r="L186" s="27"/>
      <c r="M186" s="25"/>
      <c r="N186" s="25"/>
      <c r="O186" s="25"/>
      <c r="P186" s="24"/>
      <c r="Q186" s="27"/>
      <c r="R186" s="27"/>
      <c r="S186" s="25"/>
      <c r="T186" s="27"/>
      <c r="U186" s="27"/>
      <c r="V186" s="31">
        <f t="shared" si="4"/>
        <v>3</v>
      </c>
    </row>
    <row r="187" spans="1:22" ht="30" x14ac:dyDescent="0.3">
      <c r="A187" s="28">
        <f t="shared" si="5"/>
        <v>182</v>
      </c>
      <c r="B187" s="29" t="s">
        <v>225</v>
      </c>
      <c r="C187" s="30" t="s">
        <v>31</v>
      </c>
      <c r="D187" s="30" t="s">
        <v>323</v>
      </c>
      <c r="E187" s="31">
        <f>'[1]Week  (3)'!U187</f>
        <v>3</v>
      </c>
      <c r="F187" s="37"/>
      <c r="G187" s="38"/>
      <c r="H187" s="39"/>
      <c r="I187" s="38"/>
      <c r="J187" s="40"/>
      <c r="K187" s="38"/>
      <c r="L187" s="27"/>
      <c r="M187" s="25"/>
      <c r="N187" s="25"/>
      <c r="O187" s="25"/>
      <c r="P187" s="24"/>
      <c r="Q187" s="27"/>
      <c r="R187" s="27"/>
      <c r="S187" s="25"/>
      <c r="T187" s="27"/>
      <c r="U187" s="27"/>
      <c r="V187" s="31">
        <f t="shared" si="4"/>
        <v>3</v>
      </c>
    </row>
    <row r="188" spans="1:22" ht="30" x14ac:dyDescent="0.3">
      <c r="A188" s="28">
        <f t="shared" si="5"/>
        <v>183</v>
      </c>
      <c r="B188" s="29" t="s">
        <v>226</v>
      </c>
      <c r="C188" s="30" t="s">
        <v>31</v>
      </c>
      <c r="D188" s="30" t="s">
        <v>323</v>
      </c>
      <c r="E188" s="31">
        <f>'[1]Week  (3)'!U188</f>
        <v>3</v>
      </c>
      <c r="F188" s="32"/>
      <c r="G188" s="33"/>
      <c r="H188" s="34"/>
      <c r="I188" s="35"/>
      <c r="J188" s="24"/>
      <c r="K188" s="36"/>
      <c r="L188" s="27"/>
      <c r="M188" s="25"/>
      <c r="N188" s="25"/>
      <c r="O188" s="25"/>
      <c r="P188" s="24"/>
      <c r="Q188" s="27"/>
      <c r="R188" s="27"/>
      <c r="S188" s="25"/>
      <c r="T188" s="27"/>
      <c r="U188" s="27"/>
      <c r="V188" s="31">
        <f t="shared" si="4"/>
        <v>3</v>
      </c>
    </row>
    <row r="189" spans="1:22" ht="30" x14ac:dyDescent="0.3">
      <c r="A189" s="28">
        <f t="shared" si="5"/>
        <v>184</v>
      </c>
      <c r="B189" s="29" t="s">
        <v>227</v>
      </c>
      <c r="C189" s="30" t="s">
        <v>31</v>
      </c>
      <c r="D189" s="30" t="s">
        <v>323</v>
      </c>
      <c r="E189" s="31">
        <f>'[1]Week  (3)'!U189</f>
        <v>4</v>
      </c>
      <c r="F189" s="37"/>
      <c r="G189" s="38"/>
      <c r="H189" s="39"/>
      <c r="I189" s="38"/>
      <c r="J189" s="40"/>
      <c r="K189" s="38"/>
      <c r="L189" s="27"/>
      <c r="M189" s="25"/>
      <c r="N189" s="25"/>
      <c r="O189" s="25"/>
      <c r="P189" s="24"/>
      <c r="Q189" s="27"/>
      <c r="R189" s="27"/>
      <c r="S189" s="25"/>
      <c r="T189" s="27"/>
      <c r="U189" s="27"/>
      <c r="V189" s="31">
        <f t="shared" si="4"/>
        <v>4</v>
      </c>
    </row>
    <row r="190" spans="1:22" ht="30" x14ac:dyDescent="0.3">
      <c r="A190" s="28">
        <f t="shared" si="5"/>
        <v>185</v>
      </c>
      <c r="B190" s="29" t="s">
        <v>228</v>
      </c>
      <c r="C190" s="30" t="s">
        <v>31</v>
      </c>
      <c r="D190" s="30" t="s">
        <v>323</v>
      </c>
      <c r="E190" s="31">
        <f>'[1]Week  (3)'!U190</f>
        <v>3</v>
      </c>
      <c r="F190" s="32"/>
      <c r="G190" s="33"/>
      <c r="H190" s="34"/>
      <c r="I190" s="35"/>
      <c r="J190" s="24"/>
      <c r="K190" s="36"/>
      <c r="L190" s="27"/>
      <c r="M190" s="25"/>
      <c r="N190" s="25"/>
      <c r="O190" s="25"/>
      <c r="P190" s="24"/>
      <c r="Q190" s="27"/>
      <c r="R190" s="24"/>
      <c r="S190" s="27"/>
      <c r="T190" s="27"/>
      <c r="U190" s="27"/>
      <c r="V190" s="31">
        <f t="shared" si="4"/>
        <v>3</v>
      </c>
    </row>
    <row r="191" spans="1:22" ht="30" x14ac:dyDescent="0.3">
      <c r="A191" s="28">
        <f t="shared" si="5"/>
        <v>186</v>
      </c>
      <c r="B191" s="29" t="s">
        <v>229</v>
      </c>
      <c r="C191" s="30" t="s">
        <v>31</v>
      </c>
      <c r="D191" s="30" t="s">
        <v>323</v>
      </c>
      <c r="E191" s="31">
        <f>'[1]Week  (3)'!U191</f>
        <v>3</v>
      </c>
      <c r="F191" s="37"/>
      <c r="G191" s="38"/>
      <c r="H191" s="39"/>
      <c r="I191" s="38"/>
      <c r="J191" s="40"/>
      <c r="K191" s="38"/>
      <c r="L191" s="27"/>
      <c r="M191" s="25"/>
      <c r="N191" s="25"/>
      <c r="O191" s="25"/>
      <c r="P191" s="24"/>
      <c r="Q191" s="27"/>
      <c r="R191" s="27"/>
      <c r="S191" s="25"/>
      <c r="T191" s="27"/>
      <c r="U191" s="27"/>
      <c r="V191" s="31">
        <f t="shared" si="4"/>
        <v>3</v>
      </c>
    </row>
    <row r="192" spans="1:22" ht="30" x14ac:dyDescent="0.3">
      <c r="A192" s="28">
        <f t="shared" si="5"/>
        <v>187</v>
      </c>
      <c r="B192" s="29" t="s">
        <v>230</v>
      </c>
      <c r="C192" s="30" t="s">
        <v>31</v>
      </c>
      <c r="D192" s="30" t="s">
        <v>323</v>
      </c>
      <c r="E192" s="31">
        <f>'[1]Week  (3)'!U192</f>
        <v>0</v>
      </c>
      <c r="F192" s="32"/>
      <c r="G192" s="33"/>
      <c r="H192" s="34"/>
      <c r="I192" s="35"/>
      <c r="J192" s="24"/>
      <c r="K192" s="36"/>
      <c r="L192" s="27"/>
      <c r="M192" s="25"/>
      <c r="N192" s="25"/>
      <c r="O192" s="25"/>
      <c r="P192" s="24"/>
      <c r="Q192" s="27"/>
      <c r="R192" s="27"/>
      <c r="S192" s="25"/>
      <c r="T192" s="27"/>
      <c r="U192" s="27"/>
      <c r="V192" s="31">
        <f t="shared" si="4"/>
        <v>0</v>
      </c>
    </row>
    <row r="193" spans="1:22" ht="15" x14ac:dyDescent="0.3">
      <c r="A193" s="28">
        <f t="shared" si="5"/>
        <v>188</v>
      </c>
      <c r="B193" s="29" t="s">
        <v>231</v>
      </c>
      <c r="C193" s="30" t="s">
        <v>31</v>
      </c>
      <c r="D193" s="30" t="s">
        <v>323</v>
      </c>
      <c r="E193" s="31">
        <f>'[1]Week  (3)'!U193</f>
        <v>0</v>
      </c>
      <c r="F193" s="37"/>
      <c r="G193" s="38"/>
      <c r="H193" s="39"/>
      <c r="I193" s="38"/>
      <c r="J193" s="40"/>
      <c r="K193" s="38"/>
      <c r="L193" s="27"/>
      <c r="M193" s="25"/>
      <c r="N193" s="25"/>
      <c r="O193" s="25"/>
      <c r="P193" s="24"/>
      <c r="Q193" s="27"/>
      <c r="R193" s="27"/>
      <c r="S193" s="25"/>
      <c r="T193" s="27"/>
      <c r="U193" s="27"/>
      <c r="V193" s="31">
        <f t="shared" si="4"/>
        <v>0</v>
      </c>
    </row>
    <row r="194" spans="1:22" ht="15" x14ac:dyDescent="0.3">
      <c r="A194" s="28">
        <f t="shared" si="5"/>
        <v>189</v>
      </c>
      <c r="B194" s="29" t="s">
        <v>232</v>
      </c>
      <c r="C194" s="30" t="s">
        <v>70</v>
      </c>
      <c r="D194" s="30" t="s">
        <v>320</v>
      </c>
      <c r="E194" s="31">
        <f>'[1]Week  (3)'!U194</f>
        <v>3.9999999999999982</v>
      </c>
      <c r="F194" s="32"/>
      <c r="G194" s="33"/>
      <c r="H194" s="34"/>
      <c r="I194" s="53"/>
      <c r="J194" s="24"/>
      <c r="K194" s="25"/>
      <c r="L194" s="24"/>
      <c r="M194" s="25"/>
      <c r="N194" s="25"/>
      <c r="O194" s="25"/>
      <c r="P194" s="24"/>
      <c r="Q194" s="25"/>
      <c r="R194" s="25"/>
      <c r="S194" s="25"/>
      <c r="T194" s="27"/>
      <c r="U194" s="27"/>
      <c r="V194" s="31">
        <f t="shared" si="4"/>
        <v>3.9999999999999982</v>
      </c>
    </row>
    <row r="195" spans="1:22" ht="30" x14ac:dyDescent="0.3">
      <c r="A195" s="28">
        <f t="shared" si="5"/>
        <v>190</v>
      </c>
      <c r="B195" s="29" t="s">
        <v>233</v>
      </c>
      <c r="C195" s="30" t="s">
        <v>31</v>
      </c>
      <c r="D195" s="30" t="s">
        <v>324</v>
      </c>
      <c r="E195" s="31">
        <f>'[1]Week  (3)'!U195</f>
        <v>4</v>
      </c>
      <c r="F195" s="37"/>
      <c r="G195" s="38"/>
      <c r="H195" s="39"/>
      <c r="I195" s="38"/>
      <c r="J195" s="40"/>
      <c r="K195" s="38"/>
      <c r="L195" s="27"/>
      <c r="M195" s="25"/>
      <c r="N195" s="25"/>
      <c r="O195" s="25"/>
      <c r="P195" s="24"/>
      <c r="Q195" s="27"/>
      <c r="R195" s="27"/>
      <c r="S195" s="25"/>
      <c r="T195" s="27"/>
      <c r="U195" s="27"/>
      <c r="V195" s="31">
        <f t="shared" si="4"/>
        <v>4</v>
      </c>
    </row>
    <row r="196" spans="1:22" ht="30" x14ac:dyDescent="0.3">
      <c r="A196" s="28">
        <f t="shared" si="5"/>
        <v>191</v>
      </c>
      <c r="B196" s="29" t="s">
        <v>234</v>
      </c>
      <c r="C196" s="30" t="s">
        <v>145</v>
      </c>
      <c r="D196" s="30" t="s">
        <v>325</v>
      </c>
      <c r="E196" s="31">
        <f>'[1]Week  (3)'!U196</f>
        <v>3</v>
      </c>
      <c r="F196" s="32"/>
      <c r="G196" s="33"/>
      <c r="H196" s="34"/>
      <c r="I196" s="35"/>
      <c r="J196" s="24"/>
      <c r="K196" s="36"/>
      <c r="L196" s="27"/>
      <c r="M196" s="25"/>
      <c r="N196" s="25"/>
      <c r="O196" s="25"/>
      <c r="P196" s="24"/>
      <c r="Q196" s="27"/>
      <c r="R196" s="27"/>
      <c r="S196" s="25"/>
      <c r="T196" s="27"/>
      <c r="U196" s="27"/>
      <c r="V196" s="31">
        <f t="shared" si="4"/>
        <v>3</v>
      </c>
    </row>
    <row r="197" spans="1:22" ht="15" x14ac:dyDescent="0.3">
      <c r="A197" s="28">
        <f t="shared" si="5"/>
        <v>192</v>
      </c>
      <c r="B197" s="29" t="s">
        <v>235</v>
      </c>
      <c r="C197" s="30" t="s">
        <v>145</v>
      </c>
      <c r="D197" s="30" t="s">
        <v>320</v>
      </c>
      <c r="E197" s="31">
        <f>'[1]Week  (3)'!U197</f>
        <v>3</v>
      </c>
      <c r="F197" s="37"/>
      <c r="G197" s="38"/>
      <c r="H197" s="39"/>
      <c r="I197" s="38"/>
      <c r="J197" s="40"/>
      <c r="K197" s="38"/>
      <c r="L197" s="27"/>
      <c r="M197" s="25"/>
      <c r="N197" s="25"/>
      <c r="O197" s="25"/>
      <c r="P197" s="24"/>
      <c r="Q197" s="27"/>
      <c r="R197" s="27"/>
      <c r="S197" s="25"/>
      <c r="T197" s="27"/>
      <c r="U197" s="27"/>
      <c r="V197" s="31">
        <f t="shared" si="4"/>
        <v>3</v>
      </c>
    </row>
    <row r="198" spans="1:22" x14ac:dyDescent="0.2">
      <c r="A198" s="28">
        <f t="shared" si="5"/>
        <v>193</v>
      </c>
      <c r="B198" s="42" t="s">
        <v>236</v>
      </c>
      <c r="C198" s="61" t="s">
        <v>28</v>
      </c>
      <c r="D198" s="61" t="s">
        <v>324</v>
      </c>
      <c r="E198" s="31">
        <f>'[1]Week  (3)'!U198</f>
        <v>16</v>
      </c>
      <c r="F198" s="32"/>
      <c r="G198" s="33"/>
      <c r="H198" s="34"/>
      <c r="I198" s="35"/>
      <c r="J198" s="24"/>
      <c r="K198" s="36"/>
      <c r="L198" s="27"/>
      <c r="M198" s="25"/>
      <c r="N198" s="25"/>
      <c r="O198" s="25"/>
      <c r="P198" s="24"/>
      <c r="Q198" s="27"/>
      <c r="R198" s="27"/>
      <c r="S198" s="25"/>
      <c r="T198" s="27"/>
      <c r="U198" s="27"/>
      <c r="V198" s="31">
        <f t="shared" si="4"/>
        <v>16</v>
      </c>
    </row>
    <row r="199" spans="1:22" ht="15" x14ac:dyDescent="0.3">
      <c r="A199" s="28">
        <f t="shared" si="5"/>
        <v>194</v>
      </c>
      <c r="B199" s="29" t="s">
        <v>237</v>
      </c>
      <c r="C199" s="30" t="s">
        <v>20</v>
      </c>
      <c r="D199" s="30" t="s">
        <v>321</v>
      </c>
      <c r="E199" s="31">
        <f>'[1]Week  (3)'!U199</f>
        <v>7</v>
      </c>
      <c r="F199" s="37"/>
      <c r="G199" s="38"/>
      <c r="H199" s="39"/>
      <c r="I199" s="71"/>
      <c r="J199" s="40" t="s">
        <v>238</v>
      </c>
      <c r="K199" s="38">
        <v>1</v>
      </c>
      <c r="L199" s="24"/>
      <c r="M199" s="25"/>
      <c r="N199" s="25"/>
      <c r="O199" s="25"/>
      <c r="P199" s="24" t="s">
        <v>24</v>
      </c>
      <c r="Q199" s="27">
        <v>1</v>
      </c>
      <c r="R199" s="27"/>
      <c r="S199" s="25"/>
      <c r="T199" s="27"/>
      <c r="U199" s="27"/>
      <c r="V199" s="31">
        <f t="shared" si="4"/>
        <v>5</v>
      </c>
    </row>
    <row r="200" spans="1:22" ht="15" x14ac:dyDescent="0.3">
      <c r="A200" s="28">
        <f t="shared" ref="A200:A263" si="6">A199+1</f>
        <v>195</v>
      </c>
      <c r="B200" s="29" t="s">
        <v>239</v>
      </c>
      <c r="C200" s="30" t="s">
        <v>20</v>
      </c>
      <c r="D200" s="30" t="s">
        <v>321</v>
      </c>
      <c r="E200" s="31">
        <f>'[1]Week  (3)'!U200</f>
        <v>3</v>
      </c>
      <c r="F200" s="32"/>
      <c r="G200" s="33"/>
      <c r="H200" s="34"/>
      <c r="I200" s="72"/>
      <c r="J200" s="24"/>
      <c r="K200" s="36"/>
      <c r="L200" s="27"/>
      <c r="M200" s="25"/>
      <c r="N200" s="25"/>
      <c r="O200" s="25"/>
      <c r="P200" s="24"/>
      <c r="Q200" s="27"/>
      <c r="R200" s="27"/>
      <c r="S200" s="25"/>
      <c r="T200" s="27"/>
      <c r="U200" s="27"/>
      <c r="V200" s="31">
        <f t="shared" si="4"/>
        <v>3</v>
      </c>
    </row>
    <row r="201" spans="1:22" ht="30" x14ac:dyDescent="0.3">
      <c r="A201" s="28">
        <f t="shared" si="6"/>
        <v>196</v>
      </c>
      <c r="B201" s="29" t="s">
        <v>240</v>
      </c>
      <c r="C201" s="30" t="s">
        <v>31</v>
      </c>
      <c r="D201" s="30" t="s">
        <v>324</v>
      </c>
      <c r="E201" s="31">
        <f>'[1]Week  (3)'!U201</f>
        <v>7</v>
      </c>
      <c r="F201" s="37"/>
      <c r="G201" s="38"/>
      <c r="H201" s="39"/>
      <c r="I201" s="38"/>
      <c r="J201" s="40"/>
      <c r="K201" s="38"/>
      <c r="L201" s="27"/>
      <c r="M201" s="25"/>
      <c r="N201" s="25"/>
      <c r="O201" s="25"/>
      <c r="P201" s="24"/>
      <c r="Q201" s="27"/>
      <c r="R201" s="27"/>
      <c r="S201" s="25"/>
      <c r="T201" s="27"/>
      <c r="U201" s="27"/>
      <c r="V201" s="31">
        <f t="shared" si="4"/>
        <v>7</v>
      </c>
    </row>
    <row r="202" spans="1:22" ht="30" x14ac:dyDescent="0.3">
      <c r="A202" s="28">
        <f t="shared" si="6"/>
        <v>197</v>
      </c>
      <c r="B202" s="29" t="s">
        <v>241</v>
      </c>
      <c r="C202" s="30" t="s">
        <v>31</v>
      </c>
      <c r="D202" s="30" t="s">
        <v>324</v>
      </c>
      <c r="E202" s="31">
        <f>'[1]Week  (3)'!U202</f>
        <v>9</v>
      </c>
      <c r="F202" s="32"/>
      <c r="G202" s="33"/>
      <c r="H202" s="34"/>
      <c r="I202" s="35"/>
      <c r="J202" s="24"/>
      <c r="K202" s="36"/>
      <c r="L202" s="27"/>
      <c r="M202" s="25"/>
      <c r="N202" s="25"/>
      <c r="O202" s="25"/>
      <c r="P202" s="24"/>
      <c r="Q202" s="27"/>
      <c r="R202" s="27"/>
      <c r="S202" s="25"/>
      <c r="T202" s="27"/>
      <c r="U202" s="27"/>
      <c r="V202" s="31">
        <f t="shared" ref="V202:V265" si="7">E202+G202+-(I202+K202+M202+O202+Q202+S202+U202)</f>
        <v>9</v>
      </c>
    </row>
    <row r="203" spans="1:22" ht="30" x14ac:dyDescent="0.3">
      <c r="A203" s="28">
        <f t="shared" si="6"/>
        <v>198</v>
      </c>
      <c r="B203" s="29" t="s">
        <v>242</v>
      </c>
      <c r="C203" s="30" t="s">
        <v>31</v>
      </c>
      <c r="D203" s="30" t="s">
        <v>324</v>
      </c>
      <c r="E203" s="31">
        <f>'[1]Week  (3)'!U203</f>
        <v>12</v>
      </c>
      <c r="F203" s="37"/>
      <c r="G203" s="38"/>
      <c r="H203" s="39"/>
      <c r="I203" s="38"/>
      <c r="J203" s="40"/>
      <c r="K203" s="38"/>
      <c r="L203" s="27"/>
      <c r="M203" s="25"/>
      <c r="N203" s="25"/>
      <c r="O203" s="25"/>
      <c r="P203" s="24"/>
      <c r="Q203" s="27"/>
      <c r="R203" s="27"/>
      <c r="S203" s="25"/>
      <c r="T203" s="27"/>
      <c r="U203" s="27"/>
      <c r="V203" s="31">
        <f t="shared" si="7"/>
        <v>12</v>
      </c>
    </row>
    <row r="204" spans="1:22" ht="30" x14ac:dyDescent="0.3">
      <c r="A204" s="28">
        <f t="shared" si="6"/>
        <v>199</v>
      </c>
      <c r="B204" s="29" t="s">
        <v>243</v>
      </c>
      <c r="C204" s="30" t="s">
        <v>31</v>
      </c>
      <c r="D204" s="30" t="s">
        <v>324</v>
      </c>
      <c r="E204" s="31">
        <f>'[1]Week  (3)'!U204</f>
        <v>9</v>
      </c>
      <c r="F204" s="32"/>
      <c r="G204" s="33"/>
      <c r="H204" s="34"/>
      <c r="I204" s="35"/>
      <c r="J204" s="27"/>
      <c r="K204" s="36"/>
      <c r="L204" s="27"/>
      <c r="M204" s="36"/>
      <c r="N204" s="25"/>
      <c r="O204" s="25"/>
      <c r="P204" s="24"/>
      <c r="Q204" s="27"/>
      <c r="R204" s="27"/>
      <c r="S204" s="25"/>
      <c r="T204" s="27"/>
      <c r="U204" s="27"/>
      <c r="V204" s="31">
        <f t="shared" si="7"/>
        <v>9</v>
      </c>
    </row>
    <row r="205" spans="1:22" ht="30" x14ac:dyDescent="0.3">
      <c r="A205" s="28">
        <f t="shared" si="6"/>
        <v>200</v>
      </c>
      <c r="B205" s="29" t="s">
        <v>244</v>
      </c>
      <c r="C205" s="30" t="s">
        <v>31</v>
      </c>
      <c r="D205" s="30" t="s">
        <v>325</v>
      </c>
      <c r="E205" s="31">
        <f>'[1]Week  (3)'!U205</f>
        <v>3</v>
      </c>
      <c r="F205" s="37">
        <v>45985</v>
      </c>
      <c r="G205" s="38">
        <v>5</v>
      </c>
      <c r="H205" s="39"/>
      <c r="I205" s="38"/>
      <c r="J205" s="40"/>
      <c r="K205" s="38"/>
      <c r="L205" s="27"/>
      <c r="M205" s="25"/>
      <c r="N205" s="25" t="s">
        <v>141</v>
      </c>
      <c r="O205" s="25">
        <v>1</v>
      </c>
      <c r="P205" s="24"/>
      <c r="Q205" s="27"/>
      <c r="R205" s="27"/>
      <c r="S205" s="25"/>
      <c r="T205" s="27"/>
      <c r="U205" s="27"/>
      <c r="V205" s="31">
        <f t="shared" si="7"/>
        <v>7</v>
      </c>
    </row>
    <row r="206" spans="1:22" ht="15" x14ac:dyDescent="0.3">
      <c r="A206" s="28">
        <f t="shared" si="6"/>
        <v>201</v>
      </c>
      <c r="B206" s="29" t="s">
        <v>245</v>
      </c>
      <c r="C206" s="30" t="s">
        <v>31</v>
      </c>
      <c r="D206" s="30" t="s">
        <v>320</v>
      </c>
      <c r="E206" s="31">
        <f>'[1]Week  (3)'!U206</f>
        <v>1</v>
      </c>
      <c r="F206" s="32">
        <v>45985</v>
      </c>
      <c r="G206" s="33">
        <v>5</v>
      </c>
      <c r="H206" s="46"/>
      <c r="I206" s="35"/>
      <c r="J206" s="24"/>
      <c r="K206" s="36"/>
      <c r="L206" s="24"/>
      <c r="M206" s="25"/>
      <c r="N206" s="25" t="s">
        <v>176</v>
      </c>
      <c r="O206" s="25">
        <v>1</v>
      </c>
      <c r="P206" s="24"/>
      <c r="Q206" s="27"/>
      <c r="R206" s="27"/>
      <c r="S206" s="25"/>
      <c r="T206" s="27"/>
      <c r="U206" s="27"/>
      <c r="V206" s="31">
        <f t="shared" si="7"/>
        <v>5</v>
      </c>
    </row>
    <row r="207" spans="1:22" ht="15" x14ac:dyDescent="0.3">
      <c r="A207" s="28">
        <f t="shared" si="6"/>
        <v>202</v>
      </c>
      <c r="B207" s="29" t="s">
        <v>246</v>
      </c>
      <c r="C207" s="30" t="s">
        <v>31</v>
      </c>
      <c r="D207" s="30" t="s">
        <v>319</v>
      </c>
      <c r="E207" s="31">
        <f>'[1]Week  (3)'!U207</f>
        <v>9</v>
      </c>
      <c r="F207" s="37"/>
      <c r="G207" s="38"/>
      <c r="H207" s="39"/>
      <c r="I207" s="38"/>
      <c r="J207" s="40"/>
      <c r="K207" s="38"/>
      <c r="L207" s="27"/>
      <c r="M207" s="25"/>
      <c r="N207" s="25"/>
      <c r="O207" s="25"/>
      <c r="P207" s="24"/>
      <c r="Q207" s="27"/>
      <c r="R207" s="27"/>
      <c r="S207" s="25"/>
      <c r="T207" s="27"/>
      <c r="U207" s="27"/>
      <c r="V207" s="31">
        <f t="shared" si="7"/>
        <v>9</v>
      </c>
    </row>
    <row r="208" spans="1:22" ht="15" x14ac:dyDescent="0.3">
      <c r="A208" s="28">
        <f t="shared" si="6"/>
        <v>203</v>
      </c>
      <c r="B208" s="29" t="s">
        <v>247</v>
      </c>
      <c r="C208" s="30" t="s">
        <v>31</v>
      </c>
      <c r="D208" s="30" t="s">
        <v>319</v>
      </c>
      <c r="E208" s="31">
        <f>'[1]Week  (3)'!U208</f>
        <v>5</v>
      </c>
      <c r="F208" s="32"/>
      <c r="G208" s="33"/>
      <c r="H208" s="34"/>
      <c r="I208" s="35"/>
      <c r="J208" s="24"/>
      <c r="K208" s="36"/>
      <c r="L208" s="27"/>
      <c r="M208" s="25"/>
      <c r="N208" s="25"/>
      <c r="O208" s="25"/>
      <c r="P208" s="24"/>
      <c r="Q208" s="27"/>
      <c r="R208" s="27"/>
      <c r="S208" s="25"/>
      <c r="T208" s="27"/>
      <c r="U208" s="27"/>
      <c r="V208" s="31">
        <f t="shared" si="7"/>
        <v>5</v>
      </c>
    </row>
    <row r="209" spans="1:22" ht="15" x14ac:dyDescent="0.3">
      <c r="A209" s="28">
        <f t="shared" si="6"/>
        <v>204</v>
      </c>
      <c r="B209" s="29" t="s">
        <v>248</v>
      </c>
      <c r="C209" s="30" t="s">
        <v>31</v>
      </c>
      <c r="D209" s="30" t="s">
        <v>323</v>
      </c>
      <c r="E209" s="31">
        <f>'[1]Week  (3)'!U209</f>
        <v>20</v>
      </c>
      <c r="F209" s="37"/>
      <c r="G209" s="38"/>
      <c r="H209" s="39"/>
      <c r="I209" s="38"/>
      <c r="J209" s="40"/>
      <c r="K209" s="38"/>
      <c r="L209" s="27"/>
      <c r="M209" s="25"/>
      <c r="N209" s="25"/>
      <c r="O209" s="25"/>
      <c r="P209" s="24"/>
      <c r="Q209" s="27"/>
      <c r="R209" s="27"/>
      <c r="S209" s="25"/>
      <c r="T209" s="27"/>
      <c r="U209" s="27"/>
      <c r="V209" s="31">
        <f t="shared" si="7"/>
        <v>20</v>
      </c>
    </row>
    <row r="210" spans="1:22" ht="15" x14ac:dyDescent="0.3">
      <c r="A210" s="28">
        <f t="shared" si="6"/>
        <v>205</v>
      </c>
      <c r="B210" s="29" t="s">
        <v>249</v>
      </c>
      <c r="C210" s="30" t="s">
        <v>31</v>
      </c>
      <c r="D210" s="30" t="s">
        <v>323</v>
      </c>
      <c r="E210" s="31">
        <f>'[1]Week  (3)'!U210</f>
        <v>21</v>
      </c>
      <c r="F210" s="32"/>
      <c r="G210" s="33"/>
      <c r="H210" s="34"/>
      <c r="I210" s="35"/>
      <c r="J210" s="24"/>
      <c r="K210" s="36"/>
      <c r="L210" s="27"/>
      <c r="M210" s="25"/>
      <c r="N210" s="25"/>
      <c r="O210" s="25"/>
      <c r="P210" s="24"/>
      <c r="Q210" s="27"/>
      <c r="R210" s="27"/>
      <c r="S210" s="25"/>
      <c r="T210" s="27"/>
      <c r="U210" s="27"/>
      <c r="V210" s="31">
        <f t="shared" si="7"/>
        <v>21</v>
      </c>
    </row>
    <row r="211" spans="1:22" ht="30" x14ac:dyDescent="0.3">
      <c r="A211" s="28">
        <f t="shared" si="6"/>
        <v>206</v>
      </c>
      <c r="B211" s="58" t="s">
        <v>250</v>
      </c>
      <c r="C211" s="30" t="s">
        <v>31</v>
      </c>
      <c r="D211" s="30" t="s">
        <v>324</v>
      </c>
      <c r="E211" s="31">
        <f>'[1]Week  (3)'!U211</f>
        <v>5</v>
      </c>
      <c r="F211" s="37"/>
      <c r="G211" s="38"/>
      <c r="H211" s="39"/>
      <c r="I211" s="38"/>
      <c r="J211" s="40"/>
      <c r="K211" s="38"/>
      <c r="L211" s="27"/>
      <c r="M211" s="25"/>
      <c r="N211" s="25"/>
      <c r="O211" s="25"/>
      <c r="P211" s="24"/>
      <c r="Q211" s="27"/>
      <c r="R211" s="27"/>
      <c r="S211" s="25"/>
      <c r="T211" s="27"/>
      <c r="U211" s="27"/>
      <c r="V211" s="31">
        <f t="shared" si="7"/>
        <v>5</v>
      </c>
    </row>
    <row r="212" spans="1:22" ht="15" x14ac:dyDescent="0.3">
      <c r="A212" s="28">
        <f t="shared" si="6"/>
        <v>207</v>
      </c>
      <c r="B212" s="52" t="s">
        <v>251</v>
      </c>
      <c r="C212" s="30" t="s">
        <v>31</v>
      </c>
      <c r="D212" s="30" t="s">
        <v>325</v>
      </c>
      <c r="E212" s="31">
        <f>'[1]Week  (3)'!U212</f>
        <v>16</v>
      </c>
      <c r="F212" s="32"/>
      <c r="G212" s="33"/>
      <c r="H212" s="46"/>
      <c r="I212" s="35"/>
      <c r="J212" s="24"/>
      <c r="K212" s="36"/>
      <c r="L212" s="27"/>
      <c r="M212" s="25"/>
      <c r="N212" s="25"/>
      <c r="O212" s="25"/>
      <c r="P212" s="24"/>
      <c r="Q212" s="27"/>
      <c r="R212" s="27"/>
      <c r="S212" s="25"/>
      <c r="T212" s="27"/>
      <c r="U212" s="27"/>
      <c r="V212" s="31">
        <f t="shared" si="7"/>
        <v>16</v>
      </c>
    </row>
    <row r="213" spans="1:22" x14ac:dyDescent="0.2">
      <c r="A213" s="28">
        <f t="shared" si="6"/>
        <v>208</v>
      </c>
      <c r="B213" s="42" t="s">
        <v>252</v>
      </c>
      <c r="C213" s="61" t="s">
        <v>169</v>
      </c>
      <c r="D213" s="61" t="s">
        <v>327</v>
      </c>
      <c r="E213" s="31">
        <f>'[1]Week  (3)'!U213</f>
        <v>18</v>
      </c>
      <c r="F213" s="37"/>
      <c r="G213" s="38"/>
      <c r="H213" s="39"/>
      <c r="I213" s="38"/>
      <c r="J213" s="40"/>
      <c r="K213" s="38"/>
      <c r="L213" s="27"/>
      <c r="M213" s="25"/>
      <c r="N213" s="25"/>
      <c r="O213" s="25"/>
      <c r="P213" s="24"/>
      <c r="Q213" s="27"/>
      <c r="R213" s="27"/>
      <c r="S213" s="25"/>
      <c r="T213" s="27"/>
      <c r="U213" s="27"/>
      <c r="V213" s="31">
        <f t="shared" si="7"/>
        <v>18</v>
      </c>
    </row>
    <row r="214" spans="1:22" ht="15" x14ac:dyDescent="0.3">
      <c r="A214" s="28">
        <f t="shared" si="6"/>
        <v>209</v>
      </c>
      <c r="B214" s="52" t="s">
        <v>253</v>
      </c>
      <c r="C214" s="30" t="s">
        <v>31</v>
      </c>
      <c r="D214" s="30" t="s">
        <v>325</v>
      </c>
      <c r="E214" s="31">
        <f>'[1]Week  (3)'!U214</f>
        <v>0</v>
      </c>
      <c r="F214" s="32"/>
      <c r="G214" s="33"/>
      <c r="H214" s="34"/>
      <c r="I214" s="35"/>
      <c r="J214" s="24"/>
      <c r="K214" s="36"/>
      <c r="L214" s="27"/>
      <c r="M214" s="25"/>
      <c r="N214" s="25"/>
      <c r="O214" s="25"/>
      <c r="P214" s="24"/>
      <c r="Q214" s="27"/>
      <c r="R214" s="27"/>
      <c r="S214" s="25"/>
      <c r="T214" s="27"/>
      <c r="U214" s="27"/>
      <c r="V214" s="31">
        <f t="shared" si="7"/>
        <v>0</v>
      </c>
    </row>
    <row r="215" spans="1:22" ht="15" x14ac:dyDescent="0.3">
      <c r="A215" s="28">
        <f t="shared" si="6"/>
        <v>210</v>
      </c>
      <c r="B215" s="52" t="s">
        <v>254</v>
      </c>
      <c r="C215" s="30" t="s">
        <v>31</v>
      </c>
      <c r="D215" s="30" t="s">
        <v>321</v>
      </c>
      <c r="E215" s="31">
        <f>'[1]Week  (3)'!U215</f>
        <v>6</v>
      </c>
      <c r="F215" s="37"/>
      <c r="G215" s="38"/>
      <c r="H215" s="39"/>
      <c r="I215" s="38"/>
      <c r="J215" s="40"/>
      <c r="K215" s="38"/>
      <c r="L215" s="27"/>
      <c r="M215" s="25"/>
      <c r="N215" s="25" t="s">
        <v>141</v>
      </c>
      <c r="O215" s="25">
        <v>1</v>
      </c>
      <c r="P215" s="24"/>
      <c r="Q215" s="27"/>
      <c r="R215" s="24" t="s">
        <v>80</v>
      </c>
      <c r="S215" s="25">
        <v>1</v>
      </c>
      <c r="T215" s="27"/>
      <c r="U215" s="27"/>
      <c r="V215" s="31">
        <f t="shared" si="7"/>
        <v>4</v>
      </c>
    </row>
    <row r="216" spans="1:22" ht="15" x14ac:dyDescent="0.3">
      <c r="A216" s="28">
        <f t="shared" si="6"/>
        <v>211</v>
      </c>
      <c r="B216" s="52" t="s">
        <v>255</v>
      </c>
      <c r="C216" s="30" t="s">
        <v>31</v>
      </c>
      <c r="D216" s="30" t="s">
        <v>320</v>
      </c>
      <c r="E216" s="31">
        <f>'[1]Week  (3)'!U216</f>
        <v>3</v>
      </c>
      <c r="F216" s="32"/>
      <c r="G216" s="33"/>
      <c r="H216" s="34"/>
      <c r="I216" s="35"/>
      <c r="J216" s="24"/>
      <c r="K216" s="36"/>
      <c r="L216" s="24"/>
      <c r="M216" s="36"/>
      <c r="N216" s="25"/>
      <c r="O216" s="25"/>
      <c r="P216" s="24"/>
      <c r="Q216" s="27"/>
      <c r="R216" s="27"/>
      <c r="S216" s="25"/>
      <c r="T216" s="27"/>
      <c r="U216" s="27"/>
      <c r="V216" s="31">
        <f t="shared" si="7"/>
        <v>3</v>
      </c>
    </row>
    <row r="217" spans="1:22" ht="15" x14ac:dyDescent="0.3">
      <c r="A217" s="28">
        <f t="shared" si="6"/>
        <v>212</v>
      </c>
      <c r="B217" s="29" t="s">
        <v>256</v>
      </c>
      <c r="C217" s="30" t="s">
        <v>31</v>
      </c>
      <c r="D217" s="30" t="s">
        <v>320</v>
      </c>
      <c r="E217" s="31">
        <f>'[1]Week  (3)'!U217</f>
        <v>0</v>
      </c>
      <c r="F217" s="37">
        <v>45985</v>
      </c>
      <c r="G217" s="38">
        <v>40</v>
      </c>
      <c r="H217" s="64"/>
      <c r="I217" s="38"/>
      <c r="J217" s="40" t="s">
        <v>257</v>
      </c>
      <c r="K217" s="38">
        <v>1</v>
      </c>
      <c r="L217" s="24"/>
      <c r="M217" s="25"/>
      <c r="N217" s="25"/>
      <c r="O217" s="25"/>
      <c r="P217" s="24"/>
      <c r="Q217" s="27"/>
      <c r="R217" s="27" t="s">
        <v>80</v>
      </c>
      <c r="S217" s="25">
        <v>2</v>
      </c>
      <c r="T217" s="27"/>
      <c r="U217" s="27"/>
      <c r="V217" s="31">
        <f t="shared" si="7"/>
        <v>37</v>
      </c>
    </row>
    <row r="218" spans="1:22" ht="30" x14ac:dyDescent="0.3">
      <c r="A218" s="28">
        <f t="shared" si="6"/>
        <v>213</v>
      </c>
      <c r="B218" s="58" t="s">
        <v>258</v>
      </c>
      <c r="C218" s="30" t="s">
        <v>31</v>
      </c>
      <c r="D218" s="30" t="s">
        <v>324</v>
      </c>
      <c r="E218" s="31">
        <f>'[1]Week  (3)'!U218</f>
        <v>0</v>
      </c>
      <c r="F218" s="32"/>
      <c r="G218" s="33"/>
      <c r="H218" s="34"/>
      <c r="I218" s="35"/>
      <c r="J218" s="24"/>
      <c r="K218" s="36"/>
      <c r="L218" s="27"/>
      <c r="M218" s="25"/>
      <c r="N218" s="25"/>
      <c r="O218" s="25"/>
      <c r="P218" s="24"/>
      <c r="Q218" s="27"/>
      <c r="R218" s="27"/>
      <c r="S218" s="25"/>
      <c r="T218" s="27"/>
      <c r="U218" s="27"/>
      <c r="V218" s="31">
        <f t="shared" si="7"/>
        <v>0</v>
      </c>
    </row>
    <row r="219" spans="1:22" ht="30" x14ac:dyDescent="0.3">
      <c r="A219" s="28">
        <f t="shared" si="6"/>
        <v>214</v>
      </c>
      <c r="B219" s="42" t="s">
        <v>259</v>
      </c>
      <c r="C219" s="61" t="s">
        <v>28</v>
      </c>
      <c r="D219" s="30" t="s">
        <v>324</v>
      </c>
      <c r="E219" s="31">
        <f>'[1]Week  (3)'!U219</f>
        <v>14</v>
      </c>
      <c r="F219" s="37"/>
      <c r="G219" s="38"/>
      <c r="H219" s="39"/>
      <c r="I219" s="38"/>
      <c r="J219" s="40"/>
      <c r="K219" s="38"/>
      <c r="L219" s="27"/>
      <c r="M219" s="25"/>
      <c r="N219" s="25"/>
      <c r="O219" s="25"/>
      <c r="P219" s="24"/>
      <c r="Q219" s="27"/>
      <c r="R219" s="27"/>
      <c r="S219" s="25"/>
      <c r="T219" s="27"/>
      <c r="U219" s="27"/>
      <c r="V219" s="31">
        <f t="shared" si="7"/>
        <v>14</v>
      </c>
    </row>
    <row r="220" spans="1:22" ht="30" x14ac:dyDescent="0.3">
      <c r="A220" s="28">
        <f t="shared" si="6"/>
        <v>215</v>
      </c>
      <c r="B220" s="42" t="s">
        <v>260</v>
      </c>
      <c r="C220" s="61" t="s">
        <v>28</v>
      </c>
      <c r="D220" s="30" t="s">
        <v>324</v>
      </c>
      <c r="E220" s="31">
        <f>'[1]Week  (3)'!U220</f>
        <v>0</v>
      </c>
      <c r="F220" s="32"/>
      <c r="G220" s="33"/>
      <c r="H220" s="34"/>
      <c r="I220" s="35"/>
      <c r="J220" s="24"/>
      <c r="K220" s="36"/>
      <c r="L220" s="27"/>
      <c r="M220" s="25"/>
      <c r="N220" s="25"/>
      <c r="O220" s="25"/>
      <c r="P220" s="24"/>
      <c r="Q220" s="27"/>
      <c r="R220" s="27"/>
      <c r="S220" s="25"/>
      <c r="T220" s="27"/>
      <c r="U220" s="27"/>
      <c r="V220" s="31">
        <f t="shared" si="7"/>
        <v>0</v>
      </c>
    </row>
    <row r="221" spans="1:22" ht="30" x14ac:dyDescent="0.3">
      <c r="A221" s="28">
        <f t="shared" si="6"/>
        <v>216</v>
      </c>
      <c r="B221" s="42" t="s">
        <v>261</v>
      </c>
      <c r="C221" s="61" t="s">
        <v>28</v>
      </c>
      <c r="D221" s="30" t="s">
        <v>324</v>
      </c>
      <c r="E221" s="31">
        <f>'[1]Week  (3)'!U221</f>
        <v>20</v>
      </c>
      <c r="F221" s="37"/>
      <c r="G221" s="38"/>
      <c r="H221" s="39"/>
      <c r="I221" s="38"/>
      <c r="J221" s="40"/>
      <c r="K221" s="38"/>
      <c r="L221" s="27"/>
      <c r="M221" s="25"/>
      <c r="N221" s="25"/>
      <c r="O221" s="25"/>
      <c r="P221" s="24"/>
      <c r="Q221" s="27"/>
      <c r="R221" s="27"/>
      <c r="S221" s="25"/>
      <c r="T221" s="27"/>
      <c r="U221" s="27"/>
      <c r="V221" s="31">
        <f t="shared" si="7"/>
        <v>20</v>
      </c>
    </row>
    <row r="222" spans="1:22" ht="30" x14ac:dyDescent="0.3">
      <c r="A222" s="28">
        <f t="shared" si="6"/>
        <v>217</v>
      </c>
      <c r="B222" s="42" t="s">
        <v>262</v>
      </c>
      <c r="C222" s="61" t="s">
        <v>28</v>
      </c>
      <c r="D222" s="30" t="s">
        <v>324</v>
      </c>
      <c r="E222" s="31">
        <f>'[1]Week  (3)'!U222</f>
        <v>16</v>
      </c>
      <c r="F222" s="32"/>
      <c r="G222" s="33"/>
      <c r="H222" s="34"/>
      <c r="I222" s="35"/>
      <c r="J222" s="34"/>
      <c r="K222" s="35"/>
      <c r="L222" s="27"/>
      <c r="M222" s="25"/>
      <c r="N222" s="25"/>
      <c r="O222" s="25"/>
      <c r="P222" s="24"/>
      <c r="Q222" s="27"/>
      <c r="R222" s="27"/>
      <c r="S222" s="25"/>
      <c r="T222" s="27"/>
      <c r="U222" s="27"/>
      <c r="V222" s="31">
        <f t="shared" si="7"/>
        <v>16</v>
      </c>
    </row>
    <row r="223" spans="1:22" ht="30" x14ac:dyDescent="0.3">
      <c r="A223" s="28">
        <f t="shared" si="6"/>
        <v>218</v>
      </c>
      <c r="B223" s="29" t="s">
        <v>263</v>
      </c>
      <c r="C223" s="30" t="s">
        <v>31</v>
      </c>
      <c r="D223" s="30" t="s">
        <v>322</v>
      </c>
      <c r="E223" s="31">
        <f>'[1]Week  (3)'!U223</f>
        <v>1</v>
      </c>
      <c r="F223" s="37"/>
      <c r="G223" s="38"/>
      <c r="H223" s="39"/>
      <c r="I223" s="38"/>
      <c r="J223" s="40"/>
      <c r="K223" s="38"/>
      <c r="L223" s="27"/>
      <c r="M223" s="25"/>
      <c r="N223" s="25"/>
      <c r="O223" s="25"/>
      <c r="P223" s="24"/>
      <c r="Q223" s="27"/>
      <c r="R223" s="27"/>
      <c r="S223" s="25"/>
      <c r="T223" s="27"/>
      <c r="U223" s="27"/>
      <c r="V223" s="31">
        <f t="shared" si="7"/>
        <v>1</v>
      </c>
    </row>
    <row r="224" spans="1:22" ht="15" x14ac:dyDescent="0.3">
      <c r="A224" s="28">
        <f t="shared" si="6"/>
        <v>219</v>
      </c>
      <c r="B224" s="29" t="s">
        <v>264</v>
      </c>
      <c r="C224" s="30" t="s">
        <v>31</v>
      </c>
      <c r="D224" s="30" t="s">
        <v>323</v>
      </c>
      <c r="E224" s="31">
        <f>'[1]Week  (3)'!U224</f>
        <v>13</v>
      </c>
      <c r="F224" s="32"/>
      <c r="G224" s="33"/>
      <c r="H224" s="34"/>
      <c r="I224" s="35"/>
      <c r="J224" s="24"/>
      <c r="K224" s="36"/>
      <c r="L224" s="24"/>
      <c r="M224" s="25"/>
      <c r="N224" s="25"/>
      <c r="O224" s="25"/>
      <c r="P224" s="24"/>
      <c r="Q224" s="27"/>
      <c r="R224" s="24"/>
      <c r="S224" s="25"/>
      <c r="T224" s="27"/>
      <c r="U224" s="27"/>
      <c r="V224" s="31">
        <f t="shared" si="7"/>
        <v>13</v>
      </c>
    </row>
    <row r="225" spans="1:22" ht="15" x14ac:dyDescent="0.3">
      <c r="A225" s="28">
        <f t="shared" si="6"/>
        <v>220</v>
      </c>
      <c r="B225" s="65" t="s">
        <v>265</v>
      </c>
      <c r="C225" s="30" t="s">
        <v>31</v>
      </c>
      <c r="D225" s="30" t="s">
        <v>321</v>
      </c>
      <c r="E225" s="31">
        <f>'[1]Week  (3)'!U225</f>
        <v>1</v>
      </c>
      <c r="F225" s="37"/>
      <c r="G225" s="38"/>
      <c r="H225" s="39"/>
      <c r="I225" s="38"/>
      <c r="J225" s="40"/>
      <c r="K225" s="38"/>
      <c r="L225" s="27"/>
      <c r="M225" s="25"/>
      <c r="N225" s="25" t="s">
        <v>141</v>
      </c>
      <c r="O225" s="25">
        <v>1</v>
      </c>
      <c r="P225" s="24"/>
      <c r="Q225" s="27"/>
      <c r="R225" s="24" t="s">
        <v>80</v>
      </c>
      <c r="S225" s="25">
        <v>1</v>
      </c>
      <c r="T225" s="27"/>
      <c r="U225" s="27"/>
      <c r="V225" s="31">
        <f t="shared" si="7"/>
        <v>-1</v>
      </c>
    </row>
    <row r="226" spans="1:22" ht="15" x14ac:dyDescent="0.3">
      <c r="A226" s="28">
        <f t="shared" si="6"/>
        <v>221</v>
      </c>
      <c r="B226" s="29" t="s">
        <v>266</v>
      </c>
      <c r="C226" s="30" t="s">
        <v>31</v>
      </c>
      <c r="D226" s="30" t="s">
        <v>319</v>
      </c>
      <c r="E226" s="31">
        <f>'[1]Week  (3)'!U226</f>
        <v>0</v>
      </c>
      <c r="F226" s="32"/>
      <c r="G226" s="33"/>
      <c r="H226" s="34"/>
      <c r="I226" s="35"/>
      <c r="J226" s="24"/>
      <c r="K226" s="36"/>
      <c r="L226" s="24"/>
      <c r="M226" s="36"/>
      <c r="N226" s="25"/>
      <c r="O226" s="25"/>
      <c r="P226" s="24"/>
      <c r="Q226" s="27"/>
      <c r="R226" s="24"/>
      <c r="S226" s="36"/>
      <c r="T226" s="27"/>
      <c r="U226" s="27"/>
      <c r="V226" s="31">
        <f t="shared" si="7"/>
        <v>0</v>
      </c>
    </row>
    <row r="227" spans="1:22" ht="15" x14ac:dyDescent="0.3">
      <c r="A227" s="28">
        <f t="shared" si="6"/>
        <v>222</v>
      </c>
      <c r="B227" s="29" t="s">
        <v>267</v>
      </c>
      <c r="C227" s="30" t="s">
        <v>31</v>
      </c>
      <c r="D227" s="30" t="s">
        <v>323</v>
      </c>
      <c r="E227" s="31">
        <f>'[1]Week  (3)'!U227</f>
        <v>12</v>
      </c>
      <c r="F227" s="32"/>
      <c r="G227" s="38"/>
      <c r="H227" s="39"/>
      <c r="I227" s="38"/>
      <c r="J227" s="40"/>
      <c r="K227" s="38"/>
      <c r="L227" s="27"/>
      <c r="M227" s="25"/>
      <c r="N227" s="25"/>
      <c r="O227" s="25"/>
      <c r="P227" s="24"/>
      <c r="Q227" s="27"/>
      <c r="R227" s="27"/>
      <c r="S227" s="25"/>
      <c r="T227" s="27"/>
      <c r="U227" s="27"/>
      <c r="V227" s="31">
        <f t="shared" si="7"/>
        <v>12</v>
      </c>
    </row>
    <row r="228" spans="1:22" ht="15" x14ac:dyDescent="0.3">
      <c r="A228" s="28">
        <f t="shared" si="6"/>
        <v>223</v>
      </c>
      <c r="B228" s="29" t="s">
        <v>268</v>
      </c>
      <c r="C228" s="30" t="s">
        <v>31</v>
      </c>
      <c r="D228" s="30" t="s">
        <v>323</v>
      </c>
      <c r="E228" s="31">
        <f>'[1]Week  (3)'!U228</f>
        <v>4</v>
      </c>
      <c r="F228" s="32"/>
      <c r="G228" s="33"/>
      <c r="H228" s="34"/>
      <c r="I228" s="35"/>
      <c r="J228" s="24"/>
      <c r="K228" s="36"/>
      <c r="L228" s="27"/>
      <c r="M228" s="25"/>
      <c r="N228" s="25"/>
      <c r="O228" s="25"/>
      <c r="P228" s="24"/>
      <c r="Q228" s="27"/>
      <c r="R228" s="24"/>
      <c r="S228" s="25"/>
      <c r="T228" s="27"/>
      <c r="U228" s="27"/>
      <c r="V228" s="31">
        <f t="shared" si="7"/>
        <v>4</v>
      </c>
    </row>
    <row r="229" spans="1:22" ht="30" x14ac:dyDescent="0.3">
      <c r="A229" s="28">
        <f t="shared" si="6"/>
        <v>224</v>
      </c>
      <c r="B229" s="58" t="s">
        <v>269</v>
      </c>
      <c r="C229" s="30" t="s">
        <v>31</v>
      </c>
      <c r="D229" s="30" t="s">
        <v>324</v>
      </c>
      <c r="E229" s="31">
        <f>'[1]Week  (3)'!U229</f>
        <v>0</v>
      </c>
      <c r="F229" s="37"/>
      <c r="G229" s="38"/>
      <c r="H229" s="39"/>
      <c r="I229" s="38"/>
      <c r="J229" s="40"/>
      <c r="K229" s="38"/>
      <c r="L229" s="27"/>
      <c r="M229" s="25"/>
      <c r="N229" s="25"/>
      <c r="O229" s="25"/>
      <c r="P229" s="24"/>
      <c r="Q229" s="27"/>
      <c r="R229" s="27"/>
      <c r="S229" s="25"/>
      <c r="T229" s="27"/>
      <c r="U229" s="27"/>
      <c r="V229" s="31">
        <f t="shared" si="7"/>
        <v>0</v>
      </c>
    </row>
    <row r="230" spans="1:22" ht="30" x14ac:dyDescent="0.3">
      <c r="A230" s="28">
        <f t="shared" si="6"/>
        <v>225</v>
      </c>
      <c r="B230" s="58" t="s">
        <v>270</v>
      </c>
      <c r="C230" s="30" t="s">
        <v>31</v>
      </c>
      <c r="D230" s="30" t="s">
        <v>324</v>
      </c>
      <c r="E230" s="31">
        <f>'[1]Week  (3)'!U230</f>
        <v>0</v>
      </c>
      <c r="F230" s="32"/>
      <c r="G230" s="33"/>
      <c r="H230" s="34"/>
      <c r="I230" s="35"/>
      <c r="J230" s="24"/>
      <c r="K230" s="36"/>
      <c r="L230" s="27"/>
      <c r="M230" s="25"/>
      <c r="N230" s="25"/>
      <c r="O230" s="25"/>
      <c r="P230" s="24"/>
      <c r="Q230" s="27"/>
      <c r="R230" s="27"/>
      <c r="S230" s="25"/>
      <c r="T230" s="27"/>
      <c r="U230" s="27"/>
      <c r="V230" s="31">
        <f t="shared" si="7"/>
        <v>0</v>
      </c>
    </row>
    <row r="231" spans="1:22" ht="15" x14ac:dyDescent="0.3">
      <c r="A231" s="28">
        <f t="shared" si="6"/>
        <v>226</v>
      </c>
      <c r="B231" s="29" t="s">
        <v>271</v>
      </c>
      <c r="C231" s="30" t="s">
        <v>31</v>
      </c>
      <c r="D231" s="30" t="s">
        <v>323</v>
      </c>
      <c r="E231" s="31">
        <f>'[1]Week  (3)'!U231</f>
        <v>5</v>
      </c>
      <c r="F231" s="37"/>
      <c r="G231" s="38"/>
      <c r="H231" s="39"/>
      <c r="I231" s="38"/>
      <c r="J231" s="40"/>
      <c r="K231" s="38"/>
      <c r="L231" s="27"/>
      <c r="M231" s="25"/>
      <c r="N231" s="25"/>
      <c r="O231" s="25"/>
      <c r="P231" s="24" t="s">
        <v>272</v>
      </c>
      <c r="Q231" s="27">
        <v>1</v>
      </c>
      <c r="R231" s="27"/>
      <c r="S231" s="25"/>
      <c r="T231" s="27"/>
      <c r="U231" s="27"/>
      <c r="V231" s="31">
        <f t="shared" si="7"/>
        <v>4</v>
      </c>
    </row>
    <row r="232" spans="1:22" ht="15" x14ac:dyDescent="0.3">
      <c r="A232" s="28">
        <f t="shared" si="6"/>
        <v>227</v>
      </c>
      <c r="B232" s="29" t="s">
        <v>273</v>
      </c>
      <c r="C232" s="73" t="s">
        <v>31</v>
      </c>
      <c r="D232" s="73" t="s">
        <v>323</v>
      </c>
      <c r="E232" s="31">
        <f>'[1]Week  (3)'!U232</f>
        <v>19</v>
      </c>
      <c r="F232" s="32"/>
      <c r="G232" s="33"/>
      <c r="H232" s="34"/>
      <c r="I232" s="35"/>
      <c r="J232" s="24"/>
      <c r="K232" s="36"/>
      <c r="L232" s="27"/>
      <c r="M232" s="25"/>
      <c r="N232" s="25"/>
      <c r="O232" s="25"/>
      <c r="P232" s="24"/>
      <c r="Q232" s="27"/>
      <c r="R232" s="27"/>
      <c r="S232" s="25"/>
      <c r="T232" s="27"/>
      <c r="U232" s="27"/>
      <c r="V232" s="31">
        <f t="shared" si="7"/>
        <v>19</v>
      </c>
    </row>
    <row r="233" spans="1:22" ht="30" x14ac:dyDescent="0.3">
      <c r="A233" s="28">
        <f t="shared" si="6"/>
        <v>228</v>
      </c>
      <c r="B233" s="44" t="s">
        <v>274</v>
      </c>
      <c r="C233" s="74" t="s">
        <v>145</v>
      </c>
      <c r="D233" s="74" t="s">
        <v>324</v>
      </c>
      <c r="E233" s="31">
        <f>'[1]Week  (3)'!U233</f>
        <v>6</v>
      </c>
      <c r="F233" s="37"/>
      <c r="G233" s="38"/>
      <c r="H233" s="39"/>
      <c r="I233" s="38"/>
      <c r="J233" s="40"/>
      <c r="K233" s="38"/>
      <c r="L233" s="27"/>
      <c r="M233" s="25"/>
      <c r="N233" s="25"/>
      <c r="O233" s="25"/>
      <c r="P233" s="24"/>
      <c r="Q233" s="27"/>
      <c r="R233" s="27"/>
      <c r="S233" s="25"/>
      <c r="T233" s="27"/>
      <c r="U233" s="27"/>
      <c r="V233" s="31">
        <f t="shared" si="7"/>
        <v>6</v>
      </c>
    </row>
    <row r="234" spans="1:22" ht="30" x14ac:dyDescent="0.3">
      <c r="A234" s="28">
        <f t="shared" si="6"/>
        <v>229</v>
      </c>
      <c r="B234" s="29" t="s">
        <v>275</v>
      </c>
      <c r="C234" s="74" t="s">
        <v>145</v>
      </c>
      <c r="D234" s="74" t="s">
        <v>324</v>
      </c>
      <c r="E234" s="31">
        <f>'[1]Week  (3)'!U234</f>
        <v>0</v>
      </c>
      <c r="F234" s="32"/>
      <c r="G234" s="33"/>
      <c r="H234" s="34"/>
      <c r="I234" s="35"/>
      <c r="J234" s="24"/>
      <c r="K234" s="36"/>
      <c r="L234" s="27"/>
      <c r="M234" s="25"/>
      <c r="N234" s="25"/>
      <c r="O234" s="25"/>
      <c r="P234" s="24"/>
      <c r="Q234" s="27"/>
      <c r="R234" s="27"/>
      <c r="S234" s="25"/>
      <c r="T234" s="27"/>
      <c r="U234" s="27"/>
      <c r="V234" s="31">
        <f t="shared" si="7"/>
        <v>0</v>
      </c>
    </row>
    <row r="235" spans="1:22" ht="30" x14ac:dyDescent="0.3">
      <c r="A235" s="28">
        <f t="shared" si="6"/>
        <v>230</v>
      </c>
      <c r="B235" s="29" t="s">
        <v>276</v>
      </c>
      <c r="C235" s="74" t="s">
        <v>145</v>
      </c>
      <c r="D235" s="74" t="s">
        <v>324</v>
      </c>
      <c r="E235" s="31">
        <f>'[1]Week  (3)'!U235</f>
        <v>0</v>
      </c>
      <c r="F235" s="37"/>
      <c r="G235" s="38"/>
      <c r="H235" s="39"/>
      <c r="I235" s="38"/>
      <c r="J235" s="40"/>
      <c r="K235" s="38"/>
      <c r="L235" s="27"/>
      <c r="M235" s="25"/>
      <c r="N235" s="25"/>
      <c r="O235" s="25"/>
      <c r="P235" s="24"/>
      <c r="Q235" s="27"/>
      <c r="R235" s="27"/>
      <c r="S235" s="25"/>
      <c r="T235" s="27"/>
      <c r="U235" s="27"/>
      <c r="V235" s="31">
        <f t="shared" si="7"/>
        <v>0</v>
      </c>
    </row>
    <row r="236" spans="1:22" ht="30" x14ac:dyDescent="0.3">
      <c r="A236" s="28">
        <f t="shared" si="6"/>
        <v>231</v>
      </c>
      <c r="B236" s="29" t="s">
        <v>277</v>
      </c>
      <c r="C236" s="74" t="s">
        <v>145</v>
      </c>
      <c r="D236" s="74" t="s">
        <v>324</v>
      </c>
      <c r="E236" s="31">
        <f>'[1]Week  (3)'!U236</f>
        <v>16</v>
      </c>
      <c r="F236" s="32"/>
      <c r="G236" s="33"/>
      <c r="H236" s="34"/>
      <c r="I236" s="35"/>
      <c r="J236" s="24"/>
      <c r="K236" s="36"/>
      <c r="L236" s="27"/>
      <c r="M236" s="25"/>
      <c r="N236" s="25"/>
      <c r="O236" s="25"/>
      <c r="P236" s="24"/>
      <c r="Q236" s="27"/>
      <c r="R236" s="27"/>
      <c r="S236" s="25"/>
      <c r="T236" s="27"/>
      <c r="U236" s="27"/>
      <c r="V236" s="31">
        <f t="shared" si="7"/>
        <v>16</v>
      </c>
    </row>
    <row r="237" spans="1:22" ht="28.5" customHeight="1" x14ac:dyDescent="0.3">
      <c r="A237" s="28">
        <f t="shared" si="6"/>
        <v>232</v>
      </c>
      <c r="B237" s="29" t="s">
        <v>278</v>
      </c>
      <c r="C237" s="73" t="s">
        <v>31</v>
      </c>
      <c r="D237" s="74" t="s">
        <v>324</v>
      </c>
      <c r="E237" s="31">
        <f>'[1]Week  (3)'!U237</f>
        <v>9</v>
      </c>
      <c r="F237" s="37"/>
      <c r="G237" s="38"/>
      <c r="H237" s="34"/>
      <c r="I237" s="38"/>
      <c r="J237" s="40"/>
      <c r="K237" s="38"/>
      <c r="L237" s="27"/>
      <c r="M237" s="25"/>
      <c r="N237" s="25"/>
      <c r="O237" s="25"/>
      <c r="P237" s="24"/>
      <c r="Q237" s="27"/>
      <c r="R237" s="27"/>
      <c r="S237" s="25"/>
      <c r="T237" s="27"/>
      <c r="U237" s="27"/>
      <c r="V237" s="31">
        <f t="shared" si="7"/>
        <v>9</v>
      </c>
    </row>
    <row r="238" spans="1:22" ht="30" x14ac:dyDescent="0.3">
      <c r="A238" s="28">
        <f t="shared" si="6"/>
        <v>233</v>
      </c>
      <c r="B238" s="29" t="s">
        <v>279</v>
      </c>
      <c r="C238" s="73" t="s">
        <v>145</v>
      </c>
      <c r="D238" s="74" t="s">
        <v>324</v>
      </c>
      <c r="E238" s="31">
        <f>'[1]Week  (3)'!U238</f>
        <v>1</v>
      </c>
      <c r="F238" s="32"/>
      <c r="G238" s="33"/>
      <c r="H238" s="34"/>
      <c r="I238" s="35"/>
      <c r="J238" s="24"/>
      <c r="K238" s="36"/>
      <c r="L238" s="27"/>
      <c r="M238" s="25"/>
      <c r="N238" s="25"/>
      <c r="O238" s="25"/>
      <c r="P238" s="24"/>
      <c r="Q238" s="27"/>
      <c r="R238" s="27"/>
      <c r="S238" s="25"/>
      <c r="T238" s="27"/>
      <c r="U238" s="27"/>
      <c r="V238" s="31">
        <f t="shared" si="7"/>
        <v>1</v>
      </c>
    </row>
    <row r="239" spans="1:22" ht="30" x14ac:dyDescent="0.3">
      <c r="A239" s="28">
        <f t="shared" si="6"/>
        <v>234</v>
      </c>
      <c r="B239" s="29" t="s">
        <v>280</v>
      </c>
      <c r="C239" s="73" t="s">
        <v>145</v>
      </c>
      <c r="D239" s="74" t="s">
        <v>324</v>
      </c>
      <c r="E239" s="31">
        <f>'[1]Week  (3)'!U239</f>
        <v>0</v>
      </c>
      <c r="F239" s="37"/>
      <c r="G239" s="38"/>
      <c r="H239" s="39"/>
      <c r="I239" s="38"/>
      <c r="J239" s="40"/>
      <c r="K239" s="38"/>
      <c r="L239" s="27"/>
      <c r="M239" s="25"/>
      <c r="N239" s="25"/>
      <c r="O239" s="25"/>
      <c r="P239" s="24"/>
      <c r="Q239" s="27"/>
      <c r="R239" s="27"/>
      <c r="S239" s="25"/>
      <c r="T239" s="27"/>
      <c r="U239" s="27"/>
      <c r="V239" s="31">
        <f t="shared" si="7"/>
        <v>0</v>
      </c>
    </row>
    <row r="240" spans="1:22" ht="30" x14ac:dyDescent="0.3">
      <c r="A240" s="28">
        <f t="shared" si="6"/>
        <v>235</v>
      </c>
      <c r="B240" s="65" t="s">
        <v>281</v>
      </c>
      <c r="C240" s="73" t="s">
        <v>145</v>
      </c>
      <c r="D240" s="74" t="s">
        <v>324</v>
      </c>
      <c r="E240" s="31">
        <f>'[1]Week  (3)'!U240</f>
        <v>2</v>
      </c>
      <c r="F240" s="32"/>
      <c r="G240" s="33"/>
      <c r="H240" s="34"/>
      <c r="I240" s="35"/>
      <c r="J240" s="24"/>
      <c r="K240" s="36"/>
      <c r="L240" s="27"/>
      <c r="M240" s="25"/>
      <c r="N240" s="25"/>
      <c r="O240" s="25"/>
      <c r="P240" s="24"/>
      <c r="Q240" s="27"/>
      <c r="R240" s="27"/>
      <c r="S240" s="25"/>
      <c r="T240" s="27"/>
      <c r="U240" s="27"/>
      <c r="V240" s="31">
        <f t="shared" si="7"/>
        <v>2</v>
      </c>
    </row>
    <row r="241" spans="1:22" ht="30" x14ac:dyDescent="0.3">
      <c r="A241" s="28">
        <f t="shared" si="6"/>
        <v>236</v>
      </c>
      <c r="B241" s="65" t="s">
        <v>282</v>
      </c>
      <c r="C241" s="73" t="s">
        <v>145</v>
      </c>
      <c r="D241" s="74" t="s">
        <v>324</v>
      </c>
      <c r="E241" s="31">
        <f>'[1]Week  (3)'!U241</f>
        <v>0</v>
      </c>
      <c r="F241" s="37"/>
      <c r="G241" s="38"/>
      <c r="H241" s="39"/>
      <c r="I241" s="38"/>
      <c r="J241" s="40"/>
      <c r="K241" s="38"/>
      <c r="L241" s="27"/>
      <c r="M241" s="25"/>
      <c r="N241" s="25"/>
      <c r="O241" s="25"/>
      <c r="P241" s="24"/>
      <c r="Q241" s="27"/>
      <c r="R241" s="27"/>
      <c r="S241" s="25"/>
      <c r="T241" s="27"/>
      <c r="U241" s="27"/>
      <c r="V241" s="31">
        <f t="shared" si="7"/>
        <v>0</v>
      </c>
    </row>
    <row r="242" spans="1:22" ht="15" x14ac:dyDescent="0.3">
      <c r="A242" s="28">
        <f t="shared" si="6"/>
        <v>237</v>
      </c>
      <c r="B242" s="29" t="s">
        <v>283</v>
      </c>
      <c r="C242" s="73" t="s">
        <v>31</v>
      </c>
      <c r="D242" s="73" t="s">
        <v>320</v>
      </c>
      <c r="E242" s="31">
        <f>'[1]Week  (3)'!U242</f>
        <v>0</v>
      </c>
      <c r="F242" s="32"/>
      <c r="G242" s="33"/>
      <c r="H242" s="34"/>
      <c r="I242" s="35"/>
      <c r="J242" s="24"/>
      <c r="K242" s="36"/>
      <c r="L242" s="27"/>
      <c r="M242" s="25"/>
      <c r="N242" s="25"/>
      <c r="O242" s="25"/>
      <c r="P242" s="24"/>
      <c r="Q242" s="27"/>
      <c r="R242" s="27"/>
      <c r="S242" s="25"/>
      <c r="T242" s="27"/>
      <c r="U242" s="27"/>
      <c r="V242" s="31">
        <f t="shared" si="7"/>
        <v>0</v>
      </c>
    </row>
    <row r="243" spans="1:22" ht="30" x14ac:dyDescent="0.3">
      <c r="A243" s="28">
        <f t="shared" si="6"/>
        <v>238</v>
      </c>
      <c r="B243" s="29" t="s">
        <v>284</v>
      </c>
      <c r="C243" s="73" t="s">
        <v>31</v>
      </c>
      <c r="D243" s="73" t="s">
        <v>324</v>
      </c>
      <c r="E243" s="31">
        <f>'[1]Week  (3)'!U243</f>
        <v>0</v>
      </c>
      <c r="F243" s="37">
        <v>45985</v>
      </c>
      <c r="G243" s="38">
        <v>10</v>
      </c>
      <c r="H243" s="37"/>
      <c r="I243" s="38"/>
      <c r="J243" s="40"/>
      <c r="K243" s="38"/>
      <c r="L243" s="27"/>
      <c r="M243" s="25"/>
      <c r="N243" s="25"/>
      <c r="O243" s="25"/>
      <c r="P243" s="24"/>
      <c r="Q243" s="27"/>
      <c r="R243" s="27"/>
      <c r="S243" s="25"/>
      <c r="T243" s="27"/>
      <c r="U243" s="27"/>
      <c r="V243" s="31">
        <f t="shared" si="7"/>
        <v>10</v>
      </c>
    </row>
    <row r="244" spans="1:22" ht="30" x14ac:dyDescent="0.3">
      <c r="A244" s="28">
        <f t="shared" si="6"/>
        <v>239</v>
      </c>
      <c r="B244" s="42" t="s">
        <v>285</v>
      </c>
      <c r="C244" s="27" t="s">
        <v>28</v>
      </c>
      <c r="D244" s="73" t="s">
        <v>324</v>
      </c>
      <c r="E244" s="31">
        <f>'[1]Week  (3)'!U244</f>
        <v>10</v>
      </c>
      <c r="F244" s="32"/>
      <c r="G244" s="33"/>
      <c r="H244" s="34"/>
      <c r="I244" s="35"/>
      <c r="J244" s="24"/>
      <c r="K244" s="36"/>
      <c r="L244" s="27"/>
      <c r="M244" s="25"/>
      <c r="N244" s="25"/>
      <c r="O244" s="25"/>
      <c r="P244" s="24"/>
      <c r="Q244" s="27"/>
      <c r="R244" s="27"/>
      <c r="S244" s="25"/>
      <c r="T244" s="27"/>
      <c r="U244" s="27"/>
      <c r="V244" s="31">
        <f t="shared" si="7"/>
        <v>10</v>
      </c>
    </row>
    <row r="245" spans="1:22" ht="30" x14ac:dyDescent="0.3">
      <c r="A245" s="28">
        <f t="shared" si="6"/>
        <v>240</v>
      </c>
      <c r="B245" s="29" t="s">
        <v>286</v>
      </c>
      <c r="C245" s="73" t="s">
        <v>31</v>
      </c>
      <c r="D245" s="73" t="s">
        <v>324</v>
      </c>
      <c r="E245" s="31">
        <f>'[1]Week  (3)'!U245</f>
        <v>0</v>
      </c>
      <c r="F245" s="37"/>
      <c r="G245" s="38"/>
      <c r="H245" s="39"/>
      <c r="I245" s="38"/>
      <c r="J245" s="40"/>
      <c r="K245" s="38"/>
      <c r="L245" s="27"/>
      <c r="M245" s="25"/>
      <c r="N245" s="25"/>
      <c r="O245" s="25"/>
      <c r="P245" s="24"/>
      <c r="Q245" s="27"/>
      <c r="R245" s="27"/>
      <c r="S245" s="25"/>
      <c r="T245" s="27"/>
      <c r="U245" s="27"/>
      <c r="V245" s="31">
        <f t="shared" si="7"/>
        <v>0</v>
      </c>
    </row>
    <row r="246" spans="1:22" x14ac:dyDescent="0.2">
      <c r="A246" s="28">
        <f t="shared" si="6"/>
        <v>241</v>
      </c>
      <c r="B246" s="42" t="s">
        <v>287</v>
      </c>
      <c r="C246" s="27" t="s">
        <v>28</v>
      </c>
      <c r="D246" s="27" t="s">
        <v>324</v>
      </c>
      <c r="E246" s="31">
        <f>'[1]Week  (3)'!U246</f>
        <v>10</v>
      </c>
      <c r="F246" s="32"/>
      <c r="G246" s="33"/>
      <c r="H246" s="34"/>
      <c r="I246" s="35"/>
      <c r="J246" s="24"/>
      <c r="K246" s="36"/>
      <c r="L246" s="27"/>
      <c r="M246" s="25"/>
      <c r="N246" s="25"/>
      <c r="O246" s="25"/>
      <c r="P246" s="24"/>
      <c r="Q246" s="27"/>
      <c r="R246" s="27"/>
      <c r="S246" s="25"/>
      <c r="T246" s="27"/>
      <c r="U246" s="27"/>
      <c r="V246" s="31">
        <f t="shared" si="7"/>
        <v>10</v>
      </c>
    </row>
    <row r="247" spans="1:22" x14ac:dyDescent="0.2">
      <c r="A247" s="28">
        <f t="shared" si="6"/>
        <v>242</v>
      </c>
      <c r="B247" s="42" t="s">
        <v>288</v>
      </c>
      <c r="C247" s="27" t="s">
        <v>28</v>
      </c>
      <c r="D247" s="27" t="s">
        <v>324</v>
      </c>
      <c r="E247" s="31">
        <f>'[1]Week  (3)'!U247</f>
        <v>15</v>
      </c>
      <c r="F247" s="32"/>
      <c r="G247" s="38"/>
      <c r="H247" s="39"/>
      <c r="I247" s="38"/>
      <c r="J247" s="40"/>
      <c r="K247" s="38"/>
      <c r="L247" s="27"/>
      <c r="M247" s="25"/>
      <c r="N247" s="25"/>
      <c r="O247" s="25"/>
      <c r="P247" s="24"/>
      <c r="Q247" s="27"/>
      <c r="R247" s="27"/>
      <c r="S247" s="25"/>
      <c r="T247" s="27"/>
      <c r="U247" s="27"/>
      <c r="V247" s="31">
        <f t="shared" si="7"/>
        <v>15</v>
      </c>
    </row>
    <row r="248" spans="1:22" x14ac:dyDescent="0.2">
      <c r="A248" s="28">
        <f t="shared" si="6"/>
        <v>243</v>
      </c>
      <c r="B248" s="42" t="s">
        <v>289</v>
      </c>
      <c r="C248" s="27" t="s">
        <v>28</v>
      </c>
      <c r="D248" s="27" t="s">
        <v>324</v>
      </c>
      <c r="E248" s="31">
        <f>'[1]Week  (3)'!U248</f>
        <v>30</v>
      </c>
      <c r="F248" s="32"/>
      <c r="G248" s="33"/>
      <c r="H248" s="34"/>
      <c r="I248" s="35"/>
      <c r="J248" s="24"/>
      <c r="K248" s="36"/>
      <c r="L248" s="27"/>
      <c r="M248" s="25"/>
      <c r="N248" s="25"/>
      <c r="O248" s="25"/>
      <c r="P248" s="24"/>
      <c r="Q248" s="27"/>
      <c r="R248" s="27"/>
      <c r="S248" s="25"/>
      <c r="T248" s="27"/>
      <c r="U248" s="27"/>
      <c r="V248" s="31">
        <f t="shared" si="7"/>
        <v>30</v>
      </c>
    </row>
    <row r="249" spans="1:22" x14ac:dyDescent="0.2">
      <c r="A249" s="28">
        <f t="shared" si="6"/>
        <v>244</v>
      </c>
      <c r="B249" s="42" t="s">
        <v>290</v>
      </c>
      <c r="C249" s="27" t="s">
        <v>28</v>
      </c>
      <c r="D249" s="27" t="s">
        <v>324</v>
      </c>
      <c r="E249" s="31">
        <f>'[1]Week  (3)'!U249</f>
        <v>8</v>
      </c>
      <c r="F249" s="37"/>
      <c r="G249" s="38"/>
      <c r="H249" s="39"/>
      <c r="I249" s="38"/>
      <c r="J249" s="40"/>
      <c r="K249" s="38"/>
      <c r="L249" s="27"/>
      <c r="M249" s="25"/>
      <c r="N249" s="25"/>
      <c r="O249" s="25"/>
      <c r="P249" s="24"/>
      <c r="Q249" s="27"/>
      <c r="R249" s="27"/>
      <c r="S249" s="25"/>
      <c r="T249" s="27"/>
      <c r="U249" s="27"/>
      <c r="V249" s="31">
        <f t="shared" si="7"/>
        <v>8</v>
      </c>
    </row>
    <row r="250" spans="1:22" ht="15" x14ac:dyDescent="0.3">
      <c r="A250" s="28">
        <f t="shared" si="6"/>
        <v>245</v>
      </c>
      <c r="B250" s="44" t="s">
        <v>291</v>
      </c>
      <c r="C250" s="74" t="s">
        <v>31</v>
      </c>
      <c r="D250" s="74" t="s">
        <v>323</v>
      </c>
      <c r="E250" s="31">
        <f>'[1]Week  (3)'!U250</f>
        <v>5</v>
      </c>
      <c r="F250" s="32"/>
      <c r="G250" s="33"/>
      <c r="H250" s="34"/>
      <c r="I250" s="35"/>
      <c r="J250" s="24"/>
      <c r="K250" s="36"/>
      <c r="L250" s="27"/>
      <c r="M250" s="25"/>
      <c r="N250" s="25"/>
      <c r="O250" s="25"/>
      <c r="P250" s="24"/>
      <c r="Q250" s="27"/>
      <c r="R250" s="27"/>
      <c r="S250" s="25"/>
      <c r="T250" s="27"/>
      <c r="U250" s="27"/>
      <c r="V250" s="31">
        <f t="shared" si="7"/>
        <v>5</v>
      </c>
    </row>
    <row r="251" spans="1:22" ht="15" x14ac:dyDescent="0.3">
      <c r="A251" s="28">
        <f t="shared" si="6"/>
        <v>246</v>
      </c>
      <c r="B251" s="44" t="s">
        <v>292</v>
      </c>
      <c r="C251" s="74" t="s">
        <v>145</v>
      </c>
      <c r="D251" s="74" t="s">
        <v>320</v>
      </c>
      <c r="E251" s="31">
        <f>'[1]Week  (3)'!U251</f>
        <v>1</v>
      </c>
      <c r="F251" s="37">
        <v>45985</v>
      </c>
      <c r="G251" s="38">
        <v>5</v>
      </c>
      <c r="H251" s="39"/>
      <c r="I251" s="38"/>
      <c r="J251" s="40"/>
      <c r="K251" s="38"/>
      <c r="L251" s="27"/>
      <c r="M251" s="25"/>
      <c r="N251" s="25"/>
      <c r="O251" s="25"/>
      <c r="P251" s="24"/>
      <c r="Q251" s="27"/>
      <c r="R251" s="27"/>
      <c r="S251" s="25"/>
      <c r="T251" s="27"/>
      <c r="U251" s="27"/>
      <c r="V251" s="31">
        <f t="shared" si="7"/>
        <v>6</v>
      </c>
    </row>
    <row r="252" spans="1:22" ht="60" customHeight="1" x14ac:dyDescent="0.3">
      <c r="A252" s="28">
        <f t="shared" si="6"/>
        <v>247</v>
      </c>
      <c r="B252" s="65" t="s">
        <v>293</v>
      </c>
      <c r="C252" s="74" t="s">
        <v>294</v>
      </c>
      <c r="D252" s="74" t="s">
        <v>321</v>
      </c>
      <c r="E252" s="31">
        <f>'[1]Week  (3)'!U252</f>
        <v>36</v>
      </c>
      <c r="F252" s="55"/>
      <c r="G252" s="33"/>
      <c r="H252" s="24"/>
      <c r="I252" s="27"/>
      <c r="J252" s="24"/>
      <c r="K252" s="27"/>
      <c r="L252" s="24"/>
      <c r="M252" s="27"/>
      <c r="N252" s="24"/>
      <c r="O252" s="27"/>
      <c r="P252" s="24"/>
      <c r="Q252" s="75"/>
      <c r="R252" s="24"/>
      <c r="S252" s="75"/>
      <c r="T252" s="27"/>
      <c r="U252" s="27"/>
      <c r="V252" s="31">
        <f t="shared" si="7"/>
        <v>36</v>
      </c>
    </row>
    <row r="253" spans="1:22" ht="15" x14ac:dyDescent="0.3">
      <c r="A253" s="28">
        <f t="shared" si="6"/>
        <v>248</v>
      </c>
      <c r="B253" s="29" t="s">
        <v>295</v>
      </c>
      <c r="C253" s="73" t="s">
        <v>31</v>
      </c>
      <c r="D253" s="73" t="s">
        <v>322</v>
      </c>
      <c r="E253" s="31">
        <f>'[1]Week  (3)'!U253</f>
        <v>0</v>
      </c>
      <c r="F253" s="37"/>
      <c r="G253" s="38"/>
      <c r="H253" s="39"/>
      <c r="I253" s="38"/>
      <c r="J253" s="40"/>
      <c r="K253" s="38"/>
      <c r="L253" s="27"/>
      <c r="M253" s="25"/>
      <c r="N253" s="25"/>
      <c r="O253" s="25"/>
      <c r="P253" s="24"/>
      <c r="Q253" s="27"/>
      <c r="R253" s="27"/>
      <c r="S253" s="25"/>
      <c r="T253" s="27"/>
      <c r="U253" s="27"/>
      <c r="V253" s="31">
        <f t="shared" si="7"/>
        <v>0</v>
      </c>
    </row>
    <row r="254" spans="1:22" ht="15" x14ac:dyDescent="0.3">
      <c r="A254" s="28">
        <f t="shared" si="6"/>
        <v>249</v>
      </c>
      <c r="B254" s="29" t="s">
        <v>296</v>
      </c>
      <c r="C254" s="73" t="s">
        <v>31</v>
      </c>
      <c r="D254" s="73" t="s">
        <v>322</v>
      </c>
      <c r="E254" s="31">
        <f>'[1]Week  (3)'!U254</f>
        <v>19</v>
      </c>
      <c r="F254" s="32"/>
      <c r="G254" s="33"/>
      <c r="H254" s="34"/>
      <c r="I254" s="35"/>
      <c r="J254" s="24"/>
      <c r="K254" s="36"/>
      <c r="L254" s="27"/>
      <c r="M254" s="25"/>
      <c r="N254" s="25"/>
      <c r="O254" s="25"/>
      <c r="P254" s="24"/>
      <c r="Q254" s="27"/>
      <c r="R254" s="27"/>
      <c r="S254" s="25"/>
      <c r="T254" s="27"/>
      <c r="U254" s="27"/>
      <c r="V254" s="31">
        <f t="shared" si="7"/>
        <v>19</v>
      </c>
    </row>
    <row r="255" spans="1:22" ht="15" x14ac:dyDescent="0.3">
      <c r="A255" s="28">
        <f t="shared" si="6"/>
        <v>250</v>
      </c>
      <c r="B255" s="29" t="s">
        <v>297</v>
      </c>
      <c r="C255" s="73" t="s">
        <v>31</v>
      </c>
      <c r="D255" s="73" t="s">
        <v>322</v>
      </c>
      <c r="E255" s="31">
        <f>'[1]Week  (3)'!U255</f>
        <v>0</v>
      </c>
      <c r="F255" s="37"/>
      <c r="G255" s="38"/>
      <c r="H255" s="39"/>
      <c r="I255" s="38"/>
      <c r="J255" s="40"/>
      <c r="K255" s="38"/>
      <c r="L255" s="27"/>
      <c r="M255" s="25"/>
      <c r="N255" s="25"/>
      <c r="O255" s="25"/>
      <c r="P255" s="24"/>
      <c r="Q255" s="27"/>
      <c r="R255" s="27"/>
      <c r="S255" s="25"/>
      <c r="T255" s="27"/>
      <c r="U255" s="27"/>
      <c r="V255" s="31">
        <f t="shared" si="7"/>
        <v>0</v>
      </c>
    </row>
    <row r="256" spans="1:22" ht="15" x14ac:dyDescent="0.3">
      <c r="A256" s="28">
        <f t="shared" si="6"/>
        <v>251</v>
      </c>
      <c r="B256" s="44" t="s">
        <v>298</v>
      </c>
      <c r="C256" s="76" t="s">
        <v>31</v>
      </c>
      <c r="D256" s="73" t="s">
        <v>322</v>
      </c>
      <c r="E256" s="31">
        <f>'[1]Week  (3)'!U256</f>
        <v>0</v>
      </c>
      <c r="F256" s="32"/>
      <c r="G256" s="33"/>
      <c r="H256" s="34"/>
      <c r="I256" s="35"/>
      <c r="J256" s="24"/>
      <c r="K256" s="36"/>
      <c r="L256" s="27"/>
      <c r="M256" s="25"/>
      <c r="N256" s="25"/>
      <c r="O256" s="25"/>
      <c r="P256" s="24"/>
      <c r="Q256" s="27"/>
      <c r="R256" s="27"/>
      <c r="S256" s="25"/>
      <c r="T256" s="27"/>
      <c r="U256" s="27"/>
      <c r="V256" s="31">
        <f t="shared" si="7"/>
        <v>0</v>
      </c>
    </row>
    <row r="257" spans="1:22" ht="15" x14ac:dyDescent="0.3">
      <c r="A257" s="28">
        <f t="shared" si="6"/>
        <v>252</v>
      </c>
      <c r="B257" s="29" t="s">
        <v>299</v>
      </c>
      <c r="C257" s="76" t="s">
        <v>31</v>
      </c>
      <c r="D257" s="73" t="s">
        <v>322</v>
      </c>
      <c r="E257" s="31">
        <f>'[1]Week  (3)'!U257</f>
        <v>2</v>
      </c>
      <c r="F257" s="37"/>
      <c r="G257" s="38"/>
      <c r="H257" s="39"/>
      <c r="I257" s="38"/>
      <c r="J257" s="40"/>
      <c r="K257" s="38"/>
      <c r="L257" s="27"/>
      <c r="M257" s="25"/>
      <c r="N257" s="25"/>
      <c r="O257" s="25"/>
      <c r="P257" s="24"/>
      <c r="Q257" s="27"/>
      <c r="R257" s="27"/>
      <c r="S257" s="25"/>
      <c r="T257" s="27"/>
      <c r="U257" s="27"/>
      <c r="V257" s="31">
        <f t="shared" si="7"/>
        <v>2</v>
      </c>
    </row>
    <row r="258" spans="1:22" ht="15" x14ac:dyDescent="0.3">
      <c r="A258" s="28">
        <f t="shared" si="6"/>
        <v>253</v>
      </c>
      <c r="B258" s="29" t="s">
        <v>300</v>
      </c>
      <c r="C258" s="77" t="s">
        <v>31</v>
      </c>
      <c r="D258" s="73" t="s">
        <v>322</v>
      </c>
      <c r="E258" s="31">
        <f>'[1]Week  (3)'!U258</f>
        <v>2</v>
      </c>
      <c r="F258" s="32"/>
      <c r="G258" s="33"/>
      <c r="H258" s="34"/>
      <c r="I258" s="35"/>
      <c r="J258" s="24"/>
      <c r="K258" s="36"/>
      <c r="L258" s="27"/>
      <c r="M258" s="25"/>
      <c r="N258" s="25"/>
      <c r="O258" s="25"/>
      <c r="P258" s="24"/>
      <c r="Q258" s="27"/>
      <c r="R258" s="27"/>
      <c r="S258" s="25"/>
      <c r="T258" s="27"/>
      <c r="U258" s="27"/>
      <c r="V258" s="31">
        <f t="shared" si="7"/>
        <v>2</v>
      </c>
    </row>
    <row r="259" spans="1:22" ht="15" x14ac:dyDescent="0.3">
      <c r="A259" s="28">
        <f t="shared" si="6"/>
        <v>254</v>
      </c>
      <c r="B259" s="29" t="s">
        <v>301</v>
      </c>
      <c r="C259" s="77" t="s">
        <v>145</v>
      </c>
      <c r="D259" s="77"/>
      <c r="E259" s="31">
        <f>'[1]Week  (3)'!U259</f>
        <v>2</v>
      </c>
      <c r="F259" s="66">
        <v>45985</v>
      </c>
      <c r="G259" s="38">
        <v>5</v>
      </c>
      <c r="H259" s="39"/>
      <c r="I259" s="38"/>
      <c r="J259" s="40"/>
      <c r="K259" s="38"/>
      <c r="L259" s="27"/>
      <c r="M259" s="25"/>
      <c r="N259" s="78"/>
      <c r="O259" s="25"/>
      <c r="P259" s="24"/>
      <c r="Q259" s="27"/>
      <c r="R259" s="27"/>
      <c r="S259" s="25"/>
      <c r="T259" s="27"/>
      <c r="U259" s="27"/>
      <c r="V259" s="31">
        <f t="shared" si="7"/>
        <v>7</v>
      </c>
    </row>
    <row r="260" spans="1:22" ht="15" x14ac:dyDescent="0.3">
      <c r="A260" s="28">
        <f t="shared" si="6"/>
        <v>255</v>
      </c>
      <c r="B260" s="29" t="s">
        <v>302</v>
      </c>
      <c r="C260" s="77" t="s">
        <v>31</v>
      </c>
      <c r="D260" s="77" t="s">
        <v>322</v>
      </c>
      <c r="E260" s="31">
        <f>'[1]Week  (3)'!U260</f>
        <v>23</v>
      </c>
      <c r="F260" s="32"/>
      <c r="G260" s="33"/>
      <c r="H260" s="46"/>
      <c r="I260" s="35"/>
      <c r="J260" s="24"/>
      <c r="K260" s="36"/>
      <c r="L260" s="27"/>
      <c r="M260" s="25"/>
      <c r="N260" s="25"/>
      <c r="O260" s="25"/>
      <c r="P260" s="24"/>
      <c r="Q260" s="27"/>
      <c r="R260" s="24"/>
      <c r="S260" s="27"/>
      <c r="T260" s="27"/>
      <c r="U260" s="27"/>
      <c r="V260" s="31">
        <f t="shared" si="7"/>
        <v>23</v>
      </c>
    </row>
    <row r="261" spans="1:22" ht="15" x14ac:dyDescent="0.3">
      <c r="A261" s="28">
        <f t="shared" si="6"/>
        <v>256</v>
      </c>
      <c r="B261" s="29" t="s">
        <v>303</v>
      </c>
      <c r="C261" s="77" t="s">
        <v>31</v>
      </c>
      <c r="D261" s="77" t="s">
        <v>322</v>
      </c>
      <c r="E261" s="31">
        <f>'[1]Week  (3)'!U261</f>
        <v>53</v>
      </c>
      <c r="F261" s="37"/>
      <c r="G261" s="38"/>
      <c r="H261" s="39"/>
      <c r="I261" s="38"/>
      <c r="J261" s="40"/>
      <c r="K261" s="38"/>
      <c r="L261" s="27"/>
      <c r="M261" s="25"/>
      <c r="N261" s="25"/>
      <c r="O261" s="25"/>
      <c r="P261" s="24"/>
      <c r="Q261" s="27"/>
      <c r="R261" s="27"/>
      <c r="S261" s="25"/>
      <c r="T261" s="27"/>
      <c r="U261" s="27"/>
      <c r="V261" s="31">
        <f t="shared" si="7"/>
        <v>53</v>
      </c>
    </row>
    <row r="262" spans="1:22" ht="15" x14ac:dyDescent="0.3">
      <c r="A262" s="28">
        <f t="shared" si="6"/>
        <v>257</v>
      </c>
      <c r="B262" s="29" t="s">
        <v>304</v>
      </c>
      <c r="C262" s="77" t="s">
        <v>31</v>
      </c>
      <c r="D262" s="77" t="s">
        <v>322</v>
      </c>
      <c r="E262" s="31">
        <f>'[1]Week  (3)'!U262</f>
        <v>0</v>
      </c>
      <c r="F262" s="32"/>
      <c r="G262" s="33"/>
      <c r="H262" s="34"/>
      <c r="I262" s="35"/>
      <c r="J262" s="24"/>
      <c r="K262" s="36"/>
      <c r="L262" s="27"/>
      <c r="M262" s="25"/>
      <c r="N262" s="25"/>
      <c r="O262" s="25"/>
      <c r="P262" s="24"/>
      <c r="Q262" s="27"/>
      <c r="R262" s="27"/>
      <c r="S262" s="25"/>
      <c r="T262" s="27"/>
      <c r="U262" s="27"/>
      <c r="V262" s="31">
        <f t="shared" si="7"/>
        <v>0</v>
      </c>
    </row>
    <row r="263" spans="1:22" ht="15" x14ac:dyDescent="0.3">
      <c r="A263" s="28">
        <f t="shared" si="6"/>
        <v>258</v>
      </c>
      <c r="B263" s="65" t="s">
        <v>305</v>
      </c>
      <c r="C263" s="76" t="s">
        <v>31</v>
      </c>
      <c r="D263" s="77" t="s">
        <v>322</v>
      </c>
      <c r="E263" s="31">
        <f>'[1]Week  (3)'!U263</f>
        <v>4</v>
      </c>
      <c r="F263" s="37"/>
      <c r="G263" s="38"/>
      <c r="H263" s="39"/>
      <c r="I263" s="38"/>
      <c r="J263" s="40"/>
      <c r="K263" s="38"/>
      <c r="L263" s="27"/>
      <c r="M263" s="25"/>
      <c r="N263" s="25"/>
      <c r="O263" s="25"/>
      <c r="P263" s="24"/>
      <c r="Q263" s="27"/>
      <c r="R263" s="27"/>
      <c r="S263" s="25"/>
      <c r="T263" s="27"/>
      <c r="U263" s="27"/>
      <c r="V263" s="31">
        <f t="shared" si="7"/>
        <v>4</v>
      </c>
    </row>
    <row r="264" spans="1:22" ht="15" x14ac:dyDescent="0.3">
      <c r="A264" s="28">
        <f t="shared" ref="A264:A274" si="8">A263+1</f>
        <v>259</v>
      </c>
      <c r="B264" s="29" t="s">
        <v>306</v>
      </c>
      <c r="C264" s="77" t="s">
        <v>31</v>
      </c>
      <c r="D264" s="77" t="s">
        <v>322</v>
      </c>
      <c r="E264" s="31">
        <f>'[1]Week  (3)'!U264</f>
        <v>2</v>
      </c>
      <c r="F264" s="32"/>
      <c r="G264" s="33"/>
      <c r="H264" s="34"/>
      <c r="I264" s="35"/>
      <c r="J264" s="24"/>
      <c r="K264" s="36"/>
      <c r="L264" s="27"/>
      <c r="M264" s="25"/>
      <c r="N264" s="25"/>
      <c r="O264" s="25"/>
      <c r="P264" s="24"/>
      <c r="Q264" s="27"/>
      <c r="R264" s="27"/>
      <c r="S264" s="25"/>
      <c r="T264" s="27"/>
      <c r="U264" s="27"/>
      <c r="V264" s="31">
        <f t="shared" si="7"/>
        <v>2</v>
      </c>
    </row>
    <row r="265" spans="1:22" x14ac:dyDescent="0.2">
      <c r="A265" s="28">
        <f t="shared" si="8"/>
        <v>260</v>
      </c>
      <c r="B265" s="42" t="s">
        <v>307</v>
      </c>
      <c r="C265" s="79" t="s">
        <v>28</v>
      </c>
      <c r="D265" s="79" t="s">
        <v>324</v>
      </c>
      <c r="E265" s="31">
        <f>'[1]Week  (3)'!U265</f>
        <v>5</v>
      </c>
      <c r="F265" s="37"/>
      <c r="G265" s="38"/>
      <c r="H265" s="39"/>
      <c r="I265" s="38"/>
      <c r="J265" s="40"/>
      <c r="K265" s="38"/>
      <c r="L265" s="27"/>
      <c r="M265" s="25"/>
      <c r="N265" s="25"/>
      <c r="O265" s="25"/>
      <c r="P265" s="24"/>
      <c r="Q265" s="27"/>
      <c r="R265" s="27"/>
      <c r="S265" s="25"/>
      <c r="T265" s="27"/>
      <c r="U265" s="27"/>
      <c r="V265" s="31">
        <f t="shared" si="7"/>
        <v>5</v>
      </c>
    </row>
    <row r="266" spans="1:22" x14ac:dyDescent="0.2">
      <c r="A266" s="28">
        <f t="shared" si="8"/>
        <v>261</v>
      </c>
      <c r="B266" s="42" t="s">
        <v>308</v>
      </c>
      <c r="C266" s="79" t="s">
        <v>28</v>
      </c>
      <c r="D266" s="79" t="s">
        <v>324</v>
      </c>
      <c r="E266" s="31">
        <f>'[1]Week  (3)'!U266</f>
        <v>5</v>
      </c>
      <c r="F266" s="32"/>
      <c r="G266" s="33"/>
      <c r="H266" s="34"/>
      <c r="I266" s="35"/>
      <c r="J266" s="24"/>
      <c r="K266" s="36"/>
      <c r="L266" s="27"/>
      <c r="M266" s="25"/>
      <c r="N266" s="25"/>
      <c r="O266" s="25"/>
      <c r="P266" s="24"/>
      <c r="Q266" s="27"/>
      <c r="R266" s="27"/>
      <c r="S266" s="25"/>
      <c r="T266" s="27"/>
      <c r="U266" s="27"/>
      <c r="V266" s="31">
        <f t="shared" ref="V266:V274" si="9">E266+G266+-(I266+K266+M266+O266+Q266+S266+U266)</f>
        <v>5</v>
      </c>
    </row>
    <row r="267" spans="1:22" x14ac:dyDescent="0.2">
      <c r="A267" s="28">
        <f t="shared" si="8"/>
        <v>262</v>
      </c>
      <c r="B267" s="42" t="s">
        <v>309</v>
      </c>
      <c r="C267" s="79" t="s">
        <v>28</v>
      </c>
      <c r="D267" s="79" t="s">
        <v>324</v>
      </c>
      <c r="E267" s="31">
        <f>'[1]Week  (3)'!U267</f>
        <v>4</v>
      </c>
      <c r="F267" s="37"/>
      <c r="G267" s="38"/>
      <c r="H267" s="39"/>
      <c r="I267" s="38"/>
      <c r="J267" s="40"/>
      <c r="K267" s="38"/>
      <c r="L267" s="27"/>
      <c r="M267" s="25"/>
      <c r="N267" s="25"/>
      <c r="O267" s="25"/>
      <c r="P267" s="24"/>
      <c r="Q267" s="27"/>
      <c r="R267" s="27"/>
      <c r="S267" s="25"/>
      <c r="T267" s="27"/>
      <c r="U267" s="27"/>
      <c r="V267" s="31">
        <f t="shared" si="9"/>
        <v>4</v>
      </c>
    </row>
    <row r="268" spans="1:22" ht="15" x14ac:dyDescent="0.3">
      <c r="A268" s="28">
        <f t="shared" si="8"/>
        <v>263</v>
      </c>
      <c r="B268" s="29" t="s">
        <v>310</v>
      </c>
      <c r="C268" s="77" t="s">
        <v>31</v>
      </c>
      <c r="D268" s="79" t="s">
        <v>324</v>
      </c>
      <c r="E268" s="31">
        <f>'[1]Week  (3)'!U268</f>
        <v>5</v>
      </c>
      <c r="F268" s="32"/>
      <c r="G268" s="33"/>
      <c r="H268" s="34"/>
      <c r="I268" s="35"/>
      <c r="J268" s="24"/>
      <c r="K268" s="36"/>
      <c r="L268" s="27"/>
      <c r="M268" s="25"/>
      <c r="N268" s="25"/>
      <c r="O268" s="25"/>
      <c r="P268" s="24"/>
      <c r="Q268" s="27"/>
      <c r="R268" s="27"/>
      <c r="S268" s="25"/>
      <c r="T268" s="27"/>
      <c r="U268" s="27"/>
      <c r="V268" s="31">
        <f t="shared" si="9"/>
        <v>5</v>
      </c>
    </row>
    <row r="269" spans="1:22" ht="15" x14ac:dyDescent="0.2">
      <c r="A269" s="28">
        <f t="shared" si="8"/>
        <v>264</v>
      </c>
      <c r="B269" s="29" t="s">
        <v>311</v>
      </c>
      <c r="C269" s="80" t="s">
        <v>31</v>
      </c>
      <c r="D269" s="79" t="s">
        <v>324</v>
      </c>
      <c r="E269" s="31">
        <f>'[1]Week  (3)'!U269</f>
        <v>5</v>
      </c>
      <c r="F269" s="37"/>
      <c r="G269" s="38"/>
      <c r="H269" s="39"/>
      <c r="I269" s="38"/>
      <c r="J269" s="40"/>
      <c r="K269" s="38"/>
      <c r="L269" s="27"/>
      <c r="M269" s="25"/>
      <c r="N269" s="25"/>
      <c r="O269" s="25"/>
      <c r="P269" s="24"/>
      <c r="Q269" s="27"/>
      <c r="R269" s="27"/>
      <c r="S269" s="25"/>
      <c r="T269" s="27"/>
      <c r="U269" s="27"/>
      <c r="V269" s="31">
        <f t="shared" si="9"/>
        <v>5</v>
      </c>
    </row>
    <row r="270" spans="1:22" x14ac:dyDescent="0.2">
      <c r="A270" s="28">
        <f t="shared" si="8"/>
        <v>265</v>
      </c>
      <c r="B270" s="59" t="s">
        <v>312</v>
      </c>
      <c r="C270" s="80" t="s">
        <v>31</v>
      </c>
      <c r="D270" s="79" t="s">
        <v>324</v>
      </c>
      <c r="E270" s="31">
        <f>'[1]Week  (3)'!U270</f>
        <v>8</v>
      </c>
      <c r="F270" s="32"/>
      <c r="G270" s="33"/>
      <c r="H270" s="34"/>
      <c r="I270" s="35"/>
      <c r="J270" s="24"/>
      <c r="K270" s="36"/>
      <c r="L270" s="27"/>
      <c r="M270" s="25"/>
      <c r="N270" s="25"/>
      <c r="O270" s="25"/>
      <c r="P270" s="24"/>
      <c r="Q270" s="27"/>
      <c r="R270" s="27"/>
      <c r="S270" s="25"/>
      <c r="T270" s="27"/>
      <c r="U270" s="27"/>
      <c r="V270" s="31">
        <f t="shared" si="9"/>
        <v>8</v>
      </c>
    </row>
    <row r="271" spans="1:22" ht="15" x14ac:dyDescent="0.3">
      <c r="A271" s="28">
        <f t="shared" si="8"/>
        <v>266</v>
      </c>
      <c r="B271" s="59" t="s">
        <v>313</v>
      </c>
      <c r="C271" s="77" t="s">
        <v>31</v>
      </c>
      <c r="D271" s="79" t="s">
        <v>324</v>
      </c>
      <c r="E271" s="31">
        <f>'[1]Week  (3)'!U271</f>
        <v>6</v>
      </c>
      <c r="F271" s="37"/>
      <c r="G271" s="38"/>
      <c r="H271" s="39"/>
      <c r="I271" s="38"/>
      <c r="J271" s="40"/>
      <c r="K271" s="38"/>
      <c r="L271" s="27"/>
      <c r="M271" s="25"/>
      <c r="N271" s="25"/>
      <c r="O271" s="25"/>
      <c r="P271" s="24"/>
      <c r="Q271" s="27"/>
      <c r="R271" s="27"/>
      <c r="S271" s="25"/>
      <c r="T271" s="27"/>
      <c r="U271" s="27"/>
      <c r="V271" s="31">
        <f t="shared" si="9"/>
        <v>6</v>
      </c>
    </row>
    <row r="272" spans="1:22" ht="30" x14ac:dyDescent="0.3">
      <c r="A272" s="28">
        <f t="shared" si="8"/>
        <v>267</v>
      </c>
      <c r="B272" s="29" t="s">
        <v>314</v>
      </c>
      <c r="C272" s="77" t="s">
        <v>31</v>
      </c>
      <c r="D272" s="77" t="s">
        <v>322</v>
      </c>
      <c r="E272" s="31">
        <f>'[1]Week  (3)'!U272</f>
        <v>8</v>
      </c>
      <c r="F272" s="32"/>
      <c r="G272" s="33"/>
      <c r="H272" s="34"/>
      <c r="I272" s="35"/>
      <c r="J272" s="24"/>
      <c r="K272" s="36"/>
      <c r="L272" s="27"/>
      <c r="M272" s="25"/>
      <c r="N272" s="25"/>
      <c r="O272" s="25"/>
      <c r="P272" s="24"/>
      <c r="Q272" s="27"/>
      <c r="R272" s="27"/>
      <c r="S272" s="25"/>
      <c r="T272" s="27"/>
      <c r="U272" s="27"/>
      <c r="V272" s="31">
        <f t="shared" si="9"/>
        <v>8</v>
      </c>
    </row>
    <row r="273" spans="1:22" ht="25.5" x14ac:dyDescent="0.2">
      <c r="A273" s="28">
        <f t="shared" si="8"/>
        <v>268</v>
      </c>
      <c r="B273" s="59" t="s">
        <v>315</v>
      </c>
      <c r="C273" s="80" t="s">
        <v>145</v>
      </c>
      <c r="D273" s="80" t="s">
        <v>325</v>
      </c>
      <c r="E273" s="31">
        <f>'[1]Week  (3)'!U273</f>
        <v>0</v>
      </c>
      <c r="F273" s="32">
        <v>45987</v>
      </c>
      <c r="G273" s="38">
        <v>1</v>
      </c>
      <c r="H273" s="39"/>
      <c r="I273" s="38"/>
      <c r="J273" s="40"/>
      <c r="K273" s="38"/>
      <c r="L273" s="81"/>
      <c r="M273" s="25"/>
      <c r="N273" s="25" t="s">
        <v>141</v>
      </c>
      <c r="O273" s="25">
        <v>1</v>
      </c>
      <c r="P273" s="24"/>
      <c r="Q273" s="27"/>
      <c r="R273" s="27"/>
      <c r="S273" s="25"/>
      <c r="T273" s="27"/>
      <c r="U273" s="27"/>
      <c r="V273" s="31">
        <f t="shared" si="9"/>
        <v>0</v>
      </c>
    </row>
    <row r="274" spans="1:22" ht="33" customHeight="1" x14ac:dyDescent="0.2">
      <c r="A274" s="28">
        <f t="shared" si="8"/>
        <v>269</v>
      </c>
      <c r="B274" s="59" t="s">
        <v>316</v>
      </c>
      <c r="C274" s="80" t="s">
        <v>145</v>
      </c>
      <c r="D274" s="80" t="s">
        <v>325</v>
      </c>
      <c r="E274" s="31">
        <f>'[1]Week  (3)'!U274</f>
        <v>1</v>
      </c>
      <c r="F274" s="32">
        <v>45985</v>
      </c>
      <c r="G274" s="33">
        <v>1</v>
      </c>
      <c r="H274" s="34"/>
      <c r="I274" s="35"/>
      <c r="J274" s="24"/>
      <c r="K274" s="36"/>
      <c r="L274" s="27"/>
      <c r="M274" s="25"/>
      <c r="N274" s="25"/>
      <c r="O274" s="25"/>
      <c r="P274" s="24"/>
      <c r="Q274" s="27"/>
      <c r="R274" s="27"/>
      <c r="S274" s="25"/>
      <c r="T274" s="27"/>
      <c r="U274" s="27"/>
      <c r="V274" s="31">
        <f t="shared" si="9"/>
        <v>2</v>
      </c>
    </row>
    <row r="275" spans="1:22" x14ac:dyDescent="0.2">
      <c r="E275" s="31">
        <f>SUM(E6:E274)</f>
        <v>1987.9610714285714</v>
      </c>
      <c r="G275" s="83">
        <f>SUM(G6:G274)</f>
        <v>142</v>
      </c>
      <c r="V275" s="1">
        <f>SUM(V6:V274)</f>
        <v>2096.4610714285714</v>
      </c>
    </row>
  </sheetData>
  <mergeCells count="17">
    <mergeCell ref="R4:S4"/>
    <mergeCell ref="T4:U4"/>
    <mergeCell ref="V4:V5"/>
    <mergeCell ref="A1:U1"/>
    <mergeCell ref="H3:O3"/>
    <mergeCell ref="A4:A5"/>
    <mergeCell ref="B4:B5"/>
    <mergeCell ref="C4:C5"/>
    <mergeCell ref="E4:E5"/>
    <mergeCell ref="F4:F5"/>
    <mergeCell ref="G4:G5"/>
    <mergeCell ref="H4:I4"/>
    <mergeCell ref="J4:K4"/>
    <mergeCell ref="D4:D5"/>
    <mergeCell ref="L4:M4"/>
    <mergeCell ref="N4:O4"/>
    <mergeCell ref="P4:Q4"/>
  </mergeCells>
  <pageMargins left="0.70866141732283472" right="0.19685039370078741" top="0.23622047244094491" bottom="0.27559055118110237" header="0.23622047244094491" footer="0.27559055118110237"/>
  <pageSetup paperSize="9" scale="92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ISS-POH1-ST</dc:creator>
  <cp:lastModifiedBy>ISS-POH1-ST</cp:lastModifiedBy>
  <dcterms:created xsi:type="dcterms:W3CDTF">2025-11-28T07:14:18Z</dcterms:created>
  <dcterms:modified xsi:type="dcterms:W3CDTF">2025-11-28T08:01:18Z</dcterms:modified>
</cp:coreProperties>
</file>