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05" windowWidth="14805" windowHeight="8010" tabRatio="600" firstSheet="0" activeTab="4" autoFilterDateGrouping="1"/>
  </bookViews>
  <sheets>
    <sheet xmlns:r="http://schemas.openxmlformats.org/officeDocument/2006/relationships" name="Week  1" sheetId="1" state="visible" r:id="rId1"/>
    <sheet xmlns:r="http://schemas.openxmlformats.org/officeDocument/2006/relationships" name="Week  (2)" sheetId="2" state="visible" r:id="rId2"/>
    <sheet xmlns:r="http://schemas.openxmlformats.org/officeDocument/2006/relationships" name="Week  (3)" sheetId="3" state="visible" r:id="rId3"/>
    <sheet xmlns:r="http://schemas.openxmlformats.org/officeDocument/2006/relationships" name="Week  (4)" sheetId="4" state="visible" r:id="rId4"/>
    <sheet xmlns:r="http://schemas.openxmlformats.org/officeDocument/2006/relationships" name="Week  (5)" sheetId="5" state="visible" r:id="rId5"/>
  </sheets>
  <externalReferences>
    <externalReference xmlns:r="http://schemas.openxmlformats.org/officeDocument/2006/relationships" r:id="rId6"/>
  </externalReference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$-409]d\-mmm\-yy;@"/>
    <numFmt numFmtId="166" formatCode="0.0"/>
  </numFmts>
  <fonts count="8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 Unicode MS"/>
      <family val="2"/>
      <color indexed="8"/>
      <sz val="10"/>
    </font>
    <font>
      <name val="Tahoma"/>
      <family val="2"/>
      <sz val="11"/>
    </font>
    <font>
      <name val="Arial"/>
      <family val="2"/>
      <color indexed="8"/>
      <sz val="10"/>
    </font>
    <font>
      <name val="Calibri"/>
      <family val="2"/>
      <sz val="11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pivotButton="0" quotePrefix="0" xfId="0"/>
    <xf numFmtId="2" fontId="1" fillId="2" borderId="0" applyAlignment="1" pivotButton="0" quotePrefix="0" xfId="1">
      <alignment horizontal="center"/>
    </xf>
    <xf numFmtId="0" fontId="1" fillId="0" borderId="0" pivotButton="0" quotePrefix="0" xfId="1"/>
    <xf numFmtId="0" fontId="2" fillId="3" borderId="0" applyAlignment="1" pivotButton="0" quotePrefix="0" xfId="1">
      <alignment horizontal="center"/>
    </xf>
    <xf numFmtId="17" fontId="2" fillId="0" borderId="0" applyAlignment="1" pivotButton="0" quotePrefix="0" xfId="1">
      <alignment horizontal="left" wrapText="1"/>
    </xf>
    <xf numFmtId="17" fontId="2" fillId="0" borderId="0" applyAlignment="1" pivotButton="0" quotePrefix="0" xfId="1">
      <alignment horizontal="center"/>
    </xf>
    <xf numFmtId="2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wrapText="1"/>
    </xf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 wrapText="1"/>
    </xf>
    <xf numFmtId="0" fontId="1" fillId="3" borderId="0" applyAlignment="1" pivotButton="0" quotePrefix="0" xfId="1">
      <alignment horizontal="center"/>
    </xf>
    <xf numFmtId="0" fontId="1" fillId="0" borderId="0" applyAlignment="1" pivotButton="0" quotePrefix="0" xfId="1">
      <alignment horizontal="left" wrapText="1"/>
    </xf>
    <xf numFmtId="0" fontId="1" fillId="0" borderId="0" applyAlignment="1" pivotButton="0" quotePrefix="0" xfId="1">
      <alignment horizontal="center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wrapText="1"/>
    </xf>
    <xf numFmtId="0" fontId="1" fillId="0" borderId="6" applyAlignment="1" pivotButton="0" quotePrefix="0" xfId="1">
      <alignment horizontal="center"/>
    </xf>
    <xf numFmtId="0" fontId="1" fillId="0" borderId="6" applyAlignment="1" pivotButton="0" quotePrefix="0" xfId="1">
      <alignment horizont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/>
    </xf>
    <xf numFmtId="0" fontId="1" fillId="3" borderId="6" applyAlignment="1" pivotButton="0" quotePrefix="0" xfId="1">
      <alignment horizontal="center"/>
    </xf>
    <xf numFmtId="164" fontId="3" fillId="0" borderId="6" applyAlignment="1" pivotButton="0" quotePrefix="0" xfId="1">
      <alignment horizontal="left" vertical="center" wrapText="1"/>
    </xf>
    <xf numFmtId="164" fontId="3" fillId="0" borderId="7" applyAlignment="1" pivotButton="0" quotePrefix="0" xfId="1">
      <alignment horizontal="center" wrapText="1"/>
    </xf>
    <xf numFmtId="0" fontId="1" fillId="0" borderId="4" applyAlignment="1" pivotButton="0" quotePrefix="0" xfId="1">
      <alignment horizontal="center" vertical="center"/>
    </xf>
    <xf numFmtId="2" fontId="1" fillId="2" borderId="6" applyAlignment="1" pivotButton="0" quotePrefix="0" xfId="1">
      <alignment horizontal="center"/>
    </xf>
    <xf numFmtId="0" fontId="1" fillId="0" borderId="6" pivotButton="0" quotePrefix="0" xfId="1"/>
    <xf numFmtId="0" fontId="1" fillId="0" borderId="6" applyAlignment="1" pivotButton="0" quotePrefix="0" xfId="1">
      <alignment horizontal="left" wrapText="1"/>
    </xf>
    <xf numFmtId="0" fontId="4" fillId="0" borderId="7" applyAlignment="1" pivotButton="0" quotePrefix="0" xfId="1">
      <alignment horizontal="center"/>
    </xf>
    <xf numFmtId="0" fontId="3" fillId="0" borderId="6" applyAlignment="1" pivotButton="0" quotePrefix="0" xfId="1">
      <alignment horizontal="left" vertical="center" wrapText="1"/>
    </xf>
    <xf numFmtId="0" fontId="3" fillId="0" borderId="7" applyAlignment="1" pivotButton="0" quotePrefix="0" xfId="1">
      <alignment horizontal="center" wrapText="1"/>
    </xf>
    <xf numFmtId="0" fontId="1" fillId="0" borderId="1" pivotButton="0" quotePrefix="0" xfId="1"/>
    <xf numFmtId="164" fontId="3" fillId="0" borderId="8" applyAlignment="1" pivotButton="0" quotePrefix="0" xfId="1">
      <alignment horizontal="center" wrapText="1"/>
    </xf>
    <xf numFmtId="0" fontId="1" fillId="0" borderId="5" applyAlignment="1" pivotButton="0" quotePrefix="0" xfId="1">
      <alignment horizontal="center" wrapText="1"/>
    </xf>
    <xf numFmtId="164" fontId="3" fillId="0" borderId="2" applyAlignment="1" pivotButton="0" quotePrefix="0" xfId="1">
      <alignment horizontal="left" vertical="center" wrapText="1"/>
    </xf>
    <xf numFmtId="164" fontId="3" fillId="0" borderId="6" applyAlignment="1" pivotButton="0" quotePrefix="0" xfId="1">
      <alignment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6" fillId="0" borderId="6" applyAlignment="1" pivotButton="0" quotePrefix="0" xfId="1">
      <alignment horizontal="left" vertical="center" wrapText="1"/>
    </xf>
    <xf numFmtId="0" fontId="1" fillId="0" borderId="7" applyAlignment="1" pivotButton="0" quotePrefix="0" xfId="1">
      <alignment horizontal="center"/>
    </xf>
    <xf numFmtId="0" fontId="1" fillId="0" borderId="7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3" fillId="0" borderId="6" applyAlignment="1" pivotButton="0" quotePrefix="0" xfId="1">
      <alignment vertical="center" wrapText="1"/>
    </xf>
    <xf numFmtId="0" fontId="5" fillId="0" borderId="6" applyAlignment="1" pivotButton="0" quotePrefix="0" xfId="1">
      <alignment horizontal="left" vertical="center" wrapText="1"/>
    </xf>
    <xf numFmtId="164" fontId="3" fillId="0" borderId="6" applyAlignment="1" pivotButton="0" quotePrefix="0" xfId="1">
      <alignment horizontal="center" wrapText="1"/>
    </xf>
    <xf numFmtId="0" fontId="3" fillId="0" borderId="6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164" fontId="3" fillId="0" borderId="5" applyAlignment="1" pivotButton="0" quotePrefix="0" xfId="1">
      <alignment horizontal="center" wrapText="1"/>
    </xf>
    <xf numFmtId="0" fontId="1" fillId="0" borderId="0" applyAlignment="1" pivotButton="0" quotePrefix="0" xfId="1">
      <alignment horizontal="left" wrapText="1"/>
    </xf>
    <xf numFmtId="0" fontId="1" fillId="0" borderId="0" applyAlignment="1" pivotButton="0" quotePrefix="0" xfId="1">
      <alignment horizontal="center" vertical="center"/>
    </xf>
    <xf numFmtId="0" fontId="1" fillId="0" borderId="0" pivotButton="0" quotePrefix="0" xfId="1"/>
    <xf numFmtId="2" fontId="1" fillId="2" borderId="4" applyAlignment="1" pivotButton="0" quotePrefix="0" xfId="1">
      <alignment horizontal="center"/>
    </xf>
    <xf numFmtId="1" fontId="2" fillId="0" borderId="0" applyAlignment="1" pivotButton="0" quotePrefix="0" xfId="1">
      <alignment horizontal="center"/>
    </xf>
    <xf numFmtId="1" fontId="1" fillId="0" borderId="6" applyAlignment="1" pivotButton="0" quotePrefix="0" xfId="1">
      <alignment horizontal="center"/>
    </xf>
    <xf numFmtId="1" fontId="1" fillId="2" borderId="6" applyAlignment="1" pivotButton="0" quotePrefix="0" xfId="1">
      <alignment horizontal="center"/>
    </xf>
    <xf numFmtId="1" fontId="1" fillId="0" borderId="6" applyAlignment="1" pivotButton="0" quotePrefix="0" xfId="1">
      <alignment horizontal="center" vertical="center" wrapText="1"/>
    </xf>
    <xf numFmtId="1" fontId="1" fillId="0" borderId="0" applyAlignment="1" pivotButton="0" quotePrefix="0" xfId="1">
      <alignment horizontal="center"/>
    </xf>
    <xf numFmtId="165" fontId="2" fillId="0" borderId="0" applyAlignment="1" pivotButton="0" quotePrefix="0" xfId="1">
      <alignment horizontal="center"/>
    </xf>
    <xf numFmtId="165" fontId="1" fillId="0" borderId="0" applyAlignment="1" pivotButton="0" quotePrefix="0" xfId="1">
      <alignment horizontal="center"/>
    </xf>
    <xf numFmtId="165" fontId="1" fillId="2" borderId="6" applyAlignment="1" pivotButton="0" quotePrefix="0" xfId="1">
      <alignment horizontal="center"/>
    </xf>
    <xf numFmtId="165" fontId="1" fillId="0" borderId="6" applyAlignment="1" pivotButton="0" quotePrefix="0" xfId="1">
      <alignment horizontal="center" vertical="center"/>
    </xf>
    <xf numFmtId="1" fontId="1" fillId="0" borderId="6" applyAlignment="1" pivotButton="0" quotePrefix="0" xfId="1">
      <alignment horizontal="center" vertical="center"/>
    </xf>
    <xf numFmtId="1" fontId="1" fillId="0" borderId="0" applyAlignment="1" pivotButton="0" quotePrefix="0" xfId="1">
      <alignment horizontal="center"/>
    </xf>
    <xf numFmtId="1" fontId="1" fillId="0" borderId="6" applyAlignment="1" pivotButton="0" quotePrefix="0" xfId="1">
      <alignment horizontal="center" wrapText="1"/>
    </xf>
    <xf numFmtId="4" fontId="1" fillId="0" borderId="6" applyAlignment="1" pivotButton="0" quotePrefix="0" xfId="1">
      <alignment horizontal="center" vertical="center" wrapText="1"/>
    </xf>
    <xf numFmtId="2" fontId="1" fillId="0" borderId="6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166" fontId="1" fillId="0" borderId="6" applyAlignment="1" pivotButton="0" quotePrefix="0" xfId="1">
      <alignment horizontal="center" vertical="center" wrapText="1"/>
    </xf>
    <xf numFmtId="166" fontId="1" fillId="0" borderId="6" applyAlignment="1" pivotButton="0" quotePrefix="0" xfId="1">
      <alignment horizontal="center" wrapText="1"/>
    </xf>
    <xf numFmtId="2" fontId="1" fillId="2" borderId="6" applyAlignment="1" pivotButton="0" quotePrefix="0" xfId="1">
      <alignment horizontal="center" wrapText="1"/>
    </xf>
    <xf numFmtId="2" fontId="1" fillId="2" borderId="4" applyAlignment="1" pivotButton="0" quotePrefix="0" xfId="1">
      <alignment horizontal="center" wrapText="1"/>
    </xf>
    <xf numFmtId="0" fontId="1" fillId="0" borderId="6" applyAlignment="1" pivotButton="0" quotePrefix="0" xfId="1">
      <alignment horizontal="center" vertical="center" wrapText="1"/>
    </xf>
    <xf numFmtId="166" fontId="1" fillId="2" borderId="6" applyAlignment="1" pivotButton="0" quotePrefix="0" xfId="1">
      <alignment horizontal="center"/>
    </xf>
    <xf numFmtId="165" fontId="1" fillId="0" borderId="6" applyAlignment="1" pivotButton="0" quotePrefix="0" xfId="1">
      <alignment horizontal="center" vertical="center" wrapText="1"/>
    </xf>
    <xf numFmtId="165" fontId="1" fillId="2" borderId="6" applyAlignment="1" pivotButton="0" quotePrefix="0" xfId="1">
      <alignment horizontal="center" wrapText="1"/>
    </xf>
    <xf numFmtId="2" fontId="1" fillId="0" borderId="6" applyAlignment="1" pivotButton="0" quotePrefix="0" xfId="1">
      <alignment horizontal="center" wrapText="1"/>
    </xf>
    <xf numFmtId="0" fontId="7" fillId="0" borderId="6" pivotButton="0" quotePrefix="0" xfId="0"/>
    <xf numFmtId="0" fontId="1" fillId="0" borderId="6" applyAlignment="1" pivotButton="0" quotePrefix="0" xfId="1">
      <alignment horizontal="left" wrapText="1"/>
    </xf>
    <xf numFmtId="16" fontId="1" fillId="0" borderId="6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1" fillId="0" borderId="2" applyAlignment="1" pivotButton="0" quotePrefix="0" xfId="1">
      <alignment horizontal="left" wrapText="1"/>
    </xf>
    <xf numFmtId="0" fontId="1" fillId="0" borderId="5" applyAlignment="1" pivotButton="0" quotePrefix="0" xfId="1">
      <alignment horizontal="left" wrapText="1"/>
    </xf>
    <xf numFmtId="0" fontId="1" fillId="0" borderId="5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1" fillId="0" borderId="2" applyAlignment="1" pivotButton="0" quotePrefix="0" xfId="1">
      <alignment horizontal="left" wrapText="1"/>
    </xf>
    <xf numFmtId="0" fontId="1" fillId="0" borderId="5" applyAlignment="1" pivotButton="0" quotePrefix="0" xfId="1">
      <alignment horizontal="left" wrapText="1"/>
    </xf>
    <xf numFmtId="0" fontId="1" fillId="0" borderId="5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1" fillId="0" borderId="2" applyAlignment="1" pivotButton="0" quotePrefix="0" xfId="1">
      <alignment horizontal="left" wrapText="1"/>
    </xf>
    <xf numFmtId="0" fontId="1" fillId="0" borderId="5" applyAlignment="1" pivotButton="0" quotePrefix="0" xfId="1">
      <alignment horizontal="left" wrapText="1"/>
    </xf>
    <xf numFmtId="0" fontId="1" fillId="0" borderId="5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1" fillId="0" borderId="2" applyAlignment="1" pivotButton="0" quotePrefix="0" xfId="1">
      <alignment horizontal="left" wrapText="1"/>
    </xf>
    <xf numFmtId="0" fontId="1" fillId="0" borderId="5" applyAlignment="1" pivotButton="0" quotePrefix="0" xfId="1">
      <alignment horizontal="left" wrapText="1"/>
    </xf>
    <xf numFmtId="0" fontId="1" fillId="0" borderId="5" applyAlignment="1" pivotButton="0" quotePrefix="0" xfId="1">
      <alignment horizontal="center"/>
    </xf>
    <xf numFmtId="2" fontId="1" fillId="2" borderId="2" applyAlignment="1" pivotButton="0" quotePrefix="0" xfId="1">
      <alignment horizontal="center" wrapText="1"/>
    </xf>
    <xf numFmtId="2" fontId="1" fillId="2" borderId="5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  <xf numFmtId="0" fontId="1" fillId="3" borderId="2" applyAlignment="1" pivotButton="0" quotePrefix="0" xfId="1">
      <alignment horizontal="center"/>
    </xf>
    <xf numFmtId="0" fontId="1" fillId="3" borderId="5" applyAlignment="1" pivotButton="0" quotePrefix="0" xfId="1">
      <alignment horizontal="center"/>
    </xf>
    <xf numFmtId="0" fontId="1" fillId="0" borderId="2" applyAlignment="1" pivotButton="0" quotePrefix="0" xfId="1">
      <alignment horizontal="left" wrapText="1"/>
    </xf>
    <xf numFmtId="0" fontId="1" fillId="0" borderId="5" applyAlignment="1" pivotButton="0" quotePrefix="0" xfId="1">
      <alignment horizontal="left" wrapText="1"/>
    </xf>
    <xf numFmtId="0" fontId="1" fillId="0" borderId="2" applyAlignment="1" pivotButton="0" quotePrefix="0" xfId="1">
      <alignment horizontal="center"/>
    </xf>
    <xf numFmtId="0" fontId="1" fillId="0" borderId="5" applyAlignment="1" pivotButton="0" quotePrefix="0" xfId="1">
      <alignment horizontal="center"/>
    </xf>
    <xf numFmtId="2" fontId="1" fillId="0" borderId="2" applyAlignment="1" pivotButton="0" quotePrefix="0" xfId="1">
      <alignment horizontal="center" wrapText="1"/>
    </xf>
    <xf numFmtId="2" fontId="1" fillId="0" borderId="5" applyAlignment="1" pivotButton="0" quotePrefix="0" xfId="1">
      <alignment horizontal="center" wrapText="1"/>
    </xf>
    <xf numFmtId="165" fontId="1" fillId="0" borderId="2" applyAlignment="1" pivotButton="0" quotePrefix="0" xfId="1">
      <alignment horizontal="center" wrapText="1"/>
    </xf>
    <xf numFmtId="165" fontId="1" fillId="0" borderId="5" applyAlignment="1" pivotButton="0" quotePrefix="0" xfId="1">
      <alignment horizontal="center" wrapText="1"/>
    </xf>
    <xf numFmtId="1" fontId="1" fillId="0" borderId="2" applyAlignment="1" pivotButton="0" quotePrefix="0" xfId="1">
      <alignment horizontal="center" wrapText="1"/>
    </xf>
    <xf numFmtId="1" fontId="1" fillId="0" borderId="5" applyAlignment="1" pivotButton="0" quotePrefix="0" xfId="1">
      <alignment horizontal="center" wrapText="1"/>
    </xf>
    <xf numFmtId="165" fontId="1" fillId="0" borderId="3" applyAlignment="1" pivotButton="0" quotePrefix="0" xfId="1">
      <alignment horizontal="center"/>
    </xf>
    <xf numFmtId="165" fontId="1" fillId="0" borderId="4" applyAlignment="1" pivotButton="0" quotePrefix="0" xfId="1">
      <alignment horizontal="center"/>
    </xf>
    <xf numFmtId="165" fontId="1" fillId="0" borderId="0" applyAlignment="1" pivotButton="0" quotePrefix="0" xfId="1">
      <alignment horizontal="center"/>
    </xf>
    <xf numFmtId="165" fontId="2" fillId="0" borderId="0" applyAlignment="1" pivotButton="0" quotePrefix="0" xfId="1">
      <alignment horizontal="center"/>
    </xf>
    <xf numFmtId="0" fontId="0" fillId="0" borderId="1" pivotButton="0" quotePrefix="0" xfId="0"/>
    <xf numFmtId="165" fontId="1" fillId="0" borderId="6" applyAlignment="1" pivotButton="0" quotePrefix="0" xfId="1">
      <alignment horizontal="center" wrapText="1"/>
    </xf>
    <xf numFmtId="165" fontId="1" fillId="0" borderId="4" applyAlignment="1" pivotButton="0" quotePrefix="0" xfId="1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1">
      <alignment horizontal="left" vertical="center" wrapText="1"/>
    </xf>
    <xf numFmtId="164" fontId="3" fillId="0" borderId="7" applyAlignment="1" pivotButton="0" quotePrefix="0" xfId="1">
      <alignment horizontal="center" wrapText="1"/>
    </xf>
    <xf numFmtId="165" fontId="1" fillId="0" borderId="6" applyAlignment="1" pivotButton="0" quotePrefix="0" xfId="1">
      <alignment horizontal="center" vertical="center"/>
    </xf>
    <xf numFmtId="165" fontId="1" fillId="2" borderId="6" applyAlignment="1" pivotButton="0" quotePrefix="0" xfId="1">
      <alignment horizontal="center"/>
    </xf>
    <xf numFmtId="164" fontId="3" fillId="0" borderId="8" applyAlignment="1" pivotButton="0" quotePrefix="0" xfId="1">
      <alignment horizontal="center" wrapText="1"/>
    </xf>
    <xf numFmtId="164" fontId="3" fillId="0" borderId="2" applyAlignment="1" pivotButton="0" quotePrefix="0" xfId="1">
      <alignment horizontal="left" vertical="center" wrapText="1"/>
    </xf>
    <xf numFmtId="164" fontId="3" fillId="0" borderId="6" applyAlignment="1" pivotButton="0" quotePrefix="0" xfId="1">
      <alignment vertical="center" wrapText="1"/>
    </xf>
    <xf numFmtId="165" fontId="1" fillId="0" borderId="6" applyAlignment="1" pivotButton="0" quotePrefix="0" xfId="1">
      <alignment horizontal="center" vertical="center" wrapText="1"/>
    </xf>
    <xf numFmtId="165" fontId="1" fillId="2" borderId="6" applyAlignment="1" pivotButton="0" quotePrefix="0" xfId="1">
      <alignment horizontal="center" wrapText="1"/>
    </xf>
    <xf numFmtId="164" fontId="3" fillId="0" borderId="6" applyAlignment="1" pivotButton="0" quotePrefix="0" xfId="1">
      <alignment horizontal="center" wrapText="1"/>
    </xf>
    <xf numFmtId="164" fontId="3" fillId="0" borderId="5" applyAlignment="1" pivotButton="0" quotePrefix="0" xfId="1">
      <alignment horizontal="center" wrapText="1"/>
    </xf>
  </cellXfs>
  <cellStyles count="2">
    <cellStyle name="Normal" xfId="0" builtinId="0"/>
    <cellStyle name="Normal 2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011125%20Stock%20POMI%20Nopember%202025%20POH%20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ek     1"/>
      <sheetName val="Week  (2)"/>
      <sheetName val="Week  (3)"/>
      <sheetName val="Week  (4)"/>
    </sheetNames>
    <sheetDataSet>
      <sheetData sheetId="0" refreshError="1"/>
      <sheetData sheetId="1" refreshError="1"/>
      <sheetData sheetId="2" refreshError="1"/>
      <sheetData sheetId="3">
        <row r="6">
          <cell r="U6">
            <v>2</v>
          </cell>
        </row>
        <row r="7">
          <cell r="U7">
            <v>1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1</v>
          </cell>
        </row>
        <row r="11">
          <cell r="U11">
            <v>0</v>
          </cell>
        </row>
        <row r="12">
          <cell r="U12">
            <v>17</v>
          </cell>
        </row>
        <row r="13">
          <cell r="U13">
            <v>26</v>
          </cell>
        </row>
        <row r="14">
          <cell r="U14">
            <v>7</v>
          </cell>
        </row>
        <row r="15">
          <cell r="U15">
            <v>18</v>
          </cell>
        </row>
        <row r="16">
          <cell r="U16">
            <v>11</v>
          </cell>
        </row>
        <row r="17">
          <cell r="U17">
            <v>3</v>
          </cell>
        </row>
        <row r="18">
          <cell r="U18">
            <v>7</v>
          </cell>
        </row>
        <row r="19">
          <cell r="U19">
            <v>0</v>
          </cell>
        </row>
        <row r="20">
          <cell r="U20">
            <v>5</v>
          </cell>
        </row>
        <row r="21">
          <cell r="U21">
            <v>6</v>
          </cell>
        </row>
        <row r="22">
          <cell r="U22">
            <v>14</v>
          </cell>
        </row>
        <row r="23">
          <cell r="U23">
            <v>30</v>
          </cell>
        </row>
        <row r="24">
          <cell r="U24">
            <v>8</v>
          </cell>
        </row>
        <row r="25">
          <cell r="U25">
            <v>16</v>
          </cell>
        </row>
        <row r="26">
          <cell r="U26">
            <v>10</v>
          </cell>
        </row>
        <row r="27">
          <cell r="U27">
            <v>10</v>
          </cell>
        </row>
        <row r="28">
          <cell r="U28">
            <v>18</v>
          </cell>
        </row>
        <row r="29">
          <cell r="U29">
            <v>12</v>
          </cell>
        </row>
        <row r="30">
          <cell r="U30">
            <v>15</v>
          </cell>
        </row>
        <row r="31">
          <cell r="U31">
            <v>18</v>
          </cell>
        </row>
        <row r="32">
          <cell r="U32">
            <v>8</v>
          </cell>
        </row>
        <row r="33">
          <cell r="U33">
            <v>21</v>
          </cell>
        </row>
        <row r="34">
          <cell r="U34">
            <v>1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34</v>
          </cell>
        </row>
        <row r="38">
          <cell r="U38">
            <v>26</v>
          </cell>
        </row>
        <row r="39">
          <cell r="U39">
            <v>16</v>
          </cell>
        </row>
        <row r="40">
          <cell r="U40">
            <v>16</v>
          </cell>
        </row>
        <row r="41">
          <cell r="U41">
            <v>12</v>
          </cell>
        </row>
        <row r="42">
          <cell r="U42">
            <v>19</v>
          </cell>
        </row>
        <row r="43">
          <cell r="U43">
            <v>15</v>
          </cell>
        </row>
        <row r="44">
          <cell r="U44">
            <v>12</v>
          </cell>
        </row>
        <row r="45">
          <cell r="U45">
            <v>0</v>
          </cell>
        </row>
        <row r="46">
          <cell r="U46">
            <v>2</v>
          </cell>
        </row>
        <row r="47">
          <cell r="U47">
            <v>1.52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0.66857142857142882</v>
          </cell>
        </row>
        <row r="52">
          <cell r="U52">
            <v>1.4</v>
          </cell>
        </row>
        <row r="53">
          <cell r="U53">
            <v>4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1</v>
          </cell>
        </row>
        <row r="57">
          <cell r="U57">
            <v>5</v>
          </cell>
        </row>
        <row r="58">
          <cell r="U58">
            <v>0</v>
          </cell>
        </row>
        <row r="59">
          <cell r="U59">
            <v>3.3724999999999987</v>
          </cell>
        </row>
        <row r="60">
          <cell r="U60">
            <v>0</v>
          </cell>
        </row>
        <row r="61">
          <cell r="U61">
            <v>2</v>
          </cell>
        </row>
        <row r="62">
          <cell r="U62">
            <v>0</v>
          </cell>
        </row>
        <row r="63">
          <cell r="U63">
            <v>5</v>
          </cell>
        </row>
        <row r="64">
          <cell r="U64">
            <v>6</v>
          </cell>
        </row>
        <row r="65">
          <cell r="U65">
            <v>4</v>
          </cell>
        </row>
        <row r="66">
          <cell r="U66">
            <v>3</v>
          </cell>
        </row>
        <row r="67">
          <cell r="U67">
            <v>4</v>
          </cell>
        </row>
        <row r="68">
          <cell r="U68">
            <v>4</v>
          </cell>
        </row>
        <row r="69">
          <cell r="U69">
            <v>23</v>
          </cell>
        </row>
        <row r="70">
          <cell r="U70">
            <v>3</v>
          </cell>
        </row>
        <row r="71">
          <cell r="U71">
            <v>2</v>
          </cell>
        </row>
        <row r="72">
          <cell r="U72">
            <v>1</v>
          </cell>
        </row>
        <row r="73">
          <cell r="U73">
            <v>10</v>
          </cell>
        </row>
        <row r="74">
          <cell r="U74">
            <v>8</v>
          </cell>
        </row>
        <row r="75">
          <cell r="U75">
            <v>5</v>
          </cell>
        </row>
        <row r="76">
          <cell r="U76">
            <v>1</v>
          </cell>
        </row>
        <row r="77">
          <cell r="U77">
            <v>9</v>
          </cell>
        </row>
        <row r="78">
          <cell r="U78">
            <v>7</v>
          </cell>
        </row>
        <row r="79">
          <cell r="U79">
            <v>7</v>
          </cell>
        </row>
        <row r="80">
          <cell r="U80">
            <v>6</v>
          </cell>
        </row>
        <row r="81">
          <cell r="U81">
            <v>4</v>
          </cell>
        </row>
        <row r="82">
          <cell r="U82">
            <v>7</v>
          </cell>
        </row>
        <row r="83">
          <cell r="U83">
            <v>8</v>
          </cell>
        </row>
        <row r="84">
          <cell r="U84">
            <v>19</v>
          </cell>
        </row>
        <row r="85">
          <cell r="U85">
            <v>0</v>
          </cell>
        </row>
        <row r="86">
          <cell r="U86">
            <v>5</v>
          </cell>
        </row>
        <row r="87">
          <cell r="U87">
            <v>0</v>
          </cell>
        </row>
        <row r="88">
          <cell r="U88">
            <v>2</v>
          </cell>
        </row>
        <row r="89">
          <cell r="U89">
            <v>5</v>
          </cell>
        </row>
        <row r="90">
          <cell r="U90">
            <v>4</v>
          </cell>
        </row>
        <row r="91">
          <cell r="U91">
            <v>5</v>
          </cell>
        </row>
        <row r="92">
          <cell r="U92">
            <v>5</v>
          </cell>
        </row>
        <row r="93">
          <cell r="U93">
            <v>9</v>
          </cell>
        </row>
        <row r="94">
          <cell r="U94">
            <v>7</v>
          </cell>
        </row>
        <row r="95">
          <cell r="U95">
            <v>10</v>
          </cell>
        </row>
        <row r="96">
          <cell r="U96">
            <v>6</v>
          </cell>
        </row>
        <row r="97">
          <cell r="U97">
            <v>6</v>
          </cell>
        </row>
        <row r="98">
          <cell r="U98">
            <v>14.5</v>
          </cell>
        </row>
        <row r="99">
          <cell r="U99">
            <v>9.5</v>
          </cell>
        </row>
        <row r="100">
          <cell r="U100">
            <v>18</v>
          </cell>
        </row>
        <row r="101">
          <cell r="U101">
            <v>6.5</v>
          </cell>
        </row>
        <row r="102">
          <cell r="U102">
            <v>5</v>
          </cell>
        </row>
        <row r="103">
          <cell r="U103">
            <v>9</v>
          </cell>
        </row>
        <row r="104">
          <cell r="U104">
            <v>14</v>
          </cell>
        </row>
        <row r="105">
          <cell r="U105">
            <v>1</v>
          </cell>
        </row>
        <row r="106">
          <cell r="U106">
            <v>15</v>
          </cell>
        </row>
        <row r="107">
          <cell r="U107">
            <v>7</v>
          </cell>
        </row>
        <row r="108">
          <cell r="U108">
            <v>5</v>
          </cell>
        </row>
        <row r="109">
          <cell r="U109">
            <v>6</v>
          </cell>
        </row>
        <row r="110">
          <cell r="U110">
            <v>14</v>
          </cell>
        </row>
        <row r="111">
          <cell r="U111">
            <v>5</v>
          </cell>
        </row>
        <row r="112">
          <cell r="U112">
            <v>0</v>
          </cell>
        </row>
        <row r="113">
          <cell r="U113">
            <v>4</v>
          </cell>
        </row>
        <row r="114">
          <cell r="U114">
            <v>1</v>
          </cell>
        </row>
        <row r="115">
          <cell r="U115">
            <v>2</v>
          </cell>
        </row>
        <row r="116">
          <cell r="U116">
            <v>10</v>
          </cell>
        </row>
        <row r="117">
          <cell r="U117">
            <v>4</v>
          </cell>
        </row>
        <row r="118">
          <cell r="U118">
            <v>6</v>
          </cell>
        </row>
        <row r="119">
          <cell r="U119">
            <v>5</v>
          </cell>
        </row>
        <row r="120">
          <cell r="U120">
            <v>0</v>
          </cell>
        </row>
        <row r="121">
          <cell r="U121">
            <v>7</v>
          </cell>
        </row>
        <row r="122">
          <cell r="U122">
            <v>1</v>
          </cell>
        </row>
        <row r="123">
          <cell r="U123">
            <v>7</v>
          </cell>
        </row>
        <row r="124">
          <cell r="U124">
            <v>0</v>
          </cell>
        </row>
        <row r="125">
          <cell r="U125">
            <v>0</v>
          </cell>
        </row>
        <row r="126">
          <cell r="U126">
            <v>5</v>
          </cell>
        </row>
        <row r="127">
          <cell r="U127">
            <v>2</v>
          </cell>
        </row>
        <row r="128">
          <cell r="U128">
            <v>40</v>
          </cell>
        </row>
        <row r="129">
          <cell r="U129">
            <v>6</v>
          </cell>
        </row>
        <row r="130">
          <cell r="U130">
            <v>5</v>
          </cell>
        </row>
        <row r="131">
          <cell r="U131">
            <v>2</v>
          </cell>
        </row>
        <row r="132">
          <cell r="U132">
            <v>2</v>
          </cell>
        </row>
        <row r="133">
          <cell r="U133">
            <v>13</v>
          </cell>
        </row>
        <row r="134">
          <cell r="U134">
            <v>18</v>
          </cell>
        </row>
        <row r="135">
          <cell r="U135">
            <v>0</v>
          </cell>
        </row>
        <row r="136">
          <cell r="U136">
            <v>34</v>
          </cell>
        </row>
        <row r="137">
          <cell r="U137">
            <v>100</v>
          </cell>
        </row>
        <row r="138">
          <cell r="U138">
            <v>68</v>
          </cell>
        </row>
        <row r="139">
          <cell r="U139">
            <v>8</v>
          </cell>
        </row>
        <row r="140">
          <cell r="U140">
            <v>0</v>
          </cell>
        </row>
        <row r="141">
          <cell r="U141">
            <v>0</v>
          </cell>
        </row>
        <row r="142">
          <cell r="U142">
            <v>3</v>
          </cell>
        </row>
        <row r="143">
          <cell r="U143">
            <v>4</v>
          </cell>
        </row>
        <row r="144">
          <cell r="U144">
            <v>12</v>
          </cell>
        </row>
        <row r="145">
          <cell r="U145">
            <v>0</v>
          </cell>
        </row>
        <row r="146">
          <cell r="U146">
            <v>17</v>
          </cell>
        </row>
        <row r="147">
          <cell r="U147">
            <v>9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20</v>
          </cell>
        </row>
        <row r="151">
          <cell r="U151">
            <v>1</v>
          </cell>
        </row>
        <row r="152">
          <cell r="U152">
            <v>1</v>
          </cell>
        </row>
        <row r="153">
          <cell r="U153">
            <v>4</v>
          </cell>
        </row>
        <row r="154">
          <cell r="U154">
            <v>2</v>
          </cell>
        </row>
        <row r="155">
          <cell r="U155">
            <v>0</v>
          </cell>
        </row>
        <row r="156">
          <cell r="U156">
            <v>17</v>
          </cell>
        </row>
        <row r="157">
          <cell r="U157">
            <v>2</v>
          </cell>
        </row>
        <row r="158">
          <cell r="U158">
            <v>13</v>
          </cell>
        </row>
        <row r="159">
          <cell r="U159">
            <v>4</v>
          </cell>
        </row>
        <row r="160">
          <cell r="U160">
            <v>7</v>
          </cell>
        </row>
        <row r="161">
          <cell r="U161">
            <v>20</v>
          </cell>
        </row>
        <row r="162">
          <cell r="U162">
            <v>4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8</v>
          </cell>
        </row>
        <row r="166">
          <cell r="U166">
            <v>5</v>
          </cell>
        </row>
        <row r="167">
          <cell r="U167">
            <v>3</v>
          </cell>
        </row>
        <row r="168">
          <cell r="U168">
            <v>16</v>
          </cell>
        </row>
        <row r="169">
          <cell r="U169">
            <v>7</v>
          </cell>
        </row>
        <row r="170">
          <cell r="U170">
            <v>5</v>
          </cell>
        </row>
        <row r="171">
          <cell r="U171">
            <v>15</v>
          </cell>
        </row>
        <row r="172">
          <cell r="U172">
            <v>12</v>
          </cell>
        </row>
        <row r="173">
          <cell r="U173">
            <v>10</v>
          </cell>
        </row>
        <row r="174">
          <cell r="U174">
            <v>7</v>
          </cell>
        </row>
        <row r="175">
          <cell r="U175">
            <v>5</v>
          </cell>
        </row>
        <row r="176">
          <cell r="U176">
            <v>1</v>
          </cell>
        </row>
        <row r="177">
          <cell r="U177">
            <v>0</v>
          </cell>
        </row>
        <row r="178">
          <cell r="U178">
            <v>0</v>
          </cell>
        </row>
        <row r="179">
          <cell r="U179">
            <v>15</v>
          </cell>
        </row>
        <row r="180">
          <cell r="U180">
            <v>5</v>
          </cell>
        </row>
        <row r="181">
          <cell r="U181">
            <v>20</v>
          </cell>
        </row>
        <row r="182">
          <cell r="U182">
            <v>0</v>
          </cell>
        </row>
        <row r="183">
          <cell r="U183">
            <v>0</v>
          </cell>
        </row>
        <row r="184">
          <cell r="U184">
            <v>3</v>
          </cell>
        </row>
        <row r="185">
          <cell r="U185">
            <v>1</v>
          </cell>
        </row>
        <row r="186">
          <cell r="U186">
            <v>3</v>
          </cell>
        </row>
        <row r="187">
          <cell r="U187">
            <v>3</v>
          </cell>
        </row>
        <row r="188">
          <cell r="U188">
            <v>3</v>
          </cell>
        </row>
        <row r="189">
          <cell r="U189">
            <v>4</v>
          </cell>
        </row>
        <row r="190">
          <cell r="U190">
            <v>3</v>
          </cell>
        </row>
        <row r="191">
          <cell r="U191">
            <v>3</v>
          </cell>
        </row>
        <row r="192">
          <cell r="U192">
            <v>0</v>
          </cell>
        </row>
        <row r="193">
          <cell r="U193">
            <v>0</v>
          </cell>
        </row>
        <row r="194">
          <cell r="U194">
            <v>3.9999999999999982</v>
          </cell>
        </row>
        <row r="195">
          <cell r="U195">
            <v>4</v>
          </cell>
        </row>
        <row r="196">
          <cell r="U196">
            <v>3</v>
          </cell>
        </row>
        <row r="197">
          <cell r="U197">
            <v>3</v>
          </cell>
        </row>
        <row r="198">
          <cell r="U198">
            <v>16</v>
          </cell>
        </row>
        <row r="199">
          <cell r="U199">
            <v>5</v>
          </cell>
        </row>
        <row r="200">
          <cell r="U200">
            <v>3</v>
          </cell>
        </row>
        <row r="201">
          <cell r="U201">
            <v>7</v>
          </cell>
        </row>
        <row r="202">
          <cell r="U202">
            <v>9</v>
          </cell>
        </row>
        <row r="203">
          <cell r="U203">
            <v>12</v>
          </cell>
        </row>
        <row r="204">
          <cell r="U204">
            <v>9</v>
          </cell>
        </row>
        <row r="205">
          <cell r="U205">
            <v>7</v>
          </cell>
        </row>
        <row r="206">
          <cell r="U206">
            <v>4</v>
          </cell>
        </row>
        <row r="207">
          <cell r="U207">
            <v>9</v>
          </cell>
        </row>
        <row r="208">
          <cell r="U208">
            <v>5</v>
          </cell>
        </row>
        <row r="209">
          <cell r="U209">
            <v>20</v>
          </cell>
        </row>
        <row r="210">
          <cell r="U210">
            <v>21</v>
          </cell>
        </row>
        <row r="211">
          <cell r="U211">
            <v>5</v>
          </cell>
        </row>
        <row r="212">
          <cell r="U212">
            <v>16</v>
          </cell>
        </row>
        <row r="213">
          <cell r="U213">
            <v>18</v>
          </cell>
        </row>
        <row r="214">
          <cell r="U214">
            <v>0</v>
          </cell>
        </row>
        <row r="215">
          <cell r="U215">
            <v>4</v>
          </cell>
        </row>
        <row r="216">
          <cell r="U216">
            <v>3</v>
          </cell>
        </row>
        <row r="217">
          <cell r="U217">
            <v>35</v>
          </cell>
        </row>
        <row r="218">
          <cell r="U218">
            <v>0</v>
          </cell>
        </row>
        <row r="219">
          <cell r="U219">
            <v>14</v>
          </cell>
        </row>
        <row r="220">
          <cell r="U220">
            <v>0</v>
          </cell>
        </row>
        <row r="221">
          <cell r="U221">
            <v>20</v>
          </cell>
        </row>
        <row r="222">
          <cell r="U222">
            <v>16</v>
          </cell>
        </row>
        <row r="223">
          <cell r="U223">
            <v>1</v>
          </cell>
        </row>
        <row r="224">
          <cell r="U224">
            <v>13</v>
          </cell>
        </row>
        <row r="225">
          <cell r="U225">
            <v>-1</v>
          </cell>
        </row>
        <row r="226">
          <cell r="U226">
            <v>0</v>
          </cell>
        </row>
        <row r="227">
          <cell r="U227">
            <v>11</v>
          </cell>
        </row>
        <row r="228">
          <cell r="U228">
            <v>4</v>
          </cell>
        </row>
        <row r="229">
          <cell r="U229">
            <v>0</v>
          </cell>
        </row>
        <row r="230">
          <cell r="U230">
            <v>0</v>
          </cell>
        </row>
        <row r="231">
          <cell r="U231">
            <v>4</v>
          </cell>
        </row>
        <row r="232">
          <cell r="U232">
            <v>19</v>
          </cell>
        </row>
        <row r="233">
          <cell r="U233">
            <v>6</v>
          </cell>
        </row>
        <row r="234">
          <cell r="U234">
            <v>0</v>
          </cell>
        </row>
        <row r="235">
          <cell r="U235">
            <v>0</v>
          </cell>
        </row>
        <row r="236">
          <cell r="U236">
            <v>16</v>
          </cell>
        </row>
        <row r="237">
          <cell r="U237">
            <v>9</v>
          </cell>
        </row>
        <row r="238">
          <cell r="U238">
            <v>1</v>
          </cell>
        </row>
        <row r="239">
          <cell r="U239">
            <v>0</v>
          </cell>
        </row>
        <row r="240">
          <cell r="U240">
            <v>2</v>
          </cell>
        </row>
        <row r="241">
          <cell r="U241">
            <v>0</v>
          </cell>
        </row>
        <row r="242">
          <cell r="U242">
            <v>0</v>
          </cell>
        </row>
        <row r="243">
          <cell r="U243">
            <v>10</v>
          </cell>
        </row>
        <row r="244">
          <cell r="U244">
            <v>10</v>
          </cell>
        </row>
        <row r="245">
          <cell r="U245">
            <v>0</v>
          </cell>
        </row>
        <row r="246">
          <cell r="U246">
            <v>10</v>
          </cell>
        </row>
        <row r="247">
          <cell r="U247">
            <v>15</v>
          </cell>
        </row>
        <row r="248">
          <cell r="U248">
            <v>30</v>
          </cell>
        </row>
        <row r="249">
          <cell r="U249">
            <v>8</v>
          </cell>
        </row>
        <row r="250">
          <cell r="U250">
            <v>5</v>
          </cell>
        </row>
        <row r="251">
          <cell r="U251">
            <v>6</v>
          </cell>
        </row>
        <row r="252">
          <cell r="U252">
            <v>36</v>
          </cell>
        </row>
        <row r="253">
          <cell r="U253">
            <v>0</v>
          </cell>
        </row>
        <row r="254">
          <cell r="U254">
            <v>19</v>
          </cell>
        </row>
        <row r="255">
          <cell r="U255">
            <v>0</v>
          </cell>
        </row>
        <row r="256">
          <cell r="U256">
            <v>0</v>
          </cell>
        </row>
        <row r="257">
          <cell r="U257">
            <v>2</v>
          </cell>
        </row>
        <row r="258">
          <cell r="U258">
            <v>2</v>
          </cell>
        </row>
        <row r="259">
          <cell r="U259">
            <v>7</v>
          </cell>
        </row>
        <row r="260">
          <cell r="U260">
            <v>23</v>
          </cell>
        </row>
        <row r="261">
          <cell r="U261">
            <v>53</v>
          </cell>
        </row>
        <row r="262">
          <cell r="U262">
            <v>0</v>
          </cell>
        </row>
        <row r="263">
          <cell r="U263">
            <v>4</v>
          </cell>
        </row>
        <row r="264">
          <cell r="U264">
            <v>2</v>
          </cell>
        </row>
        <row r="265">
          <cell r="U265">
            <v>5</v>
          </cell>
        </row>
        <row r="266">
          <cell r="U266">
            <v>5</v>
          </cell>
        </row>
        <row r="267">
          <cell r="U267">
            <v>4</v>
          </cell>
        </row>
        <row r="268">
          <cell r="U268">
            <v>5</v>
          </cell>
        </row>
        <row r="269">
          <cell r="U269">
            <v>5</v>
          </cell>
        </row>
        <row r="270">
          <cell r="U270">
            <v>8</v>
          </cell>
        </row>
        <row r="271">
          <cell r="U271">
            <v>6</v>
          </cell>
        </row>
        <row r="272">
          <cell r="U272">
            <v>8</v>
          </cell>
        </row>
        <row r="273">
          <cell r="U273">
            <v>0</v>
          </cell>
        </row>
        <row r="274">
          <cell r="U274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P275"/>
  <sheetViews>
    <sheetView zoomScale="95" zoomScaleNormal="95" workbookViewId="0">
      <pane xSplit="4" ySplit="5" topLeftCell="L151" activePane="bottomRight" state="frozenSplit"/>
      <selection activeCell="P25" sqref="P25"/>
      <selection pane="topRight" activeCell="P25" sqref="P25"/>
      <selection pane="bottomLeft" activeCell="P25" sqref="P25"/>
      <selection pane="bottomRight" activeCell="N151" sqref="N150:N151"/>
    </sheetView>
  </sheetViews>
  <sheetFormatPr baseColWidth="8" defaultRowHeight="12.75"/>
  <cols>
    <col width="9.5703125" customWidth="1" style="11" min="1" max="1"/>
    <col width="30.7109375" customWidth="1" style="49" min="2" max="2"/>
    <col width="14.7109375" customWidth="1" style="13" min="3" max="3"/>
    <col width="10.42578125" customWidth="1" style="14" min="4" max="4"/>
    <col width="11.85546875" customWidth="1" style="115" min="5" max="5"/>
    <col width="8.28515625" customWidth="1" style="63" min="6" max="6"/>
    <col width="17.28515625" customWidth="1" style="16" min="7" max="7"/>
    <col width="6.140625" customWidth="1" style="63" min="8" max="8"/>
    <col width="15.140625" customWidth="1" style="15" min="9" max="9"/>
    <col width="9.140625" customWidth="1" style="63" min="10" max="10"/>
    <col width="15.7109375" customWidth="1" style="16" min="11" max="11"/>
    <col width="6.85546875" customWidth="1" style="50" min="12" max="12"/>
    <col width="13.28515625" customWidth="1" style="16" min="13" max="13"/>
    <col width="9.42578125" customWidth="1" style="13" min="14" max="14"/>
    <col width="12.85546875" customWidth="1" style="15" min="15" max="15"/>
    <col width="10.140625" customWidth="1" style="13" min="16" max="16"/>
    <col width="11.140625" customWidth="1" style="16" min="17" max="17"/>
    <col width="7" customWidth="1" style="13" min="18" max="18"/>
    <col width="10.85546875" customWidth="1" style="13" min="19" max="19"/>
    <col width="5.85546875" customWidth="1" style="13" min="20" max="20"/>
    <col width="10" customWidth="1" style="1" min="21" max="21"/>
    <col width="18" customWidth="1" style="51" min="22" max="255"/>
    <col width="9.5703125" customWidth="1" style="51" min="256" max="256"/>
    <col width="30.7109375" customWidth="1" style="51" min="257" max="257"/>
    <col width="14.7109375" customWidth="1" style="51" min="258" max="258"/>
    <col width="8.28515625" customWidth="1" style="51" min="259" max="259"/>
    <col width="11.85546875" customWidth="1" style="51" min="260" max="260"/>
    <col width="8.28515625" customWidth="1" style="51" min="261" max="261"/>
    <col width="17.28515625" customWidth="1" style="51" min="262" max="262"/>
    <col width="6.140625" customWidth="1" style="51" min="263" max="263"/>
    <col width="15.140625" customWidth="1" style="51" min="264" max="264"/>
    <col width="9.140625" customWidth="1" style="51" min="265" max="265"/>
    <col width="15" customWidth="1" style="51" min="266" max="266"/>
    <col width="6.85546875" customWidth="1" style="51" min="267" max="267"/>
    <col width="13.28515625" customWidth="1" style="51" min="268" max="268"/>
    <col width="9.42578125" customWidth="1" style="51" min="269" max="269"/>
    <col width="11" customWidth="1" style="51" min="270" max="270"/>
    <col width="10.140625" customWidth="1" style="51" min="271" max="271"/>
    <col width="11.140625" customWidth="1" style="51" min="272" max="272"/>
    <col width="7" customWidth="1" style="51" min="273" max="273"/>
    <col width="10.85546875" customWidth="1" style="51" min="274" max="274"/>
    <col width="5.85546875" customWidth="1" style="51" min="275" max="275"/>
    <col width="10" customWidth="1" style="51" min="276" max="276"/>
    <col width="9.140625" customWidth="1" style="51" min="277" max="511"/>
    <col width="9.5703125" customWidth="1" style="51" min="512" max="512"/>
    <col width="30.7109375" customWidth="1" style="51" min="513" max="513"/>
    <col width="14.7109375" customWidth="1" style="51" min="514" max="514"/>
    <col width="8.28515625" customWidth="1" style="51" min="515" max="515"/>
    <col width="11.85546875" customWidth="1" style="51" min="516" max="516"/>
    <col width="8.28515625" customWidth="1" style="51" min="517" max="517"/>
    <col width="17.28515625" customWidth="1" style="51" min="518" max="518"/>
    <col width="6.140625" customWidth="1" style="51" min="519" max="519"/>
    <col width="15.140625" customWidth="1" style="51" min="520" max="520"/>
    <col width="9.140625" customWidth="1" style="51" min="521" max="521"/>
    <col width="15" customWidth="1" style="51" min="522" max="522"/>
    <col width="6.85546875" customWidth="1" style="51" min="523" max="523"/>
    <col width="13.28515625" customWidth="1" style="51" min="524" max="524"/>
    <col width="9.42578125" customWidth="1" style="51" min="525" max="525"/>
    <col width="11" customWidth="1" style="51" min="526" max="526"/>
    <col width="10.140625" customWidth="1" style="51" min="527" max="527"/>
    <col width="11.140625" customWidth="1" style="51" min="528" max="528"/>
    <col width="7" customWidth="1" style="51" min="529" max="529"/>
    <col width="10.85546875" customWidth="1" style="51" min="530" max="530"/>
    <col width="5.85546875" customWidth="1" style="51" min="531" max="531"/>
    <col width="10" customWidth="1" style="51" min="532" max="532"/>
    <col width="9.140625" customWidth="1" style="51" min="533" max="767"/>
    <col width="9.5703125" customWidth="1" style="51" min="768" max="768"/>
    <col width="30.7109375" customWidth="1" style="51" min="769" max="769"/>
    <col width="14.7109375" customWidth="1" style="51" min="770" max="770"/>
    <col width="8.28515625" customWidth="1" style="51" min="771" max="771"/>
    <col width="11.85546875" customWidth="1" style="51" min="772" max="772"/>
    <col width="8.28515625" customWidth="1" style="51" min="773" max="773"/>
    <col width="17.28515625" customWidth="1" style="51" min="774" max="774"/>
    <col width="6.140625" customWidth="1" style="51" min="775" max="775"/>
    <col width="15.140625" customWidth="1" style="51" min="776" max="776"/>
    <col width="9.140625" customWidth="1" style="51" min="777" max="777"/>
    <col width="15" customWidth="1" style="51" min="778" max="778"/>
    <col width="6.85546875" customWidth="1" style="51" min="779" max="779"/>
    <col width="13.28515625" customWidth="1" style="51" min="780" max="780"/>
    <col width="9.42578125" customWidth="1" style="51" min="781" max="781"/>
    <col width="11" customWidth="1" style="51" min="782" max="782"/>
    <col width="10.140625" customWidth="1" style="51" min="783" max="783"/>
    <col width="11.140625" customWidth="1" style="51" min="784" max="784"/>
    <col width="7" customWidth="1" style="51" min="785" max="785"/>
    <col width="10.85546875" customWidth="1" style="51" min="786" max="786"/>
    <col width="5.85546875" customWidth="1" style="51" min="787" max="787"/>
    <col width="10" customWidth="1" style="51" min="788" max="788"/>
    <col width="9.140625" customWidth="1" style="51" min="789" max="1023"/>
    <col width="9.5703125" customWidth="1" style="51" min="1024" max="1024"/>
    <col width="30.7109375" customWidth="1" style="51" min="1025" max="1025"/>
    <col width="14.7109375" customWidth="1" style="51" min="1026" max="1026"/>
    <col width="8.28515625" customWidth="1" style="51" min="1027" max="1027"/>
    <col width="11.85546875" customWidth="1" style="51" min="1028" max="1028"/>
    <col width="8.28515625" customWidth="1" style="51" min="1029" max="1029"/>
    <col width="17.28515625" customWidth="1" style="51" min="1030" max="1030"/>
    <col width="6.140625" customWidth="1" style="51" min="1031" max="1031"/>
    <col width="15.140625" customWidth="1" style="51" min="1032" max="1032"/>
    <col width="9.140625" customWidth="1" style="51" min="1033" max="1033"/>
    <col width="15" customWidth="1" style="51" min="1034" max="1034"/>
    <col width="6.85546875" customWidth="1" style="51" min="1035" max="1035"/>
    <col width="13.28515625" customWidth="1" style="51" min="1036" max="1036"/>
    <col width="9.42578125" customWidth="1" style="51" min="1037" max="1037"/>
    <col width="11" customWidth="1" style="51" min="1038" max="1038"/>
    <col width="10.140625" customWidth="1" style="51" min="1039" max="1039"/>
    <col width="11.140625" customWidth="1" style="51" min="1040" max="1040"/>
    <col width="7" customWidth="1" style="51" min="1041" max="1041"/>
    <col width="10.85546875" customWidth="1" style="51" min="1042" max="1042"/>
    <col width="5.85546875" customWidth="1" style="51" min="1043" max="1043"/>
    <col width="10" customWidth="1" style="51" min="1044" max="1044"/>
    <col width="9.140625" customWidth="1" style="51" min="1045" max="1279"/>
    <col width="9.5703125" customWidth="1" style="51" min="1280" max="1280"/>
    <col width="30.7109375" customWidth="1" style="51" min="1281" max="1281"/>
    <col width="14.7109375" customWidth="1" style="51" min="1282" max="1282"/>
    <col width="8.28515625" customWidth="1" style="51" min="1283" max="1283"/>
    <col width="11.85546875" customWidth="1" style="51" min="1284" max="1284"/>
    <col width="8.28515625" customWidth="1" style="51" min="1285" max="1285"/>
    <col width="17.28515625" customWidth="1" style="51" min="1286" max="1286"/>
    <col width="6.140625" customWidth="1" style="51" min="1287" max="1287"/>
    <col width="15.140625" customWidth="1" style="51" min="1288" max="1288"/>
    <col width="9.140625" customWidth="1" style="51" min="1289" max="1289"/>
    <col width="15" customWidth="1" style="51" min="1290" max="1290"/>
    <col width="6.85546875" customWidth="1" style="51" min="1291" max="1291"/>
    <col width="13.28515625" customWidth="1" style="51" min="1292" max="1292"/>
    <col width="9.42578125" customWidth="1" style="51" min="1293" max="1293"/>
    <col width="11" customWidth="1" style="51" min="1294" max="1294"/>
    <col width="10.140625" customWidth="1" style="51" min="1295" max="1295"/>
    <col width="11.140625" customWidth="1" style="51" min="1296" max="1296"/>
    <col width="7" customWidth="1" style="51" min="1297" max="1297"/>
    <col width="10.85546875" customWidth="1" style="51" min="1298" max="1298"/>
    <col width="5.85546875" customWidth="1" style="51" min="1299" max="1299"/>
    <col width="10" customWidth="1" style="51" min="1300" max="1300"/>
    <col width="9.140625" customWidth="1" style="51" min="1301" max="1535"/>
    <col width="9.5703125" customWidth="1" style="51" min="1536" max="1536"/>
    <col width="30.7109375" customWidth="1" style="51" min="1537" max="1537"/>
    <col width="14.7109375" customWidth="1" style="51" min="1538" max="1538"/>
    <col width="8.28515625" customWidth="1" style="51" min="1539" max="1539"/>
    <col width="11.85546875" customWidth="1" style="51" min="1540" max="1540"/>
    <col width="8.28515625" customWidth="1" style="51" min="1541" max="1541"/>
    <col width="17.28515625" customWidth="1" style="51" min="1542" max="1542"/>
    <col width="6.140625" customWidth="1" style="51" min="1543" max="1543"/>
    <col width="15.140625" customWidth="1" style="51" min="1544" max="1544"/>
    <col width="9.140625" customWidth="1" style="51" min="1545" max="1545"/>
    <col width="15" customWidth="1" style="51" min="1546" max="1546"/>
    <col width="6.85546875" customWidth="1" style="51" min="1547" max="1547"/>
    <col width="13.28515625" customWidth="1" style="51" min="1548" max="1548"/>
    <col width="9.42578125" customWidth="1" style="51" min="1549" max="1549"/>
    <col width="11" customWidth="1" style="51" min="1550" max="1550"/>
    <col width="10.140625" customWidth="1" style="51" min="1551" max="1551"/>
    <col width="11.140625" customWidth="1" style="51" min="1552" max="1552"/>
    <col width="7" customWidth="1" style="51" min="1553" max="1553"/>
    <col width="10.85546875" customWidth="1" style="51" min="1554" max="1554"/>
    <col width="5.85546875" customWidth="1" style="51" min="1555" max="1555"/>
    <col width="10" customWidth="1" style="51" min="1556" max="1556"/>
    <col width="9.140625" customWidth="1" style="51" min="1557" max="1791"/>
    <col width="9.5703125" customWidth="1" style="51" min="1792" max="1792"/>
    <col width="30.7109375" customWidth="1" style="51" min="1793" max="1793"/>
    <col width="14.7109375" customWidth="1" style="51" min="1794" max="1794"/>
    <col width="8.28515625" customWidth="1" style="51" min="1795" max="1795"/>
    <col width="11.85546875" customWidth="1" style="51" min="1796" max="1796"/>
    <col width="8.28515625" customWidth="1" style="51" min="1797" max="1797"/>
    <col width="17.28515625" customWidth="1" style="51" min="1798" max="1798"/>
    <col width="6.140625" customWidth="1" style="51" min="1799" max="1799"/>
    <col width="15.140625" customWidth="1" style="51" min="1800" max="1800"/>
    <col width="9.140625" customWidth="1" style="51" min="1801" max="1801"/>
    <col width="15" customWidth="1" style="51" min="1802" max="1802"/>
    <col width="6.85546875" customWidth="1" style="51" min="1803" max="1803"/>
    <col width="13.28515625" customWidth="1" style="51" min="1804" max="1804"/>
    <col width="9.42578125" customWidth="1" style="51" min="1805" max="1805"/>
    <col width="11" customWidth="1" style="51" min="1806" max="1806"/>
    <col width="10.140625" customWidth="1" style="51" min="1807" max="1807"/>
    <col width="11.140625" customWidth="1" style="51" min="1808" max="1808"/>
    <col width="7" customWidth="1" style="51" min="1809" max="1809"/>
    <col width="10.85546875" customWidth="1" style="51" min="1810" max="1810"/>
    <col width="5.85546875" customWidth="1" style="51" min="1811" max="1811"/>
    <col width="10" customWidth="1" style="51" min="1812" max="1812"/>
    <col width="9.140625" customWidth="1" style="51" min="1813" max="2047"/>
    <col width="9.5703125" customWidth="1" style="51" min="2048" max="2048"/>
    <col width="30.7109375" customWidth="1" style="51" min="2049" max="2049"/>
    <col width="14.7109375" customWidth="1" style="51" min="2050" max="2050"/>
    <col width="8.28515625" customWidth="1" style="51" min="2051" max="2051"/>
    <col width="11.85546875" customWidth="1" style="51" min="2052" max="2052"/>
    <col width="8.28515625" customWidth="1" style="51" min="2053" max="2053"/>
    <col width="17.28515625" customWidth="1" style="51" min="2054" max="2054"/>
    <col width="6.140625" customWidth="1" style="51" min="2055" max="2055"/>
    <col width="15.140625" customWidth="1" style="51" min="2056" max="2056"/>
    <col width="9.140625" customWidth="1" style="51" min="2057" max="2057"/>
    <col width="15" customWidth="1" style="51" min="2058" max="2058"/>
    <col width="6.85546875" customWidth="1" style="51" min="2059" max="2059"/>
    <col width="13.28515625" customWidth="1" style="51" min="2060" max="2060"/>
    <col width="9.42578125" customWidth="1" style="51" min="2061" max="2061"/>
    <col width="11" customWidth="1" style="51" min="2062" max="2062"/>
    <col width="10.140625" customWidth="1" style="51" min="2063" max="2063"/>
    <col width="11.140625" customWidth="1" style="51" min="2064" max="2064"/>
    <col width="7" customWidth="1" style="51" min="2065" max="2065"/>
    <col width="10.85546875" customWidth="1" style="51" min="2066" max="2066"/>
    <col width="5.85546875" customWidth="1" style="51" min="2067" max="2067"/>
    <col width="10" customWidth="1" style="51" min="2068" max="2068"/>
    <col width="9.140625" customWidth="1" style="51" min="2069" max="2303"/>
    <col width="9.5703125" customWidth="1" style="51" min="2304" max="2304"/>
    <col width="30.7109375" customWidth="1" style="51" min="2305" max="2305"/>
    <col width="14.7109375" customWidth="1" style="51" min="2306" max="2306"/>
    <col width="8.28515625" customWidth="1" style="51" min="2307" max="2307"/>
    <col width="11.85546875" customWidth="1" style="51" min="2308" max="2308"/>
    <col width="8.28515625" customWidth="1" style="51" min="2309" max="2309"/>
    <col width="17.28515625" customWidth="1" style="51" min="2310" max="2310"/>
    <col width="6.140625" customWidth="1" style="51" min="2311" max="2311"/>
    <col width="15.140625" customWidth="1" style="51" min="2312" max="2312"/>
    <col width="9.140625" customWidth="1" style="51" min="2313" max="2313"/>
    <col width="15" customWidth="1" style="51" min="2314" max="2314"/>
    <col width="6.85546875" customWidth="1" style="51" min="2315" max="2315"/>
    <col width="13.28515625" customWidth="1" style="51" min="2316" max="2316"/>
    <col width="9.42578125" customWidth="1" style="51" min="2317" max="2317"/>
    <col width="11" customWidth="1" style="51" min="2318" max="2318"/>
    <col width="10.140625" customWidth="1" style="51" min="2319" max="2319"/>
    <col width="11.140625" customWidth="1" style="51" min="2320" max="2320"/>
    <col width="7" customWidth="1" style="51" min="2321" max="2321"/>
    <col width="10.85546875" customWidth="1" style="51" min="2322" max="2322"/>
    <col width="5.85546875" customWidth="1" style="51" min="2323" max="2323"/>
    <col width="10" customWidth="1" style="51" min="2324" max="2324"/>
    <col width="9.140625" customWidth="1" style="51" min="2325" max="2559"/>
    <col width="9.5703125" customWidth="1" style="51" min="2560" max="2560"/>
    <col width="30.7109375" customWidth="1" style="51" min="2561" max="2561"/>
    <col width="14.7109375" customWidth="1" style="51" min="2562" max="2562"/>
    <col width="8.28515625" customWidth="1" style="51" min="2563" max="2563"/>
    <col width="11.85546875" customWidth="1" style="51" min="2564" max="2564"/>
    <col width="8.28515625" customWidth="1" style="51" min="2565" max="2565"/>
    <col width="17.28515625" customWidth="1" style="51" min="2566" max="2566"/>
    <col width="6.140625" customWidth="1" style="51" min="2567" max="2567"/>
    <col width="15.140625" customWidth="1" style="51" min="2568" max="2568"/>
    <col width="9.140625" customWidth="1" style="51" min="2569" max="2569"/>
    <col width="15" customWidth="1" style="51" min="2570" max="2570"/>
    <col width="6.85546875" customWidth="1" style="51" min="2571" max="2571"/>
    <col width="13.28515625" customWidth="1" style="51" min="2572" max="2572"/>
    <col width="9.42578125" customWidth="1" style="51" min="2573" max="2573"/>
    <col width="11" customWidth="1" style="51" min="2574" max="2574"/>
    <col width="10.140625" customWidth="1" style="51" min="2575" max="2575"/>
    <col width="11.140625" customWidth="1" style="51" min="2576" max="2576"/>
    <col width="7" customWidth="1" style="51" min="2577" max="2577"/>
    <col width="10.85546875" customWidth="1" style="51" min="2578" max="2578"/>
    <col width="5.85546875" customWidth="1" style="51" min="2579" max="2579"/>
    <col width="10" customWidth="1" style="51" min="2580" max="2580"/>
    <col width="9.140625" customWidth="1" style="51" min="2581" max="2815"/>
    <col width="9.5703125" customWidth="1" style="51" min="2816" max="2816"/>
    <col width="30.7109375" customWidth="1" style="51" min="2817" max="2817"/>
    <col width="14.7109375" customWidth="1" style="51" min="2818" max="2818"/>
    <col width="8.28515625" customWidth="1" style="51" min="2819" max="2819"/>
    <col width="11.85546875" customWidth="1" style="51" min="2820" max="2820"/>
    <col width="8.28515625" customWidth="1" style="51" min="2821" max="2821"/>
    <col width="17.28515625" customWidth="1" style="51" min="2822" max="2822"/>
    <col width="6.140625" customWidth="1" style="51" min="2823" max="2823"/>
    <col width="15.140625" customWidth="1" style="51" min="2824" max="2824"/>
    <col width="9.140625" customWidth="1" style="51" min="2825" max="2825"/>
    <col width="15" customWidth="1" style="51" min="2826" max="2826"/>
    <col width="6.85546875" customWidth="1" style="51" min="2827" max="2827"/>
    <col width="13.28515625" customWidth="1" style="51" min="2828" max="2828"/>
    <col width="9.42578125" customWidth="1" style="51" min="2829" max="2829"/>
    <col width="11" customWidth="1" style="51" min="2830" max="2830"/>
    <col width="10.140625" customWidth="1" style="51" min="2831" max="2831"/>
    <col width="11.140625" customWidth="1" style="51" min="2832" max="2832"/>
    <col width="7" customWidth="1" style="51" min="2833" max="2833"/>
    <col width="10.85546875" customWidth="1" style="51" min="2834" max="2834"/>
    <col width="5.85546875" customWidth="1" style="51" min="2835" max="2835"/>
    <col width="10" customWidth="1" style="51" min="2836" max="2836"/>
    <col width="9.140625" customWidth="1" style="51" min="2837" max="3071"/>
    <col width="9.5703125" customWidth="1" style="51" min="3072" max="3072"/>
    <col width="30.7109375" customWidth="1" style="51" min="3073" max="3073"/>
    <col width="14.7109375" customWidth="1" style="51" min="3074" max="3074"/>
    <col width="8.28515625" customWidth="1" style="51" min="3075" max="3075"/>
    <col width="11.85546875" customWidth="1" style="51" min="3076" max="3076"/>
    <col width="8.28515625" customWidth="1" style="51" min="3077" max="3077"/>
    <col width="17.28515625" customWidth="1" style="51" min="3078" max="3078"/>
    <col width="6.140625" customWidth="1" style="51" min="3079" max="3079"/>
    <col width="15.140625" customWidth="1" style="51" min="3080" max="3080"/>
    <col width="9.140625" customWidth="1" style="51" min="3081" max="3081"/>
    <col width="15" customWidth="1" style="51" min="3082" max="3082"/>
    <col width="6.85546875" customWidth="1" style="51" min="3083" max="3083"/>
    <col width="13.28515625" customWidth="1" style="51" min="3084" max="3084"/>
    <col width="9.42578125" customWidth="1" style="51" min="3085" max="3085"/>
    <col width="11" customWidth="1" style="51" min="3086" max="3086"/>
    <col width="10.140625" customWidth="1" style="51" min="3087" max="3087"/>
    <col width="11.140625" customWidth="1" style="51" min="3088" max="3088"/>
    <col width="7" customWidth="1" style="51" min="3089" max="3089"/>
    <col width="10.85546875" customWidth="1" style="51" min="3090" max="3090"/>
    <col width="5.85546875" customWidth="1" style="51" min="3091" max="3091"/>
    <col width="10" customWidth="1" style="51" min="3092" max="3092"/>
    <col width="9.140625" customWidth="1" style="51" min="3093" max="3327"/>
    <col width="9.5703125" customWidth="1" style="51" min="3328" max="3328"/>
    <col width="30.7109375" customWidth="1" style="51" min="3329" max="3329"/>
    <col width="14.7109375" customWidth="1" style="51" min="3330" max="3330"/>
    <col width="8.28515625" customWidth="1" style="51" min="3331" max="3331"/>
    <col width="11.85546875" customWidth="1" style="51" min="3332" max="3332"/>
    <col width="8.28515625" customWidth="1" style="51" min="3333" max="3333"/>
    <col width="17.28515625" customWidth="1" style="51" min="3334" max="3334"/>
    <col width="6.140625" customWidth="1" style="51" min="3335" max="3335"/>
    <col width="15.140625" customWidth="1" style="51" min="3336" max="3336"/>
    <col width="9.140625" customWidth="1" style="51" min="3337" max="3337"/>
    <col width="15" customWidth="1" style="51" min="3338" max="3338"/>
    <col width="6.85546875" customWidth="1" style="51" min="3339" max="3339"/>
    <col width="13.28515625" customWidth="1" style="51" min="3340" max="3340"/>
    <col width="9.42578125" customWidth="1" style="51" min="3341" max="3341"/>
    <col width="11" customWidth="1" style="51" min="3342" max="3342"/>
    <col width="10.140625" customWidth="1" style="51" min="3343" max="3343"/>
    <col width="11.140625" customWidth="1" style="51" min="3344" max="3344"/>
    <col width="7" customWidth="1" style="51" min="3345" max="3345"/>
    <col width="10.85546875" customWidth="1" style="51" min="3346" max="3346"/>
    <col width="5.85546875" customWidth="1" style="51" min="3347" max="3347"/>
    <col width="10" customWidth="1" style="51" min="3348" max="3348"/>
    <col width="9.140625" customWidth="1" style="51" min="3349" max="3583"/>
    <col width="9.5703125" customWidth="1" style="51" min="3584" max="3584"/>
    <col width="30.7109375" customWidth="1" style="51" min="3585" max="3585"/>
    <col width="14.7109375" customWidth="1" style="51" min="3586" max="3586"/>
    <col width="8.28515625" customWidth="1" style="51" min="3587" max="3587"/>
    <col width="11.85546875" customWidth="1" style="51" min="3588" max="3588"/>
    <col width="8.28515625" customWidth="1" style="51" min="3589" max="3589"/>
    <col width="17.28515625" customWidth="1" style="51" min="3590" max="3590"/>
    <col width="6.140625" customWidth="1" style="51" min="3591" max="3591"/>
    <col width="15.140625" customWidth="1" style="51" min="3592" max="3592"/>
    <col width="9.140625" customWidth="1" style="51" min="3593" max="3593"/>
    <col width="15" customWidth="1" style="51" min="3594" max="3594"/>
    <col width="6.85546875" customWidth="1" style="51" min="3595" max="3595"/>
    <col width="13.28515625" customWidth="1" style="51" min="3596" max="3596"/>
    <col width="9.42578125" customWidth="1" style="51" min="3597" max="3597"/>
    <col width="11" customWidth="1" style="51" min="3598" max="3598"/>
    <col width="10.140625" customWidth="1" style="51" min="3599" max="3599"/>
    <col width="11.140625" customWidth="1" style="51" min="3600" max="3600"/>
    <col width="7" customWidth="1" style="51" min="3601" max="3601"/>
    <col width="10.85546875" customWidth="1" style="51" min="3602" max="3602"/>
    <col width="5.85546875" customWidth="1" style="51" min="3603" max="3603"/>
    <col width="10" customWidth="1" style="51" min="3604" max="3604"/>
    <col width="9.140625" customWidth="1" style="51" min="3605" max="3839"/>
    <col width="9.5703125" customWidth="1" style="51" min="3840" max="3840"/>
    <col width="30.7109375" customWidth="1" style="51" min="3841" max="3841"/>
    <col width="14.7109375" customWidth="1" style="51" min="3842" max="3842"/>
    <col width="8.28515625" customWidth="1" style="51" min="3843" max="3843"/>
    <col width="11.85546875" customWidth="1" style="51" min="3844" max="3844"/>
    <col width="8.28515625" customWidth="1" style="51" min="3845" max="3845"/>
    <col width="17.28515625" customWidth="1" style="51" min="3846" max="3846"/>
    <col width="6.140625" customWidth="1" style="51" min="3847" max="3847"/>
    <col width="15.140625" customWidth="1" style="51" min="3848" max="3848"/>
    <col width="9.140625" customWidth="1" style="51" min="3849" max="3849"/>
    <col width="15" customWidth="1" style="51" min="3850" max="3850"/>
    <col width="6.85546875" customWidth="1" style="51" min="3851" max="3851"/>
    <col width="13.28515625" customWidth="1" style="51" min="3852" max="3852"/>
    <col width="9.42578125" customWidth="1" style="51" min="3853" max="3853"/>
    <col width="11" customWidth="1" style="51" min="3854" max="3854"/>
    <col width="10.140625" customWidth="1" style="51" min="3855" max="3855"/>
    <col width="11.140625" customWidth="1" style="51" min="3856" max="3856"/>
    <col width="7" customWidth="1" style="51" min="3857" max="3857"/>
    <col width="10.85546875" customWidth="1" style="51" min="3858" max="3858"/>
    <col width="5.85546875" customWidth="1" style="51" min="3859" max="3859"/>
    <col width="10" customWidth="1" style="51" min="3860" max="3860"/>
    <col width="9.140625" customWidth="1" style="51" min="3861" max="4095"/>
    <col width="9.5703125" customWidth="1" style="51" min="4096" max="4096"/>
    <col width="30.7109375" customWidth="1" style="51" min="4097" max="4097"/>
    <col width="14.7109375" customWidth="1" style="51" min="4098" max="4098"/>
    <col width="8.28515625" customWidth="1" style="51" min="4099" max="4099"/>
    <col width="11.85546875" customWidth="1" style="51" min="4100" max="4100"/>
    <col width="8.28515625" customWidth="1" style="51" min="4101" max="4101"/>
    <col width="17.28515625" customWidth="1" style="51" min="4102" max="4102"/>
    <col width="6.140625" customWidth="1" style="51" min="4103" max="4103"/>
    <col width="15.140625" customWidth="1" style="51" min="4104" max="4104"/>
    <col width="9.140625" customWidth="1" style="51" min="4105" max="4105"/>
    <col width="15" customWidth="1" style="51" min="4106" max="4106"/>
    <col width="6.85546875" customWidth="1" style="51" min="4107" max="4107"/>
    <col width="13.28515625" customWidth="1" style="51" min="4108" max="4108"/>
    <col width="9.42578125" customWidth="1" style="51" min="4109" max="4109"/>
    <col width="11" customWidth="1" style="51" min="4110" max="4110"/>
    <col width="10.140625" customWidth="1" style="51" min="4111" max="4111"/>
    <col width="11.140625" customWidth="1" style="51" min="4112" max="4112"/>
    <col width="7" customWidth="1" style="51" min="4113" max="4113"/>
    <col width="10.85546875" customWidth="1" style="51" min="4114" max="4114"/>
    <col width="5.85546875" customWidth="1" style="51" min="4115" max="4115"/>
    <col width="10" customWidth="1" style="51" min="4116" max="4116"/>
    <col width="9.140625" customWidth="1" style="51" min="4117" max="4351"/>
    <col width="9.5703125" customWidth="1" style="51" min="4352" max="4352"/>
    <col width="30.7109375" customWidth="1" style="51" min="4353" max="4353"/>
    <col width="14.7109375" customWidth="1" style="51" min="4354" max="4354"/>
    <col width="8.28515625" customWidth="1" style="51" min="4355" max="4355"/>
    <col width="11.85546875" customWidth="1" style="51" min="4356" max="4356"/>
    <col width="8.28515625" customWidth="1" style="51" min="4357" max="4357"/>
    <col width="17.28515625" customWidth="1" style="51" min="4358" max="4358"/>
    <col width="6.140625" customWidth="1" style="51" min="4359" max="4359"/>
    <col width="15.140625" customWidth="1" style="51" min="4360" max="4360"/>
    <col width="9.140625" customWidth="1" style="51" min="4361" max="4361"/>
    <col width="15" customWidth="1" style="51" min="4362" max="4362"/>
    <col width="6.85546875" customWidth="1" style="51" min="4363" max="4363"/>
    <col width="13.28515625" customWidth="1" style="51" min="4364" max="4364"/>
    <col width="9.42578125" customWidth="1" style="51" min="4365" max="4365"/>
    <col width="11" customWidth="1" style="51" min="4366" max="4366"/>
    <col width="10.140625" customWidth="1" style="51" min="4367" max="4367"/>
    <col width="11.140625" customWidth="1" style="51" min="4368" max="4368"/>
    <col width="7" customWidth="1" style="51" min="4369" max="4369"/>
    <col width="10.85546875" customWidth="1" style="51" min="4370" max="4370"/>
    <col width="5.85546875" customWidth="1" style="51" min="4371" max="4371"/>
    <col width="10" customWidth="1" style="51" min="4372" max="4372"/>
    <col width="9.140625" customWidth="1" style="51" min="4373" max="4607"/>
    <col width="9.5703125" customWidth="1" style="51" min="4608" max="4608"/>
    <col width="30.7109375" customWidth="1" style="51" min="4609" max="4609"/>
    <col width="14.7109375" customWidth="1" style="51" min="4610" max="4610"/>
    <col width="8.28515625" customWidth="1" style="51" min="4611" max="4611"/>
    <col width="11.85546875" customWidth="1" style="51" min="4612" max="4612"/>
    <col width="8.28515625" customWidth="1" style="51" min="4613" max="4613"/>
    <col width="17.28515625" customWidth="1" style="51" min="4614" max="4614"/>
    <col width="6.140625" customWidth="1" style="51" min="4615" max="4615"/>
    <col width="15.140625" customWidth="1" style="51" min="4616" max="4616"/>
    <col width="9.140625" customWidth="1" style="51" min="4617" max="4617"/>
    <col width="15" customWidth="1" style="51" min="4618" max="4618"/>
    <col width="6.85546875" customWidth="1" style="51" min="4619" max="4619"/>
    <col width="13.28515625" customWidth="1" style="51" min="4620" max="4620"/>
    <col width="9.42578125" customWidth="1" style="51" min="4621" max="4621"/>
    <col width="11" customWidth="1" style="51" min="4622" max="4622"/>
    <col width="10.140625" customWidth="1" style="51" min="4623" max="4623"/>
    <col width="11.140625" customWidth="1" style="51" min="4624" max="4624"/>
    <col width="7" customWidth="1" style="51" min="4625" max="4625"/>
    <col width="10.85546875" customWidth="1" style="51" min="4626" max="4626"/>
    <col width="5.85546875" customWidth="1" style="51" min="4627" max="4627"/>
    <col width="10" customWidth="1" style="51" min="4628" max="4628"/>
    <col width="9.140625" customWidth="1" style="51" min="4629" max="4863"/>
    <col width="9.5703125" customWidth="1" style="51" min="4864" max="4864"/>
    <col width="30.7109375" customWidth="1" style="51" min="4865" max="4865"/>
    <col width="14.7109375" customWidth="1" style="51" min="4866" max="4866"/>
    <col width="8.28515625" customWidth="1" style="51" min="4867" max="4867"/>
    <col width="11.85546875" customWidth="1" style="51" min="4868" max="4868"/>
    <col width="8.28515625" customWidth="1" style="51" min="4869" max="4869"/>
    <col width="17.28515625" customWidth="1" style="51" min="4870" max="4870"/>
    <col width="6.140625" customWidth="1" style="51" min="4871" max="4871"/>
    <col width="15.140625" customWidth="1" style="51" min="4872" max="4872"/>
    <col width="9.140625" customWidth="1" style="51" min="4873" max="4873"/>
    <col width="15" customWidth="1" style="51" min="4874" max="4874"/>
    <col width="6.85546875" customWidth="1" style="51" min="4875" max="4875"/>
    <col width="13.28515625" customWidth="1" style="51" min="4876" max="4876"/>
    <col width="9.42578125" customWidth="1" style="51" min="4877" max="4877"/>
    <col width="11" customWidth="1" style="51" min="4878" max="4878"/>
    <col width="10.140625" customWidth="1" style="51" min="4879" max="4879"/>
    <col width="11.140625" customWidth="1" style="51" min="4880" max="4880"/>
    <col width="7" customWidth="1" style="51" min="4881" max="4881"/>
    <col width="10.85546875" customWidth="1" style="51" min="4882" max="4882"/>
    <col width="5.85546875" customWidth="1" style="51" min="4883" max="4883"/>
    <col width="10" customWidth="1" style="51" min="4884" max="4884"/>
    <col width="9.140625" customWidth="1" style="51" min="4885" max="5119"/>
    <col width="9.5703125" customWidth="1" style="51" min="5120" max="5120"/>
    <col width="30.7109375" customWidth="1" style="51" min="5121" max="5121"/>
    <col width="14.7109375" customWidth="1" style="51" min="5122" max="5122"/>
    <col width="8.28515625" customWidth="1" style="51" min="5123" max="5123"/>
    <col width="11.85546875" customWidth="1" style="51" min="5124" max="5124"/>
    <col width="8.28515625" customWidth="1" style="51" min="5125" max="5125"/>
    <col width="17.28515625" customWidth="1" style="51" min="5126" max="5126"/>
    <col width="6.140625" customWidth="1" style="51" min="5127" max="5127"/>
    <col width="15.140625" customWidth="1" style="51" min="5128" max="5128"/>
    <col width="9.140625" customWidth="1" style="51" min="5129" max="5129"/>
    <col width="15" customWidth="1" style="51" min="5130" max="5130"/>
    <col width="6.85546875" customWidth="1" style="51" min="5131" max="5131"/>
    <col width="13.28515625" customWidth="1" style="51" min="5132" max="5132"/>
    <col width="9.42578125" customWidth="1" style="51" min="5133" max="5133"/>
    <col width="11" customWidth="1" style="51" min="5134" max="5134"/>
    <col width="10.140625" customWidth="1" style="51" min="5135" max="5135"/>
    <col width="11.140625" customWidth="1" style="51" min="5136" max="5136"/>
    <col width="7" customWidth="1" style="51" min="5137" max="5137"/>
    <col width="10.85546875" customWidth="1" style="51" min="5138" max="5138"/>
    <col width="5.85546875" customWidth="1" style="51" min="5139" max="5139"/>
    <col width="10" customWidth="1" style="51" min="5140" max="5140"/>
    <col width="9.140625" customWidth="1" style="51" min="5141" max="5375"/>
    <col width="9.5703125" customWidth="1" style="51" min="5376" max="5376"/>
    <col width="30.7109375" customWidth="1" style="51" min="5377" max="5377"/>
    <col width="14.7109375" customWidth="1" style="51" min="5378" max="5378"/>
    <col width="8.28515625" customWidth="1" style="51" min="5379" max="5379"/>
    <col width="11.85546875" customWidth="1" style="51" min="5380" max="5380"/>
    <col width="8.28515625" customWidth="1" style="51" min="5381" max="5381"/>
    <col width="17.28515625" customWidth="1" style="51" min="5382" max="5382"/>
    <col width="6.140625" customWidth="1" style="51" min="5383" max="5383"/>
    <col width="15.140625" customWidth="1" style="51" min="5384" max="5384"/>
    <col width="9.140625" customWidth="1" style="51" min="5385" max="5385"/>
    <col width="15" customWidth="1" style="51" min="5386" max="5386"/>
    <col width="6.85546875" customWidth="1" style="51" min="5387" max="5387"/>
    <col width="13.28515625" customWidth="1" style="51" min="5388" max="5388"/>
    <col width="9.42578125" customWidth="1" style="51" min="5389" max="5389"/>
    <col width="11" customWidth="1" style="51" min="5390" max="5390"/>
    <col width="10.140625" customWidth="1" style="51" min="5391" max="5391"/>
    <col width="11.140625" customWidth="1" style="51" min="5392" max="5392"/>
    <col width="7" customWidth="1" style="51" min="5393" max="5393"/>
    <col width="10.85546875" customWidth="1" style="51" min="5394" max="5394"/>
    <col width="5.85546875" customWidth="1" style="51" min="5395" max="5395"/>
    <col width="10" customWidth="1" style="51" min="5396" max="5396"/>
    <col width="9.140625" customWidth="1" style="51" min="5397" max="5631"/>
    <col width="9.5703125" customWidth="1" style="51" min="5632" max="5632"/>
    <col width="30.7109375" customWidth="1" style="51" min="5633" max="5633"/>
    <col width="14.7109375" customWidth="1" style="51" min="5634" max="5634"/>
    <col width="8.28515625" customWidth="1" style="51" min="5635" max="5635"/>
    <col width="11.85546875" customWidth="1" style="51" min="5636" max="5636"/>
    <col width="8.28515625" customWidth="1" style="51" min="5637" max="5637"/>
    <col width="17.28515625" customWidth="1" style="51" min="5638" max="5638"/>
    <col width="6.140625" customWidth="1" style="51" min="5639" max="5639"/>
    <col width="15.140625" customWidth="1" style="51" min="5640" max="5640"/>
    <col width="9.140625" customWidth="1" style="51" min="5641" max="5641"/>
    <col width="15" customWidth="1" style="51" min="5642" max="5642"/>
    <col width="6.85546875" customWidth="1" style="51" min="5643" max="5643"/>
    <col width="13.28515625" customWidth="1" style="51" min="5644" max="5644"/>
    <col width="9.42578125" customWidth="1" style="51" min="5645" max="5645"/>
    <col width="11" customWidth="1" style="51" min="5646" max="5646"/>
    <col width="10.140625" customWidth="1" style="51" min="5647" max="5647"/>
    <col width="11.140625" customWidth="1" style="51" min="5648" max="5648"/>
    <col width="7" customWidth="1" style="51" min="5649" max="5649"/>
    <col width="10.85546875" customWidth="1" style="51" min="5650" max="5650"/>
    <col width="5.85546875" customWidth="1" style="51" min="5651" max="5651"/>
    <col width="10" customWidth="1" style="51" min="5652" max="5652"/>
    <col width="9.140625" customWidth="1" style="51" min="5653" max="5887"/>
    <col width="9.5703125" customWidth="1" style="51" min="5888" max="5888"/>
    <col width="30.7109375" customWidth="1" style="51" min="5889" max="5889"/>
    <col width="14.7109375" customWidth="1" style="51" min="5890" max="5890"/>
    <col width="8.28515625" customWidth="1" style="51" min="5891" max="5891"/>
    <col width="11.85546875" customWidth="1" style="51" min="5892" max="5892"/>
    <col width="8.28515625" customWidth="1" style="51" min="5893" max="5893"/>
    <col width="17.28515625" customWidth="1" style="51" min="5894" max="5894"/>
    <col width="6.140625" customWidth="1" style="51" min="5895" max="5895"/>
    <col width="15.140625" customWidth="1" style="51" min="5896" max="5896"/>
    <col width="9.140625" customWidth="1" style="51" min="5897" max="5897"/>
    <col width="15" customWidth="1" style="51" min="5898" max="5898"/>
    <col width="6.85546875" customWidth="1" style="51" min="5899" max="5899"/>
    <col width="13.28515625" customWidth="1" style="51" min="5900" max="5900"/>
    <col width="9.42578125" customWidth="1" style="51" min="5901" max="5901"/>
    <col width="11" customWidth="1" style="51" min="5902" max="5902"/>
    <col width="10.140625" customWidth="1" style="51" min="5903" max="5903"/>
    <col width="11.140625" customWidth="1" style="51" min="5904" max="5904"/>
    <col width="7" customWidth="1" style="51" min="5905" max="5905"/>
    <col width="10.85546875" customWidth="1" style="51" min="5906" max="5906"/>
    <col width="5.85546875" customWidth="1" style="51" min="5907" max="5907"/>
    <col width="10" customWidth="1" style="51" min="5908" max="5908"/>
    <col width="9.140625" customWidth="1" style="51" min="5909" max="6143"/>
    <col width="9.5703125" customWidth="1" style="51" min="6144" max="6144"/>
    <col width="30.7109375" customWidth="1" style="51" min="6145" max="6145"/>
    <col width="14.7109375" customWidth="1" style="51" min="6146" max="6146"/>
    <col width="8.28515625" customWidth="1" style="51" min="6147" max="6147"/>
    <col width="11.85546875" customWidth="1" style="51" min="6148" max="6148"/>
    <col width="8.28515625" customWidth="1" style="51" min="6149" max="6149"/>
    <col width="17.28515625" customWidth="1" style="51" min="6150" max="6150"/>
    <col width="6.140625" customWidth="1" style="51" min="6151" max="6151"/>
    <col width="15.140625" customWidth="1" style="51" min="6152" max="6152"/>
    <col width="9.140625" customWidth="1" style="51" min="6153" max="6153"/>
    <col width="15" customWidth="1" style="51" min="6154" max="6154"/>
    <col width="6.85546875" customWidth="1" style="51" min="6155" max="6155"/>
    <col width="13.28515625" customWidth="1" style="51" min="6156" max="6156"/>
    <col width="9.42578125" customWidth="1" style="51" min="6157" max="6157"/>
    <col width="11" customWidth="1" style="51" min="6158" max="6158"/>
    <col width="10.140625" customWidth="1" style="51" min="6159" max="6159"/>
    <col width="11.140625" customWidth="1" style="51" min="6160" max="6160"/>
    <col width="7" customWidth="1" style="51" min="6161" max="6161"/>
    <col width="10.85546875" customWidth="1" style="51" min="6162" max="6162"/>
    <col width="5.85546875" customWidth="1" style="51" min="6163" max="6163"/>
    <col width="10" customWidth="1" style="51" min="6164" max="6164"/>
    <col width="9.140625" customWidth="1" style="51" min="6165" max="6399"/>
    <col width="9.5703125" customWidth="1" style="51" min="6400" max="6400"/>
    <col width="30.7109375" customWidth="1" style="51" min="6401" max="6401"/>
    <col width="14.7109375" customWidth="1" style="51" min="6402" max="6402"/>
    <col width="8.28515625" customWidth="1" style="51" min="6403" max="6403"/>
    <col width="11.85546875" customWidth="1" style="51" min="6404" max="6404"/>
    <col width="8.28515625" customWidth="1" style="51" min="6405" max="6405"/>
    <col width="17.28515625" customWidth="1" style="51" min="6406" max="6406"/>
    <col width="6.140625" customWidth="1" style="51" min="6407" max="6407"/>
    <col width="15.140625" customWidth="1" style="51" min="6408" max="6408"/>
    <col width="9.140625" customWidth="1" style="51" min="6409" max="6409"/>
    <col width="15" customWidth="1" style="51" min="6410" max="6410"/>
    <col width="6.85546875" customWidth="1" style="51" min="6411" max="6411"/>
    <col width="13.28515625" customWidth="1" style="51" min="6412" max="6412"/>
    <col width="9.42578125" customWidth="1" style="51" min="6413" max="6413"/>
    <col width="11" customWidth="1" style="51" min="6414" max="6414"/>
    <col width="10.140625" customWidth="1" style="51" min="6415" max="6415"/>
    <col width="11.140625" customWidth="1" style="51" min="6416" max="6416"/>
    <col width="7" customWidth="1" style="51" min="6417" max="6417"/>
    <col width="10.85546875" customWidth="1" style="51" min="6418" max="6418"/>
    <col width="5.85546875" customWidth="1" style="51" min="6419" max="6419"/>
    <col width="10" customWidth="1" style="51" min="6420" max="6420"/>
    <col width="9.140625" customWidth="1" style="51" min="6421" max="6655"/>
    <col width="9.5703125" customWidth="1" style="51" min="6656" max="6656"/>
    <col width="30.7109375" customWidth="1" style="51" min="6657" max="6657"/>
    <col width="14.7109375" customWidth="1" style="51" min="6658" max="6658"/>
    <col width="8.28515625" customWidth="1" style="51" min="6659" max="6659"/>
    <col width="11.85546875" customWidth="1" style="51" min="6660" max="6660"/>
    <col width="8.28515625" customWidth="1" style="51" min="6661" max="6661"/>
    <col width="17.28515625" customWidth="1" style="51" min="6662" max="6662"/>
    <col width="6.140625" customWidth="1" style="51" min="6663" max="6663"/>
    <col width="15.140625" customWidth="1" style="51" min="6664" max="6664"/>
    <col width="9.140625" customWidth="1" style="51" min="6665" max="6665"/>
    <col width="15" customWidth="1" style="51" min="6666" max="6666"/>
    <col width="6.85546875" customWidth="1" style="51" min="6667" max="6667"/>
    <col width="13.28515625" customWidth="1" style="51" min="6668" max="6668"/>
    <col width="9.42578125" customWidth="1" style="51" min="6669" max="6669"/>
    <col width="11" customWidth="1" style="51" min="6670" max="6670"/>
    <col width="10.140625" customWidth="1" style="51" min="6671" max="6671"/>
    <col width="11.140625" customWidth="1" style="51" min="6672" max="6672"/>
    <col width="7" customWidth="1" style="51" min="6673" max="6673"/>
    <col width="10.85546875" customWidth="1" style="51" min="6674" max="6674"/>
    <col width="5.85546875" customWidth="1" style="51" min="6675" max="6675"/>
    <col width="10" customWidth="1" style="51" min="6676" max="6676"/>
    <col width="9.140625" customWidth="1" style="51" min="6677" max="6911"/>
    <col width="9.5703125" customWidth="1" style="51" min="6912" max="6912"/>
    <col width="30.7109375" customWidth="1" style="51" min="6913" max="6913"/>
    <col width="14.7109375" customWidth="1" style="51" min="6914" max="6914"/>
    <col width="8.28515625" customWidth="1" style="51" min="6915" max="6915"/>
    <col width="11.85546875" customWidth="1" style="51" min="6916" max="6916"/>
    <col width="8.28515625" customWidth="1" style="51" min="6917" max="6917"/>
    <col width="17.28515625" customWidth="1" style="51" min="6918" max="6918"/>
    <col width="6.140625" customWidth="1" style="51" min="6919" max="6919"/>
    <col width="15.140625" customWidth="1" style="51" min="6920" max="6920"/>
    <col width="9.140625" customWidth="1" style="51" min="6921" max="6921"/>
    <col width="15" customWidth="1" style="51" min="6922" max="6922"/>
    <col width="6.85546875" customWidth="1" style="51" min="6923" max="6923"/>
    <col width="13.28515625" customWidth="1" style="51" min="6924" max="6924"/>
    <col width="9.42578125" customWidth="1" style="51" min="6925" max="6925"/>
    <col width="11" customWidth="1" style="51" min="6926" max="6926"/>
    <col width="10.140625" customWidth="1" style="51" min="6927" max="6927"/>
    <col width="11.140625" customWidth="1" style="51" min="6928" max="6928"/>
    <col width="7" customWidth="1" style="51" min="6929" max="6929"/>
    <col width="10.85546875" customWidth="1" style="51" min="6930" max="6930"/>
    <col width="5.85546875" customWidth="1" style="51" min="6931" max="6931"/>
    <col width="10" customWidth="1" style="51" min="6932" max="6932"/>
    <col width="9.140625" customWidth="1" style="51" min="6933" max="7167"/>
    <col width="9.5703125" customWidth="1" style="51" min="7168" max="7168"/>
    <col width="30.7109375" customWidth="1" style="51" min="7169" max="7169"/>
    <col width="14.7109375" customWidth="1" style="51" min="7170" max="7170"/>
    <col width="8.28515625" customWidth="1" style="51" min="7171" max="7171"/>
    <col width="11.85546875" customWidth="1" style="51" min="7172" max="7172"/>
    <col width="8.28515625" customWidth="1" style="51" min="7173" max="7173"/>
    <col width="17.28515625" customWidth="1" style="51" min="7174" max="7174"/>
    <col width="6.140625" customWidth="1" style="51" min="7175" max="7175"/>
    <col width="15.140625" customWidth="1" style="51" min="7176" max="7176"/>
    <col width="9.140625" customWidth="1" style="51" min="7177" max="7177"/>
    <col width="15" customWidth="1" style="51" min="7178" max="7178"/>
    <col width="6.85546875" customWidth="1" style="51" min="7179" max="7179"/>
    <col width="13.28515625" customWidth="1" style="51" min="7180" max="7180"/>
    <col width="9.42578125" customWidth="1" style="51" min="7181" max="7181"/>
    <col width="11" customWidth="1" style="51" min="7182" max="7182"/>
    <col width="10.140625" customWidth="1" style="51" min="7183" max="7183"/>
    <col width="11.140625" customWidth="1" style="51" min="7184" max="7184"/>
    <col width="7" customWidth="1" style="51" min="7185" max="7185"/>
    <col width="10.85546875" customWidth="1" style="51" min="7186" max="7186"/>
    <col width="5.85546875" customWidth="1" style="51" min="7187" max="7187"/>
    <col width="10" customWidth="1" style="51" min="7188" max="7188"/>
    <col width="9.140625" customWidth="1" style="51" min="7189" max="7423"/>
    <col width="9.5703125" customWidth="1" style="51" min="7424" max="7424"/>
    <col width="30.7109375" customWidth="1" style="51" min="7425" max="7425"/>
    <col width="14.7109375" customWidth="1" style="51" min="7426" max="7426"/>
    <col width="8.28515625" customWidth="1" style="51" min="7427" max="7427"/>
    <col width="11.85546875" customWidth="1" style="51" min="7428" max="7428"/>
    <col width="8.28515625" customWidth="1" style="51" min="7429" max="7429"/>
    <col width="17.28515625" customWidth="1" style="51" min="7430" max="7430"/>
    <col width="6.140625" customWidth="1" style="51" min="7431" max="7431"/>
    <col width="15.140625" customWidth="1" style="51" min="7432" max="7432"/>
    <col width="9.140625" customWidth="1" style="51" min="7433" max="7433"/>
    <col width="15" customWidth="1" style="51" min="7434" max="7434"/>
    <col width="6.85546875" customWidth="1" style="51" min="7435" max="7435"/>
    <col width="13.28515625" customWidth="1" style="51" min="7436" max="7436"/>
    <col width="9.42578125" customWidth="1" style="51" min="7437" max="7437"/>
    <col width="11" customWidth="1" style="51" min="7438" max="7438"/>
    <col width="10.140625" customWidth="1" style="51" min="7439" max="7439"/>
    <col width="11.140625" customWidth="1" style="51" min="7440" max="7440"/>
    <col width="7" customWidth="1" style="51" min="7441" max="7441"/>
    <col width="10.85546875" customWidth="1" style="51" min="7442" max="7442"/>
    <col width="5.85546875" customWidth="1" style="51" min="7443" max="7443"/>
    <col width="10" customWidth="1" style="51" min="7444" max="7444"/>
    <col width="9.140625" customWidth="1" style="51" min="7445" max="7679"/>
    <col width="9.5703125" customWidth="1" style="51" min="7680" max="7680"/>
    <col width="30.7109375" customWidth="1" style="51" min="7681" max="7681"/>
    <col width="14.7109375" customWidth="1" style="51" min="7682" max="7682"/>
    <col width="8.28515625" customWidth="1" style="51" min="7683" max="7683"/>
    <col width="11.85546875" customWidth="1" style="51" min="7684" max="7684"/>
    <col width="8.28515625" customWidth="1" style="51" min="7685" max="7685"/>
    <col width="17.28515625" customWidth="1" style="51" min="7686" max="7686"/>
    <col width="6.140625" customWidth="1" style="51" min="7687" max="7687"/>
    <col width="15.140625" customWidth="1" style="51" min="7688" max="7688"/>
    <col width="9.140625" customWidth="1" style="51" min="7689" max="7689"/>
    <col width="15" customWidth="1" style="51" min="7690" max="7690"/>
    <col width="6.85546875" customWidth="1" style="51" min="7691" max="7691"/>
    <col width="13.28515625" customWidth="1" style="51" min="7692" max="7692"/>
    <col width="9.42578125" customWidth="1" style="51" min="7693" max="7693"/>
    <col width="11" customWidth="1" style="51" min="7694" max="7694"/>
    <col width="10.140625" customWidth="1" style="51" min="7695" max="7695"/>
    <col width="11.140625" customWidth="1" style="51" min="7696" max="7696"/>
    <col width="7" customWidth="1" style="51" min="7697" max="7697"/>
    <col width="10.85546875" customWidth="1" style="51" min="7698" max="7698"/>
    <col width="5.85546875" customWidth="1" style="51" min="7699" max="7699"/>
    <col width="10" customWidth="1" style="51" min="7700" max="7700"/>
    <col width="9.140625" customWidth="1" style="51" min="7701" max="7935"/>
    <col width="9.5703125" customWidth="1" style="51" min="7936" max="7936"/>
    <col width="30.7109375" customWidth="1" style="51" min="7937" max="7937"/>
    <col width="14.7109375" customWidth="1" style="51" min="7938" max="7938"/>
    <col width="8.28515625" customWidth="1" style="51" min="7939" max="7939"/>
    <col width="11.85546875" customWidth="1" style="51" min="7940" max="7940"/>
    <col width="8.28515625" customWidth="1" style="51" min="7941" max="7941"/>
    <col width="17.28515625" customWidth="1" style="51" min="7942" max="7942"/>
    <col width="6.140625" customWidth="1" style="51" min="7943" max="7943"/>
    <col width="15.140625" customWidth="1" style="51" min="7944" max="7944"/>
    <col width="9.140625" customWidth="1" style="51" min="7945" max="7945"/>
    <col width="15" customWidth="1" style="51" min="7946" max="7946"/>
    <col width="6.85546875" customWidth="1" style="51" min="7947" max="7947"/>
    <col width="13.28515625" customWidth="1" style="51" min="7948" max="7948"/>
    <col width="9.42578125" customWidth="1" style="51" min="7949" max="7949"/>
    <col width="11" customWidth="1" style="51" min="7950" max="7950"/>
    <col width="10.140625" customWidth="1" style="51" min="7951" max="7951"/>
    <col width="11.140625" customWidth="1" style="51" min="7952" max="7952"/>
    <col width="7" customWidth="1" style="51" min="7953" max="7953"/>
    <col width="10.85546875" customWidth="1" style="51" min="7954" max="7954"/>
    <col width="5.85546875" customWidth="1" style="51" min="7955" max="7955"/>
    <col width="10" customWidth="1" style="51" min="7956" max="7956"/>
    <col width="9.140625" customWidth="1" style="51" min="7957" max="8191"/>
    <col width="9.5703125" customWidth="1" style="51" min="8192" max="8192"/>
    <col width="30.7109375" customWidth="1" style="51" min="8193" max="8193"/>
    <col width="14.7109375" customWidth="1" style="51" min="8194" max="8194"/>
    <col width="8.28515625" customWidth="1" style="51" min="8195" max="8195"/>
    <col width="11.85546875" customWidth="1" style="51" min="8196" max="8196"/>
    <col width="8.28515625" customWidth="1" style="51" min="8197" max="8197"/>
    <col width="17.28515625" customWidth="1" style="51" min="8198" max="8198"/>
    <col width="6.140625" customWidth="1" style="51" min="8199" max="8199"/>
    <col width="15.140625" customWidth="1" style="51" min="8200" max="8200"/>
    <col width="9.140625" customWidth="1" style="51" min="8201" max="8201"/>
    <col width="15" customWidth="1" style="51" min="8202" max="8202"/>
    <col width="6.85546875" customWidth="1" style="51" min="8203" max="8203"/>
    <col width="13.28515625" customWidth="1" style="51" min="8204" max="8204"/>
    <col width="9.42578125" customWidth="1" style="51" min="8205" max="8205"/>
    <col width="11" customWidth="1" style="51" min="8206" max="8206"/>
    <col width="10.140625" customWidth="1" style="51" min="8207" max="8207"/>
    <col width="11.140625" customWidth="1" style="51" min="8208" max="8208"/>
    <col width="7" customWidth="1" style="51" min="8209" max="8209"/>
    <col width="10.85546875" customWidth="1" style="51" min="8210" max="8210"/>
    <col width="5.85546875" customWidth="1" style="51" min="8211" max="8211"/>
    <col width="10" customWidth="1" style="51" min="8212" max="8212"/>
    <col width="9.140625" customWidth="1" style="51" min="8213" max="8447"/>
    <col width="9.5703125" customWidth="1" style="51" min="8448" max="8448"/>
    <col width="30.7109375" customWidth="1" style="51" min="8449" max="8449"/>
    <col width="14.7109375" customWidth="1" style="51" min="8450" max="8450"/>
    <col width="8.28515625" customWidth="1" style="51" min="8451" max="8451"/>
    <col width="11.85546875" customWidth="1" style="51" min="8452" max="8452"/>
    <col width="8.28515625" customWidth="1" style="51" min="8453" max="8453"/>
    <col width="17.28515625" customWidth="1" style="51" min="8454" max="8454"/>
    <col width="6.140625" customWidth="1" style="51" min="8455" max="8455"/>
    <col width="15.140625" customWidth="1" style="51" min="8456" max="8456"/>
    <col width="9.140625" customWidth="1" style="51" min="8457" max="8457"/>
    <col width="15" customWidth="1" style="51" min="8458" max="8458"/>
    <col width="6.85546875" customWidth="1" style="51" min="8459" max="8459"/>
    <col width="13.28515625" customWidth="1" style="51" min="8460" max="8460"/>
    <col width="9.42578125" customWidth="1" style="51" min="8461" max="8461"/>
    <col width="11" customWidth="1" style="51" min="8462" max="8462"/>
    <col width="10.140625" customWidth="1" style="51" min="8463" max="8463"/>
    <col width="11.140625" customWidth="1" style="51" min="8464" max="8464"/>
    <col width="7" customWidth="1" style="51" min="8465" max="8465"/>
    <col width="10.85546875" customWidth="1" style="51" min="8466" max="8466"/>
    <col width="5.85546875" customWidth="1" style="51" min="8467" max="8467"/>
    <col width="10" customWidth="1" style="51" min="8468" max="8468"/>
    <col width="9.140625" customWidth="1" style="51" min="8469" max="8703"/>
    <col width="9.5703125" customWidth="1" style="51" min="8704" max="8704"/>
    <col width="30.7109375" customWidth="1" style="51" min="8705" max="8705"/>
    <col width="14.7109375" customWidth="1" style="51" min="8706" max="8706"/>
    <col width="8.28515625" customWidth="1" style="51" min="8707" max="8707"/>
    <col width="11.85546875" customWidth="1" style="51" min="8708" max="8708"/>
    <col width="8.28515625" customWidth="1" style="51" min="8709" max="8709"/>
    <col width="17.28515625" customWidth="1" style="51" min="8710" max="8710"/>
    <col width="6.140625" customWidth="1" style="51" min="8711" max="8711"/>
    <col width="15.140625" customWidth="1" style="51" min="8712" max="8712"/>
    <col width="9.140625" customWidth="1" style="51" min="8713" max="8713"/>
    <col width="15" customWidth="1" style="51" min="8714" max="8714"/>
    <col width="6.85546875" customWidth="1" style="51" min="8715" max="8715"/>
    <col width="13.28515625" customWidth="1" style="51" min="8716" max="8716"/>
    <col width="9.42578125" customWidth="1" style="51" min="8717" max="8717"/>
    <col width="11" customWidth="1" style="51" min="8718" max="8718"/>
    <col width="10.140625" customWidth="1" style="51" min="8719" max="8719"/>
    <col width="11.140625" customWidth="1" style="51" min="8720" max="8720"/>
    <col width="7" customWidth="1" style="51" min="8721" max="8721"/>
    <col width="10.85546875" customWidth="1" style="51" min="8722" max="8722"/>
    <col width="5.85546875" customWidth="1" style="51" min="8723" max="8723"/>
    <col width="10" customWidth="1" style="51" min="8724" max="8724"/>
    <col width="9.140625" customWidth="1" style="51" min="8725" max="8959"/>
    <col width="9.5703125" customWidth="1" style="51" min="8960" max="8960"/>
    <col width="30.7109375" customWidth="1" style="51" min="8961" max="8961"/>
    <col width="14.7109375" customWidth="1" style="51" min="8962" max="8962"/>
    <col width="8.28515625" customWidth="1" style="51" min="8963" max="8963"/>
    <col width="11.85546875" customWidth="1" style="51" min="8964" max="8964"/>
    <col width="8.28515625" customWidth="1" style="51" min="8965" max="8965"/>
    <col width="17.28515625" customWidth="1" style="51" min="8966" max="8966"/>
    <col width="6.140625" customWidth="1" style="51" min="8967" max="8967"/>
    <col width="15.140625" customWidth="1" style="51" min="8968" max="8968"/>
    <col width="9.140625" customWidth="1" style="51" min="8969" max="8969"/>
    <col width="15" customWidth="1" style="51" min="8970" max="8970"/>
    <col width="6.85546875" customWidth="1" style="51" min="8971" max="8971"/>
    <col width="13.28515625" customWidth="1" style="51" min="8972" max="8972"/>
    <col width="9.42578125" customWidth="1" style="51" min="8973" max="8973"/>
    <col width="11" customWidth="1" style="51" min="8974" max="8974"/>
    <col width="10.140625" customWidth="1" style="51" min="8975" max="8975"/>
    <col width="11.140625" customWidth="1" style="51" min="8976" max="8976"/>
    <col width="7" customWidth="1" style="51" min="8977" max="8977"/>
    <col width="10.85546875" customWidth="1" style="51" min="8978" max="8978"/>
    <col width="5.85546875" customWidth="1" style="51" min="8979" max="8979"/>
    <col width="10" customWidth="1" style="51" min="8980" max="8980"/>
    <col width="9.140625" customWidth="1" style="51" min="8981" max="9215"/>
    <col width="9.5703125" customWidth="1" style="51" min="9216" max="9216"/>
    <col width="30.7109375" customWidth="1" style="51" min="9217" max="9217"/>
    <col width="14.7109375" customWidth="1" style="51" min="9218" max="9218"/>
    <col width="8.28515625" customWidth="1" style="51" min="9219" max="9219"/>
    <col width="11.85546875" customWidth="1" style="51" min="9220" max="9220"/>
    <col width="8.28515625" customWidth="1" style="51" min="9221" max="9221"/>
    <col width="17.28515625" customWidth="1" style="51" min="9222" max="9222"/>
    <col width="6.140625" customWidth="1" style="51" min="9223" max="9223"/>
    <col width="15.140625" customWidth="1" style="51" min="9224" max="9224"/>
    <col width="9.140625" customWidth="1" style="51" min="9225" max="9225"/>
    <col width="15" customWidth="1" style="51" min="9226" max="9226"/>
    <col width="6.85546875" customWidth="1" style="51" min="9227" max="9227"/>
    <col width="13.28515625" customWidth="1" style="51" min="9228" max="9228"/>
    <col width="9.42578125" customWidth="1" style="51" min="9229" max="9229"/>
    <col width="11" customWidth="1" style="51" min="9230" max="9230"/>
    <col width="10.140625" customWidth="1" style="51" min="9231" max="9231"/>
    <col width="11.140625" customWidth="1" style="51" min="9232" max="9232"/>
    <col width="7" customWidth="1" style="51" min="9233" max="9233"/>
    <col width="10.85546875" customWidth="1" style="51" min="9234" max="9234"/>
    <col width="5.85546875" customWidth="1" style="51" min="9235" max="9235"/>
    <col width="10" customWidth="1" style="51" min="9236" max="9236"/>
    <col width="9.140625" customWidth="1" style="51" min="9237" max="9471"/>
    <col width="9.5703125" customWidth="1" style="51" min="9472" max="9472"/>
    <col width="30.7109375" customWidth="1" style="51" min="9473" max="9473"/>
    <col width="14.7109375" customWidth="1" style="51" min="9474" max="9474"/>
    <col width="8.28515625" customWidth="1" style="51" min="9475" max="9475"/>
    <col width="11.85546875" customWidth="1" style="51" min="9476" max="9476"/>
    <col width="8.28515625" customWidth="1" style="51" min="9477" max="9477"/>
    <col width="17.28515625" customWidth="1" style="51" min="9478" max="9478"/>
    <col width="6.140625" customWidth="1" style="51" min="9479" max="9479"/>
    <col width="15.140625" customWidth="1" style="51" min="9480" max="9480"/>
    <col width="9.140625" customWidth="1" style="51" min="9481" max="9481"/>
    <col width="15" customWidth="1" style="51" min="9482" max="9482"/>
    <col width="6.85546875" customWidth="1" style="51" min="9483" max="9483"/>
    <col width="13.28515625" customWidth="1" style="51" min="9484" max="9484"/>
    <col width="9.42578125" customWidth="1" style="51" min="9485" max="9485"/>
    <col width="11" customWidth="1" style="51" min="9486" max="9486"/>
    <col width="10.140625" customWidth="1" style="51" min="9487" max="9487"/>
    <col width="11.140625" customWidth="1" style="51" min="9488" max="9488"/>
    <col width="7" customWidth="1" style="51" min="9489" max="9489"/>
    <col width="10.85546875" customWidth="1" style="51" min="9490" max="9490"/>
    <col width="5.85546875" customWidth="1" style="51" min="9491" max="9491"/>
    <col width="10" customWidth="1" style="51" min="9492" max="9492"/>
    <col width="9.140625" customWidth="1" style="51" min="9493" max="9727"/>
    <col width="9.5703125" customWidth="1" style="51" min="9728" max="9728"/>
    <col width="30.7109375" customWidth="1" style="51" min="9729" max="9729"/>
    <col width="14.7109375" customWidth="1" style="51" min="9730" max="9730"/>
    <col width="8.28515625" customWidth="1" style="51" min="9731" max="9731"/>
    <col width="11.85546875" customWidth="1" style="51" min="9732" max="9732"/>
    <col width="8.28515625" customWidth="1" style="51" min="9733" max="9733"/>
    <col width="17.28515625" customWidth="1" style="51" min="9734" max="9734"/>
    <col width="6.140625" customWidth="1" style="51" min="9735" max="9735"/>
    <col width="15.140625" customWidth="1" style="51" min="9736" max="9736"/>
    <col width="9.140625" customWidth="1" style="51" min="9737" max="9737"/>
    <col width="15" customWidth="1" style="51" min="9738" max="9738"/>
    <col width="6.85546875" customWidth="1" style="51" min="9739" max="9739"/>
    <col width="13.28515625" customWidth="1" style="51" min="9740" max="9740"/>
    <col width="9.42578125" customWidth="1" style="51" min="9741" max="9741"/>
    <col width="11" customWidth="1" style="51" min="9742" max="9742"/>
    <col width="10.140625" customWidth="1" style="51" min="9743" max="9743"/>
    <col width="11.140625" customWidth="1" style="51" min="9744" max="9744"/>
    <col width="7" customWidth="1" style="51" min="9745" max="9745"/>
    <col width="10.85546875" customWidth="1" style="51" min="9746" max="9746"/>
    <col width="5.85546875" customWidth="1" style="51" min="9747" max="9747"/>
    <col width="10" customWidth="1" style="51" min="9748" max="9748"/>
    <col width="9.140625" customWidth="1" style="51" min="9749" max="9983"/>
    <col width="9.5703125" customWidth="1" style="51" min="9984" max="9984"/>
    <col width="30.7109375" customWidth="1" style="51" min="9985" max="9985"/>
    <col width="14.7109375" customWidth="1" style="51" min="9986" max="9986"/>
    <col width="8.28515625" customWidth="1" style="51" min="9987" max="9987"/>
    <col width="11.85546875" customWidth="1" style="51" min="9988" max="9988"/>
    <col width="8.28515625" customWidth="1" style="51" min="9989" max="9989"/>
    <col width="17.28515625" customWidth="1" style="51" min="9990" max="9990"/>
    <col width="6.140625" customWidth="1" style="51" min="9991" max="9991"/>
    <col width="15.140625" customWidth="1" style="51" min="9992" max="9992"/>
    <col width="9.140625" customWidth="1" style="51" min="9993" max="9993"/>
    <col width="15" customWidth="1" style="51" min="9994" max="9994"/>
    <col width="6.85546875" customWidth="1" style="51" min="9995" max="9995"/>
    <col width="13.28515625" customWidth="1" style="51" min="9996" max="9996"/>
    <col width="9.42578125" customWidth="1" style="51" min="9997" max="9997"/>
    <col width="11" customWidth="1" style="51" min="9998" max="9998"/>
    <col width="10.140625" customWidth="1" style="51" min="9999" max="9999"/>
    <col width="11.140625" customWidth="1" style="51" min="10000" max="10000"/>
    <col width="7" customWidth="1" style="51" min="10001" max="10001"/>
    <col width="10.85546875" customWidth="1" style="51" min="10002" max="10002"/>
    <col width="5.85546875" customWidth="1" style="51" min="10003" max="10003"/>
    <col width="10" customWidth="1" style="51" min="10004" max="10004"/>
    <col width="9.140625" customWidth="1" style="51" min="10005" max="10239"/>
    <col width="9.5703125" customWidth="1" style="51" min="10240" max="10240"/>
    <col width="30.7109375" customWidth="1" style="51" min="10241" max="10241"/>
    <col width="14.7109375" customWidth="1" style="51" min="10242" max="10242"/>
    <col width="8.28515625" customWidth="1" style="51" min="10243" max="10243"/>
    <col width="11.85546875" customWidth="1" style="51" min="10244" max="10244"/>
    <col width="8.28515625" customWidth="1" style="51" min="10245" max="10245"/>
    <col width="17.28515625" customWidth="1" style="51" min="10246" max="10246"/>
    <col width="6.140625" customWidth="1" style="51" min="10247" max="10247"/>
    <col width="15.140625" customWidth="1" style="51" min="10248" max="10248"/>
    <col width="9.140625" customWidth="1" style="51" min="10249" max="10249"/>
    <col width="15" customWidth="1" style="51" min="10250" max="10250"/>
    <col width="6.85546875" customWidth="1" style="51" min="10251" max="10251"/>
    <col width="13.28515625" customWidth="1" style="51" min="10252" max="10252"/>
    <col width="9.42578125" customWidth="1" style="51" min="10253" max="10253"/>
    <col width="11" customWidth="1" style="51" min="10254" max="10254"/>
    <col width="10.140625" customWidth="1" style="51" min="10255" max="10255"/>
    <col width="11.140625" customWidth="1" style="51" min="10256" max="10256"/>
    <col width="7" customWidth="1" style="51" min="10257" max="10257"/>
    <col width="10.85546875" customWidth="1" style="51" min="10258" max="10258"/>
    <col width="5.85546875" customWidth="1" style="51" min="10259" max="10259"/>
    <col width="10" customWidth="1" style="51" min="10260" max="10260"/>
    <col width="9.140625" customWidth="1" style="51" min="10261" max="10495"/>
    <col width="9.5703125" customWidth="1" style="51" min="10496" max="10496"/>
    <col width="30.7109375" customWidth="1" style="51" min="10497" max="10497"/>
    <col width="14.7109375" customWidth="1" style="51" min="10498" max="10498"/>
    <col width="8.28515625" customWidth="1" style="51" min="10499" max="10499"/>
    <col width="11.85546875" customWidth="1" style="51" min="10500" max="10500"/>
    <col width="8.28515625" customWidth="1" style="51" min="10501" max="10501"/>
    <col width="17.28515625" customWidth="1" style="51" min="10502" max="10502"/>
    <col width="6.140625" customWidth="1" style="51" min="10503" max="10503"/>
    <col width="15.140625" customWidth="1" style="51" min="10504" max="10504"/>
    <col width="9.140625" customWidth="1" style="51" min="10505" max="10505"/>
    <col width="15" customWidth="1" style="51" min="10506" max="10506"/>
    <col width="6.85546875" customWidth="1" style="51" min="10507" max="10507"/>
    <col width="13.28515625" customWidth="1" style="51" min="10508" max="10508"/>
    <col width="9.42578125" customWidth="1" style="51" min="10509" max="10509"/>
    <col width="11" customWidth="1" style="51" min="10510" max="10510"/>
    <col width="10.140625" customWidth="1" style="51" min="10511" max="10511"/>
    <col width="11.140625" customWidth="1" style="51" min="10512" max="10512"/>
    <col width="7" customWidth="1" style="51" min="10513" max="10513"/>
    <col width="10.85546875" customWidth="1" style="51" min="10514" max="10514"/>
    <col width="5.85546875" customWidth="1" style="51" min="10515" max="10515"/>
    <col width="10" customWidth="1" style="51" min="10516" max="10516"/>
    <col width="9.140625" customWidth="1" style="51" min="10517" max="10751"/>
    <col width="9.5703125" customWidth="1" style="51" min="10752" max="10752"/>
    <col width="30.7109375" customWidth="1" style="51" min="10753" max="10753"/>
    <col width="14.7109375" customWidth="1" style="51" min="10754" max="10754"/>
    <col width="8.28515625" customWidth="1" style="51" min="10755" max="10755"/>
    <col width="11.85546875" customWidth="1" style="51" min="10756" max="10756"/>
    <col width="8.28515625" customWidth="1" style="51" min="10757" max="10757"/>
    <col width="17.28515625" customWidth="1" style="51" min="10758" max="10758"/>
    <col width="6.140625" customWidth="1" style="51" min="10759" max="10759"/>
    <col width="15.140625" customWidth="1" style="51" min="10760" max="10760"/>
    <col width="9.140625" customWidth="1" style="51" min="10761" max="10761"/>
    <col width="15" customWidth="1" style="51" min="10762" max="10762"/>
    <col width="6.85546875" customWidth="1" style="51" min="10763" max="10763"/>
    <col width="13.28515625" customWidth="1" style="51" min="10764" max="10764"/>
    <col width="9.42578125" customWidth="1" style="51" min="10765" max="10765"/>
    <col width="11" customWidth="1" style="51" min="10766" max="10766"/>
    <col width="10.140625" customWidth="1" style="51" min="10767" max="10767"/>
    <col width="11.140625" customWidth="1" style="51" min="10768" max="10768"/>
    <col width="7" customWidth="1" style="51" min="10769" max="10769"/>
    <col width="10.85546875" customWidth="1" style="51" min="10770" max="10770"/>
    <col width="5.85546875" customWidth="1" style="51" min="10771" max="10771"/>
    <col width="10" customWidth="1" style="51" min="10772" max="10772"/>
    <col width="9.140625" customWidth="1" style="51" min="10773" max="11007"/>
    <col width="9.5703125" customWidth="1" style="51" min="11008" max="11008"/>
    <col width="30.7109375" customWidth="1" style="51" min="11009" max="11009"/>
    <col width="14.7109375" customWidth="1" style="51" min="11010" max="11010"/>
    <col width="8.28515625" customWidth="1" style="51" min="11011" max="11011"/>
    <col width="11.85546875" customWidth="1" style="51" min="11012" max="11012"/>
    <col width="8.28515625" customWidth="1" style="51" min="11013" max="11013"/>
    <col width="17.28515625" customWidth="1" style="51" min="11014" max="11014"/>
    <col width="6.140625" customWidth="1" style="51" min="11015" max="11015"/>
    <col width="15.140625" customWidth="1" style="51" min="11016" max="11016"/>
    <col width="9.140625" customWidth="1" style="51" min="11017" max="11017"/>
    <col width="15" customWidth="1" style="51" min="11018" max="11018"/>
    <col width="6.85546875" customWidth="1" style="51" min="11019" max="11019"/>
    <col width="13.28515625" customWidth="1" style="51" min="11020" max="11020"/>
    <col width="9.42578125" customWidth="1" style="51" min="11021" max="11021"/>
    <col width="11" customWidth="1" style="51" min="11022" max="11022"/>
    <col width="10.140625" customWidth="1" style="51" min="11023" max="11023"/>
    <col width="11.140625" customWidth="1" style="51" min="11024" max="11024"/>
    <col width="7" customWidth="1" style="51" min="11025" max="11025"/>
    <col width="10.85546875" customWidth="1" style="51" min="11026" max="11026"/>
    <col width="5.85546875" customWidth="1" style="51" min="11027" max="11027"/>
    <col width="10" customWidth="1" style="51" min="11028" max="11028"/>
    <col width="9.140625" customWidth="1" style="51" min="11029" max="11263"/>
    <col width="9.5703125" customWidth="1" style="51" min="11264" max="11264"/>
    <col width="30.7109375" customWidth="1" style="51" min="11265" max="11265"/>
    <col width="14.7109375" customWidth="1" style="51" min="11266" max="11266"/>
    <col width="8.28515625" customWidth="1" style="51" min="11267" max="11267"/>
    <col width="11.85546875" customWidth="1" style="51" min="11268" max="11268"/>
    <col width="8.28515625" customWidth="1" style="51" min="11269" max="11269"/>
    <col width="17.28515625" customWidth="1" style="51" min="11270" max="11270"/>
    <col width="6.140625" customWidth="1" style="51" min="11271" max="11271"/>
    <col width="15.140625" customWidth="1" style="51" min="11272" max="11272"/>
    <col width="9.140625" customWidth="1" style="51" min="11273" max="11273"/>
    <col width="15" customWidth="1" style="51" min="11274" max="11274"/>
    <col width="6.85546875" customWidth="1" style="51" min="11275" max="11275"/>
    <col width="13.28515625" customWidth="1" style="51" min="11276" max="11276"/>
    <col width="9.42578125" customWidth="1" style="51" min="11277" max="11277"/>
    <col width="11" customWidth="1" style="51" min="11278" max="11278"/>
    <col width="10.140625" customWidth="1" style="51" min="11279" max="11279"/>
    <col width="11.140625" customWidth="1" style="51" min="11280" max="11280"/>
    <col width="7" customWidth="1" style="51" min="11281" max="11281"/>
    <col width="10.85546875" customWidth="1" style="51" min="11282" max="11282"/>
    <col width="5.85546875" customWidth="1" style="51" min="11283" max="11283"/>
    <col width="10" customWidth="1" style="51" min="11284" max="11284"/>
    <col width="9.140625" customWidth="1" style="51" min="11285" max="11519"/>
    <col width="9.5703125" customWidth="1" style="51" min="11520" max="11520"/>
    <col width="30.7109375" customWidth="1" style="51" min="11521" max="11521"/>
    <col width="14.7109375" customWidth="1" style="51" min="11522" max="11522"/>
    <col width="8.28515625" customWidth="1" style="51" min="11523" max="11523"/>
    <col width="11.85546875" customWidth="1" style="51" min="11524" max="11524"/>
    <col width="8.28515625" customWidth="1" style="51" min="11525" max="11525"/>
    <col width="17.28515625" customWidth="1" style="51" min="11526" max="11526"/>
    <col width="6.140625" customWidth="1" style="51" min="11527" max="11527"/>
    <col width="15.140625" customWidth="1" style="51" min="11528" max="11528"/>
    <col width="9.140625" customWidth="1" style="51" min="11529" max="11529"/>
    <col width="15" customWidth="1" style="51" min="11530" max="11530"/>
    <col width="6.85546875" customWidth="1" style="51" min="11531" max="11531"/>
    <col width="13.28515625" customWidth="1" style="51" min="11532" max="11532"/>
    <col width="9.42578125" customWidth="1" style="51" min="11533" max="11533"/>
    <col width="11" customWidth="1" style="51" min="11534" max="11534"/>
    <col width="10.140625" customWidth="1" style="51" min="11535" max="11535"/>
    <col width="11.140625" customWidth="1" style="51" min="11536" max="11536"/>
    <col width="7" customWidth="1" style="51" min="11537" max="11537"/>
    <col width="10.85546875" customWidth="1" style="51" min="11538" max="11538"/>
    <col width="5.85546875" customWidth="1" style="51" min="11539" max="11539"/>
    <col width="10" customWidth="1" style="51" min="11540" max="11540"/>
    <col width="9.140625" customWidth="1" style="51" min="11541" max="11775"/>
    <col width="9.5703125" customWidth="1" style="51" min="11776" max="11776"/>
    <col width="30.7109375" customWidth="1" style="51" min="11777" max="11777"/>
    <col width="14.7109375" customWidth="1" style="51" min="11778" max="11778"/>
    <col width="8.28515625" customWidth="1" style="51" min="11779" max="11779"/>
    <col width="11.85546875" customWidth="1" style="51" min="11780" max="11780"/>
    <col width="8.28515625" customWidth="1" style="51" min="11781" max="11781"/>
    <col width="17.28515625" customWidth="1" style="51" min="11782" max="11782"/>
    <col width="6.140625" customWidth="1" style="51" min="11783" max="11783"/>
    <col width="15.140625" customWidth="1" style="51" min="11784" max="11784"/>
    <col width="9.140625" customWidth="1" style="51" min="11785" max="11785"/>
    <col width="15" customWidth="1" style="51" min="11786" max="11786"/>
    <col width="6.85546875" customWidth="1" style="51" min="11787" max="11787"/>
    <col width="13.28515625" customWidth="1" style="51" min="11788" max="11788"/>
    <col width="9.42578125" customWidth="1" style="51" min="11789" max="11789"/>
    <col width="11" customWidth="1" style="51" min="11790" max="11790"/>
    <col width="10.140625" customWidth="1" style="51" min="11791" max="11791"/>
    <col width="11.140625" customWidth="1" style="51" min="11792" max="11792"/>
    <col width="7" customWidth="1" style="51" min="11793" max="11793"/>
    <col width="10.85546875" customWidth="1" style="51" min="11794" max="11794"/>
    <col width="5.85546875" customWidth="1" style="51" min="11795" max="11795"/>
    <col width="10" customWidth="1" style="51" min="11796" max="11796"/>
    <col width="9.140625" customWidth="1" style="51" min="11797" max="12031"/>
    <col width="9.5703125" customWidth="1" style="51" min="12032" max="12032"/>
    <col width="30.7109375" customWidth="1" style="51" min="12033" max="12033"/>
    <col width="14.7109375" customWidth="1" style="51" min="12034" max="12034"/>
    <col width="8.28515625" customWidth="1" style="51" min="12035" max="12035"/>
    <col width="11.85546875" customWidth="1" style="51" min="12036" max="12036"/>
    <col width="8.28515625" customWidth="1" style="51" min="12037" max="12037"/>
    <col width="17.28515625" customWidth="1" style="51" min="12038" max="12038"/>
    <col width="6.140625" customWidth="1" style="51" min="12039" max="12039"/>
    <col width="15.140625" customWidth="1" style="51" min="12040" max="12040"/>
    <col width="9.140625" customWidth="1" style="51" min="12041" max="12041"/>
    <col width="15" customWidth="1" style="51" min="12042" max="12042"/>
    <col width="6.85546875" customWidth="1" style="51" min="12043" max="12043"/>
    <col width="13.28515625" customWidth="1" style="51" min="12044" max="12044"/>
    <col width="9.42578125" customWidth="1" style="51" min="12045" max="12045"/>
    <col width="11" customWidth="1" style="51" min="12046" max="12046"/>
    <col width="10.140625" customWidth="1" style="51" min="12047" max="12047"/>
    <col width="11.140625" customWidth="1" style="51" min="12048" max="12048"/>
    <col width="7" customWidth="1" style="51" min="12049" max="12049"/>
    <col width="10.85546875" customWidth="1" style="51" min="12050" max="12050"/>
    <col width="5.85546875" customWidth="1" style="51" min="12051" max="12051"/>
    <col width="10" customWidth="1" style="51" min="12052" max="12052"/>
    <col width="9.140625" customWidth="1" style="51" min="12053" max="12287"/>
    <col width="9.5703125" customWidth="1" style="51" min="12288" max="12288"/>
    <col width="30.7109375" customWidth="1" style="51" min="12289" max="12289"/>
    <col width="14.7109375" customWidth="1" style="51" min="12290" max="12290"/>
    <col width="8.28515625" customWidth="1" style="51" min="12291" max="12291"/>
    <col width="11.85546875" customWidth="1" style="51" min="12292" max="12292"/>
    <col width="8.28515625" customWidth="1" style="51" min="12293" max="12293"/>
    <col width="17.28515625" customWidth="1" style="51" min="12294" max="12294"/>
    <col width="6.140625" customWidth="1" style="51" min="12295" max="12295"/>
    <col width="15.140625" customWidth="1" style="51" min="12296" max="12296"/>
    <col width="9.140625" customWidth="1" style="51" min="12297" max="12297"/>
    <col width="15" customWidth="1" style="51" min="12298" max="12298"/>
    <col width="6.85546875" customWidth="1" style="51" min="12299" max="12299"/>
    <col width="13.28515625" customWidth="1" style="51" min="12300" max="12300"/>
    <col width="9.42578125" customWidth="1" style="51" min="12301" max="12301"/>
    <col width="11" customWidth="1" style="51" min="12302" max="12302"/>
    <col width="10.140625" customWidth="1" style="51" min="12303" max="12303"/>
    <col width="11.140625" customWidth="1" style="51" min="12304" max="12304"/>
    <col width="7" customWidth="1" style="51" min="12305" max="12305"/>
    <col width="10.85546875" customWidth="1" style="51" min="12306" max="12306"/>
    <col width="5.85546875" customWidth="1" style="51" min="12307" max="12307"/>
    <col width="10" customWidth="1" style="51" min="12308" max="12308"/>
    <col width="9.140625" customWidth="1" style="51" min="12309" max="12543"/>
    <col width="9.5703125" customWidth="1" style="51" min="12544" max="12544"/>
    <col width="30.7109375" customWidth="1" style="51" min="12545" max="12545"/>
    <col width="14.7109375" customWidth="1" style="51" min="12546" max="12546"/>
    <col width="8.28515625" customWidth="1" style="51" min="12547" max="12547"/>
    <col width="11.85546875" customWidth="1" style="51" min="12548" max="12548"/>
    <col width="8.28515625" customWidth="1" style="51" min="12549" max="12549"/>
    <col width="17.28515625" customWidth="1" style="51" min="12550" max="12550"/>
    <col width="6.140625" customWidth="1" style="51" min="12551" max="12551"/>
    <col width="15.140625" customWidth="1" style="51" min="12552" max="12552"/>
    <col width="9.140625" customWidth="1" style="51" min="12553" max="12553"/>
    <col width="15" customWidth="1" style="51" min="12554" max="12554"/>
    <col width="6.85546875" customWidth="1" style="51" min="12555" max="12555"/>
    <col width="13.28515625" customWidth="1" style="51" min="12556" max="12556"/>
    <col width="9.42578125" customWidth="1" style="51" min="12557" max="12557"/>
    <col width="11" customWidth="1" style="51" min="12558" max="12558"/>
    <col width="10.140625" customWidth="1" style="51" min="12559" max="12559"/>
    <col width="11.140625" customWidth="1" style="51" min="12560" max="12560"/>
    <col width="7" customWidth="1" style="51" min="12561" max="12561"/>
    <col width="10.85546875" customWidth="1" style="51" min="12562" max="12562"/>
    <col width="5.85546875" customWidth="1" style="51" min="12563" max="12563"/>
    <col width="10" customWidth="1" style="51" min="12564" max="12564"/>
    <col width="9.140625" customWidth="1" style="51" min="12565" max="12799"/>
    <col width="9.5703125" customWidth="1" style="51" min="12800" max="12800"/>
    <col width="30.7109375" customWidth="1" style="51" min="12801" max="12801"/>
    <col width="14.7109375" customWidth="1" style="51" min="12802" max="12802"/>
    <col width="8.28515625" customWidth="1" style="51" min="12803" max="12803"/>
    <col width="11.85546875" customWidth="1" style="51" min="12804" max="12804"/>
    <col width="8.28515625" customWidth="1" style="51" min="12805" max="12805"/>
    <col width="17.28515625" customWidth="1" style="51" min="12806" max="12806"/>
    <col width="6.140625" customWidth="1" style="51" min="12807" max="12807"/>
    <col width="15.140625" customWidth="1" style="51" min="12808" max="12808"/>
    <col width="9.140625" customWidth="1" style="51" min="12809" max="12809"/>
    <col width="15" customWidth="1" style="51" min="12810" max="12810"/>
    <col width="6.85546875" customWidth="1" style="51" min="12811" max="12811"/>
    <col width="13.28515625" customWidth="1" style="51" min="12812" max="12812"/>
    <col width="9.42578125" customWidth="1" style="51" min="12813" max="12813"/>
    <col width="11" customWidth="1" style="51" min="12814" max="12814"/>
    <col width="10.140625" customWidth="1" style="51" min="12815" max="12815"/>
    <col width="11.140625" customWidth="1" style="51" min="12816" max="12816"/>
    <col width="7" customWidth="1" style="51" min="12817" max="12817"/>
    <col width="10.85546875" customWidth="1" style="51" min="12818" max="12818"/>
    <col width="5.85546875" customWidth="1" style="51" min="12819" max="12819"/>
    <col width="10" customWidth="1" style="51" min="12820" max="12820"/>
    <col width="9.140625" customWidth="1" style="51" min="12821" max="13055"/>
    <col width="9.5703125" customWidth="1" style="51" min="13056" max="13056"/>
    <col width="30.7109375" customWidth="1" style="51" min="13057" max="13057"/>
    <col width="14.7109375" customWidth="1" style="51" min="13058" max="13058"/>
    <col width="8.28515625" customWidth="1" style="51" min="13059" max="13059"/>
    <col width="11.85546875" customWidth="1" style="51" min="13060" max="13060"/>
    <col width="8.28515625" customWidth="1" style="51" min="13061" max="13061"/>
    <col width="17.28515625" customWidth="1" style="51" min="13062" max="13062"/>
    <col width="6.140625" customWidth="1" style="51" min="13063" max="13063"/>
    <col width="15.140625" customWidth="1" style="51" min="13064" max="13064"/>
    <col width="9.140625" customWidth="1" style="51" min="13065" max="13065"/>
    <col width="15" customWidth="1" style="51" min="13066" max="13066"/>
    <col width="6.85546875" customWidth="1" style="51" min="13067" max="13067"/>
    <col width="13.28515625" customWidth="1" style="51" min="13068" max="13068"/>
    <col width="9.42578125" customWidth="1" style="51" min="13069" max="13069"/>
    <col width="11" customWidth="1" style="51" min="13070" max="13070"/>
    <col width="10.140625" customWidth="1" style="51" min="13071" max="13071"/>
    <col width="11.140625" customWidth="1" style="51" min="13072" max="13072"/>
    <col width="7" customWidth="1" style="51" min="13073" max="13073"/>
    <col width="10.85546875" customWidth="1" style="51" min="13074" max="13074"/>
    <col width="5.85546875" customWidth="1" style="51" min="13075" max="13075"/>
    <col width="10" customWidth="1" style="51" min="13076" max="13076"/>
    <col width="9.140625" customWidth="1" style="51" min="13077" max="13311"/>
    <col width="9.5703125" customWidth="1" style="51" min="13312" max="13312"/>
    <col width="30.7109375" customWidth="1" style="51" min="13313" max="13313"/>
    <col width="14.7109375" customWidth="1" style="51" min="13314" max="13314"/>
    <col width="8.28515625" customWidth="1" style="51" min="13315" max="13315"/>
    <col width="11.85546875" customWidth="1" style="51" min="13316" max="13316"/>
    <col width="8.28515625" customWidth="1" style="51" min="13317" max="13317"/>
    <col width="17.28515625" customWidth="1" style="51" min="13318" max="13318"/>
    <col width="6.140625" customWidth="1" style="51" min="13319" max="13319"/>
    <col width="15.140625" customWidth="1" style="51" min="13320" max="13320"/>
    <col width="9.140625" customWidth="1" style="51" min="13321" max="13321"/>
    <col width="15" customWidth="1" style="51" min="13322" max="13322"/>
    <col width="6.85546875" customWidth="1" style="51" min="13323" max="13323"/>
    <col width="13.28515625" customWidth="1" style="51" min="13324" max="13324"/>
    <col width="9.42578125" customWidth="1" style="51" min="13325" max="13325"/>
    <col width="11" customWidth="1" style="51" min="13326" max="13326"/>
    <col width="10.140625" customWidth="1" style="51" min="13327" max="13327"/>
    <col width="11.140625" customWidth="1" style="51" min="13328" max="13328"/>
    <col width="7" customWidth="1" style="51" min="13329" max="13329"/>
    <col width="10.85546875" customWidth="1" style="51" min="13330" max="13330"/>
    <col width="5.85546875" customWidth="1" style="51" min="13331" max="13331"/>
    <col width="10" customWidth="1" style="51" min="13332" max="13332"/>
    <col width="9.140625" customWidth="1" style="51" min="13333" max="13567"/>
    <col width="9.5703125" customWidth="1" style="51" min="13568" max="13568"/>
    <col width="30.7109375" customWidth="1" style="51" min="13569" max="13569"/>
    <col width="14.7109375" customWidth="1" style="51" min="13570" max="13570"/>
    <col width="8.28515625" customWidth="1" style="51" min="13571" max="13571"/>
    <col width="11.85546875" customWidth="1" style="51" min="13572" max="13572"/>
    <col width="8.28515625" customWidth="1" style="51" min="13573" max="13573"/>
    <col width="17.28515625" customWidth="1" style="51" min="13574" max="13574"/>
    <col width="6.140625" customWidth="1" style="51" min="13575" max="13575"/>
    <col width="15.140625" customWidth="1" style="51" min="13576" max="13576"/>
    <col width="9.140625" customWidth="1" style="51" min="13577" max="13577"/>
    <col width="15" customWidth="1" style="51" min="13578" max="13578"/>
    <col width="6.85546875" customWidth="1" style="51" min="13579" max="13579"/>
    <col width="13.28515625" customWidth="1" style="51" min="13580" max="13580"/>
    <col width="9.42578125" customWidth="1" style="51" min="13581" max="13581"/>
    <col width="11" customWidth="1" style="51" min="13582" max="13582"/>
    <col width="10.140625" customWidth="1" style="51" min="13583" max="13583"/>
    <col width="11.140625" customWidth="1" style="51" min="13584" max="13584"/>
    <col width="7" customWidth="1" style="51" min="13585" max="13585"/>
    <col width="10.85546875" customWidth="1" style="51" min="13586" max="13586"/>
    <col width="5.85546875" customWidth="1" style="51" min="13587" max="13587"/>
    <col width="10" customWidth="1" style="51" min="13588" max="13588"/>
    <col width="9.140625" customWidth="1" style="51" min="13589" max="13823"/>
    <col width="9.5703125" customWidth="1" style="51" min="13824" max="13824"/>
    <col width="30.7109375" customWidth="1" style="51" min="13825" max="13825"/>
    <col width="14.7109375" customWidth="1" style="51" min="13826" max="13826"/>
    <col width="8.28515625" customWidth="1" style="51" min="13827" max="13827"/>
    <col width="11.85546875" customWidth="1" style="51" min="13828" max="13828"/>
    <col width="8.28515625" customWidth="1" style="51" min="13829" max="13829"/>
    <col width="17.28515625" customWidth="1" style="51" min="13830" max="13830"/>
    <col width="6.140625" customWidth="1" style="51" min="13831" max="13831"/>
    <col width="15.140625" customWidth="1" style="51" min="13832" max="13832"/>
    <col width="9.140625" customWidth="1" style="51" min="13833" max="13833"/>
    <col width="15" customWidth="1" style="51" min="13834" max="13834"/>
    <col width="6.85546875" customWidth="1" style="51" min="13835" max="13835"/>
    <col width="13.28515625" customWidth="1" style="51" min="13836" max="13836"/>
    <col width="9.42578125" customWidth="1" style="51" min="13837" max="13837"/>
    <col width="11" customWidth="1" style="51" min="13838" max="13838"/>
    <col width="10.140625" customWidth="1" style="51" min="13839" max="13839"/>
    <col width="11.140625" customWidth="1" style="51" min="13840" max="13840"/>
    <col width="7" customWidth="1" style="51" min="13841" max="13841"/>
    <col width="10.85546875" customWidth="1" style="51" min="13842" max="13842"/>
    <col width="5.85546875" customWidth="1" style="51" min="13843" max="13843"/>
    <col width="10" customWidth="1" style="51" min="13844" max="13844"/>
    <col width="9.140625" customWidth="1" style="51" min="13845" max="14079"/>
    <col width="9.5703125" customWidth="1" style="51" min="14080" max="14080"/>
    <col width="30.7109375" customWidth="1" style="51" min="14081" max="14081"/>
    <col width="14.7109375" customWidth="1" style="51" min="14082" max="14082"/>
    <col width="8.28515625" customWidth="1" style="51" min="14083" max="14083"/>
    <col width="11.85546875" customWidth="1" style="51" min="14084" max="14084"/>
    <col width="8.28515625" customWidth="1" style="51" min="14085" max="14085"/>
    <col width="17.28515625" customWidth="1" style="51" min="14086" max="14086"/>
    <col width="6.140625" customWidth="1" style="51" min="14087" max="14087"/>
    <col width="15.140625" customWidth="1" style="51" min="14088" max="14088"/>
    <col width="9.140625" customWidth="1" style="51" min="14089" max="14089"/>
    <col width="15" customWidth="1" style="51" min="14090" max="14090"/>
    <col width="6.85546875" customWidth="1" style="51" min="14091" max="14091"/>
    <col width="13.28515625" customWidth="1" style="51" min="14092" max="14092"/>
    <col width="9.42578125" customWidth="1" style="51" min="14093" max="14093"/>
    <col width="11" customWidth="1" style="51" min="14094" max="14094"/>
    <col width="10.140625" customWidth="1" style="51" min="14095" max="14095"/>
    <col width="11.140625" customWidth="1" style="51" min="14096" max="14096"/>
    <col width="7" customWidth="1" style="51" min="14097" max="14097"/>
    <col width="10.85546875" customWidth="1" style="51" min="14098" max="14098"/>
    <col width="5.85546875" customWidth="1" style="51" min="14099" max="14099"/>
    <col width="10" customWidth="1" style="51" min="14100" max="14100"/>
    <col width="9.140625" customWidth="1" style="51" min="14101" max="14335"/>
    <col width="9.5703125" customWidth="1" style="51" min="14336" max="14336"/>
    <col width="30.7109375" customWidth="1" style="51" min="14337" max="14337"/>
    <col width="14.7109375" customWidth="1" style="51" min="14338" max="14338"/>
    <col width="8.28515625" customWidth="1" style="51" min="14339" max="14339"/>
    <col width="11.85546875" customWidth="1" style="51" min="14340" max="14340"/>
    <col width="8.28515625" customWidth="1" style="51" min="14341" max="14341"/>
    <col width="17.28515625" customWidth="1" style="51" min="14342" max="14342"/>
    <col width="6.140625" customWidth="1" style="51" min="14343" max="14343"/>
    <col width="15.140625" customWidth="1" style="51" min="14344" max="14344"/>
    <col width="9.140625" customWidth="1" style="51" min="14345" max="14345"/>
    <col width="15" customWidth="1" style="51" min="14346" max="14346"/>
    <col width="6.85546875" customWidth="1" style="51" min="14347" max="14347"/>
    <col width="13.28515625" customWidth="1" style="51" min="14348" max="14348"/>
    <col width="9.42578125" customWidth="1" style="51" min="14349" max="14349"/>
    <col width="11" customWidth="1" style="51" min="14350" max="14350"/>
    <col width="10.140625" customWidth="1" style="51" min="14351" max="14351"/>
    <col width="11.140625" customWidth="1" style="51" min="14352" max="14352"/>
    <col width="7" customWidth="1" style="51" min="14353" max="14353"/>
    <col width="10.85546875" customWidth="1" style="51" min="14354" max="14354"/>
    <col width="5.85546875" customWidth="1" style="51" min="14355" max="14355"/>
    <col width="10" customWidth="1" style="51" min="14356" max="14356"/>
    <col width="9.140625" customWidth="1" style="51" min="14357" max="14591"/>
    <col width="9.5703125" customWidth="1" style="51" min="14592" max="14592"/>
    <col width="30.7109375" customWidth="1" style="51" min="14593" max="14593"/>
    <col width="14.7109375" customWidth="1" style="51" min="14594" max="14594"/>
    <col width="8.28515625" customWidth="1" style="51" min="14595" max="14595"/>
    <col width="11.85546875" customWidth="1" style="51" min="14596" max="14596"/>
    <col width="8.28515625" customWidth="1" style="51" min="14597" max="14597"/>
    <col width="17.28515625" customWidth="1" style="51" min="14598" max="14598"/>
    <col width="6.140625" customWidth="1" style="51" min="14599" max="14599"/>
    <col width="15.140625" customWidth="1" style="51" min="14600" max="14600"/>
    <col width="9.140625" customWidth="1" style="51" min="14601" max="14601"/>
    <col width="15" customWidth="1" style="51" min="14602" max="14602"/>
    <col width="6.85546875" customWidth="1" style="51" min="14603" max="14603"/>
    <col width="13.28515625" customWidth="1" style="51" min="14604" max="14604"/>
    <col width="9.42578125" customWidth="1" style="51" min="14605" max="14605"/>
    <col width="11" customWidth="1" style="51" min="14606" max="14606"/>
    <col width="10.140625" customWidth="1" style="51" min="14607" max="14607"/>
    <col width="11.140625" customWidth="1" style="51" min="14608" max="14608"/>
    <col width="7" customWidth="1" style="51" min="14609" max="14609"/>
    <col width="10.85546875" customWidth="1" style="51" min="14610" max="14610"/>
    <col width="5.85546875" customWidth="1" style="51" min="14611" max="14611"/>
    <col width="10" customWidth="1" style="51" min="14612" max="14612"/>
    <col width="9.140625" customWidth="1" style="51" min="14613" max="14847"/>
    <col width="9.5703125" customWidth="1" style="51" min="14848" max="14848"/>
    <col width="30.7109375" customWidth="1" style="51" min="14849" max="14849"/>
    <col width="14.7109375" customWidth="1" style="51" min="14850" max="14850"/>
    <col width="8.28515625" customWidth="1" style="51" min="14851" max="14851"/>
    <col width="11.85546875" customWidth="1" style="51" min="14852" max="14852"/>
    <col width="8.28515625" customWidth="1" style="51" min="14853" max="14853"/>
    <col width="17.28515625" customWidth="1" style="51" min="14854" max="14854"/>
    <col width="6.140625" customWidth="1" style="51" min="14855" max="14855"/>
    <col width="15.140625" customWidth="1" style="51" min="14856" max="14856"/>
    <col width="9.140625" customWidth="1" style="51" min="14857" max="14857"/>
    <col width="15" customWidth="1" style="51" min="14858" max="14858"/>
    <col width="6.85546875" customWidth="1" style="51" min="14859" max="14859"/>
    <col width="13.28515625" customWidth="1" style="51" min="14860" max="14860"/>
    <col width="9.42578125" customWidth="1" style="51" min="14861" max="14861"/>
    <col width="11" customWidth="1" style="51" min="14862" max="14862"/>
    <col width="10.140625" customWidth="1" style="51" min="14863" max="14863"/>
    <col width="11.140625" customWidth="1" style="51" min="14864" max="14864"/>
    <col width="7" customWidth="1" style="51" min="14865" max="14865"/>
    <col width="10.85546875" customWidth="1" style="51" min="14866" max="14866"/>
    <col width="5.85546875" customWidth="1" style="51" min="14867" max="14867"/>
    <col width="10" customWidth="1" style="51" min="14868" max="14868"/>
    <col width="9.140625" customWidth="1" style="51" min="14869" max="15103"/>
    <col width="9.5703125" customWidth="1" style="51" min="15104" max="15104"/>
    <col width="30.7109375" customWidth="1" style="51" min="15105" max="15105"/>
    <col width="14.7109375" customWidth="1" style="51" min="15106" max="15106"/>
    <col width="8.28515625" customWidth="1" style="51" min="15107" max="15107"/>
    <col width="11.85546875" customWidth="1" style="51" min="15108" max="15108"/>
    <col width="8.28515625" customWidth="1" style="51" min="15109" max="15109"/>
    <col width="17.28515625" customWidth="1" style="51" min="15110" max="15110"/>
    <col width="6.140625" customWidth="1" style="51" min="15111" max="15111"/>
    <col width="15.140625" customWidth="1" style="51" min="15112" max="15112"/>
    <col width="9.140625" customWidth="1" style="51" min="15113" max="15113"/>
    <col width="15" customWidth="1" style="51" min="15114" max="15114"/>
    <col width="6.85546875" customWidth="1" style="51" min="15115" max="15115"/>
    <col width="13.28515625" customWidth="1" style="51" min="15116" max="15116"/>
    <col width="9.42578125" customWidth="1" style="51" min="15117" max="15117"/>
    <col width="11" customWidth="1" style="51" min="15118" max="15118"/>
    <col width="10.140625" customWidth="1" style="51" min="15119" max="15119"/>
    <col width="11.140625" customWidth="1" style="51" min="15120" max="15120"/>
    <col width="7" customWidth="1" style="51" min="15121" max="15121"/>
    <col width="10.85546875" customWidth="1" style="51" min="15122" max="15122"/>
    <col width="5.85546875" customWidth="1" style="51" min="15123" max="15123"/>
    <col width="10" customWidth="1" style="51" min="15124" max="15124"/>
    <col width="9.140625" customWidth="1" style="51" min="15125" max="15359"/>
    <col width="9.5703125" customWidth="1" style="51" min="15360" max="15360"/>
    <col width="30.7109375" customWidth="1" style="51" min="15361" max="15361"/>
    <col width="14.7109375" customWidth="1" style="51" min="15362" max="15362"/>
    <col width="8.28515625" customWidth="1" style="51" min="15363" max="15363"/>
    <col width="11.85546875" customWidth="1" style="51" min="15364" max="15364"/>
    <col width="8.28515625" customWidth="1" style="51" min="15365" max="15365"/>
    <col width="17.28515625" customWidth="1" style="51" min="15366" max="15366"/>
    <col width="6.140625" customWidth="1" style="51" min="15367" max="15367"/>
    <col width="15.140625" customWidth="1" style="51" min="15368" max="15368"/>
    <col width="9.140625" customWidth="1" style="51" min="15369" max="15369"/>
    <col width="15" customWidth="1" style="51" min="15370" max="15370"/>
    <col width="6.85546875" customWidth="1" style="51" min="15371" max="15371"/>
    <col width="13.28515625" customWidth="1" style="51" min="15372" max="15372"/>
    <col width="9.42578125" customWidth="1" style="51" min="15373" max="15373"/>
    <col width="11" customWidth="1" style="51" min="15374" max="15374"/>
    <col width="10.140625" customWidth="1" style="51" min="15375" max="15375"/>
    <col width="11.140625" customWidth="1" style="51" min="15376" max="15376"/>
    <col width="7" customWidth="1" style="51" min="15377" max="15377"/>
    <col width="10.85546875" customWidth="1" style="51" min="15378" max="15378"/>
    <col width="5.85546875" customWidth="1" style="51" min="15379" max="15379"/>
    <col width="10" customWidth="1" style="51" min="15380" max="15380"/>
    <col width="9.140625" customWidth="1" style="51" min="15381" max="15615"/>
    <col width="9.5703125" customWidth="1" style="51" min="15616" max="15616"/>
    <col width="30.7109375" customWidth="1" style="51" min="15617" max="15617"/>
    <col width="14.7109375" customWidth="1" style="51" min="15618" max="15618"/>
    <col width="8.28515625" customWidth="1" style="51" min="15619" max="15619"/>
    <col width="11.85546875" customWidth="1" style="51" min="15620" max="15620"/>
    <col width="8.28515625" customWidth="1" style="51" min="15621" max="15621"/>
    <col width="17.28515625" customWidth="1" style="51" min="15622" max="15622"/>
    <col width="6.140625" customWidth="1" style="51" min="15623" max="15623"/>
    <col width="15.140625" customWidth="1" style="51" min="15624" max="15624"/>
    <col width="9.140625" customWidth="1" style="51" min="15625" max="15625"/>
    <col width="15" customWidth="1" style="51" min="15626" max="15626"/>
    <col width="6.85546875" customWidth="1" style="51" min="15627" max="15627"/>
    <col width="13.28515625" customWidth="1" style="51" min="15628" max="15628"/>
    <col width="9.42578125" customWidth="1" style="51" min="15629" max="15629"/>
    <col width="11" customWidth="1" style="51" min="15630" max="15630"/>
    <col width="10.140625" customWidth="1" style="51" min="15631" max="15631"/>
    <col width="11.140625" customWidth="1" style="51" min="15632" max="15632"/>
    <col width="7" customWidth="1" style="51" min="15633" max="15633"/>
    <col width="10.85546875" customWidth="1" style="51" min="15634" max="15634"/>
    <col width="5.85546875" customWidth="1" style="51" min="15635" max="15635"/>
    <col width="10" customWidth="1" style="51" min="15636" max="15636"/>
    <col width="9.140625" customWidth="1" style="51" min="15637" max="15871"/>
    <col width="9.5703125" customWidth="1" style="51" min="15872" max="15872"/>
    <col width="30.7109375" customWidth="1" style="51" min="15873" max="15873"/>
    <col width="14.7109375" customWidth="1" style="51" min="15874" max="15874"/>
    <col width="8.28515625" customWidth="1" style="51" min="15875" max="15875"/>
    <col width="11.85546875" customWidth="1" style="51" min="15876" max="15876"/>
    <col width="8.28515625" customWidth="1" style="51" min="15877" max="15877"/>
    <col width="17.28515625" customWidth="1" style="51" min="15878" max="15878"/>
    <col width="6.140625" customWidth="1" style="51" min="15879" max="15879"/>
    <col width="15.140625" customWidth="1" style="51" min="15880" max="15880"/>
    <col width="9.140625" customWidth="1" style="51" min="15881" max="15881"/>
    <col width="15" customWidth="1" style="51" min="15882" max="15882"/>
    <col width="6.85546875" customWidth="1" style="51" min="15883" max="15883"/>
    <col width="13.28515625" customWidth="1" style="51" min="15884" max="15884"/>
    <col width="9.42578125" customWidth="1" style="51" min="15885" max="15885"/>
    <col width="11" customWidth="1" style="51" min="15886" max="15886"/>
    <col width="10.140625" customWidth="1" style="51" min="15887" max="15887"/>
    <col width="11.140625" customWidth="1" style="51" min="15888" max="15888"/>
    <col width="7" customWidth="1" style="51" min="15889" max="15889"/>
    <col width="10.85546875" customWidth="1" style="51" min="15890" max="15890"/>
    <col width="5.85546875" customWidth="1" style="51" min="15891" max="15891"/>
    <col width="10" customWidth="1" style="51" min="15892" max="15892"/>
    <col width="9.140625" customWidth="1" style="51" min="15893" max="16127"/>
    <col width="9.5703125" customWidth="1" style="51" min="16128" max="16128"/>
    <col width="30.7109375" customWidth="1" style="51" min="16129" max="16129"/>
    <col width="14.7109375" customWidth="1" style="51" min="16130" max="16130"/>
    <col width="8.28515625" customWidth="1" style="51" min="16131" max="16131"/>
    <col width="11.85546875" customWidth="1" style="51" min="16132" max="16132"/>
    <col width="8.28515625" customWidth="1" style="51" min="16133" max="16133"/>
    <col width="17.28515625" customWidth="1" style="51" min="16134" max="16134"/>
    <col width="6.140625" customWidth="1" style="51" min="16135" max="16135"/>
    <col width="15.140625" customWidth="1" style="51" min="16136" max="16136"/>
    <col width="9.140625" customWidth="1" style="51" min="16137" max="16137"/>
    <col width="15" customWidth="1" style="51" min="16138" max="16138"/>
    <col width="6.85546875" customWidth="1" style="51" min="16139" max="16139"/>
    <col width="13.28515625" customWidth="1" style="51" min="16140" max="16140"/>
    <col width="9.42578125" customWidth="1" style="51" min="16141" max="16141"/>
    <col width="11" customWidth="1" style="51" min="16142" max="16142"/>
    <col width="10.140625" customWidth="1" style="51" min="16143" max="16143"/>
    <col width="11.140625" customWidth="1" style="51" min="16144" max="16144"/>
    <col width="7" customWidth="1" style="51" min="16145" max="16145"/>
    <col width="10.85546875" customWidth="1" style="51" min="16146" max="16146"/>
    <col width="5.85546875" customWidth="1" style="51" min="16147" max="16147"/>
    <col width="10" customWidth="1" style="51" min="16148" max="16148"/>
    <col width="9.140625" customWidth="1" style="51" min="16149" max="16384"/>
  </cols>
  <sheetData>
    <row r="1">
      <c r="A1" s="99" t="inlineStr">
        <is>
          <t>Weekly Issued (Buffer Stock POMI)- POH 1</t>
        </is>
      </c>
    </row>
    <row r="2" ht="15" customHeight="1">
      <c r="A2" s="3" t="inlineStr">
        <is>
          <t>Mnth</t>
        </is>
      </c>
      <c r="B2" s="4" t="n">
        <v>45992</v>
      </c>
      <c r="C2" s="5" t="n"/>
      <c r="D2" s="6" t="n"/>
      <c r="E2" s="116" t="n"/>
      <c r="F2" s="53" t="n"/>
      <c r="G2" s="7" t="n"/>
      <c r="H2" s="53" t="n"/>
      <c r="I2" s="8" t="n"/>
      <c r="J2" s="53" t="n"/>
      <c r="K2" s="7" t="n"/>
      <c r="L2" s="9" t="n"/>
      <c r="M2" s="7" t="n"/>
      <c r="N2" s="99" t="n"/>
      <c r="O2" s="10" t="n"/>
      <c r="P2" s="99" t="n"/>
      <c r="Q2" s="7" t="n"/>
      <c r="R2" s="99" t="n"/>
      <c r="S2" s="99" t="n"/>
      <c r="T2" s="99" t="n"/>
    </row>
    <row r="3">
      <c r="A3" s="11" t="inlineStr">
        <is>
          <t>Week</t>
        </is>
      </c>
      <c r="B3" s="49" t="inlineStr">
        <is>
          <t>I</t>
        </is>
      </c>
      <c r="G3" s="100" t="n"/>
      <c r="H3" s="117" t="n"/>
      <c r="I3" s="117" t="n"/>
      <c r="J3" s="117" t="n"/>
      <c r="K3" s="117" t="n"/>
      <c r="L3" s="117" t="n"/>
      <c r="M3" s="117" t="n"/>
      <c r="N3" s="117" t="n"/>
    </row>
    <row r="4">
      <c r="A4" s="22" t="inlineStr">
        <is>
          <t>No.</t>
        </is>
      </c>
      <c r="B4" s="79" t="inlineStr">
        <is>
          <t xml:space="preserve">Nama Barang </t>
        </is>
      </c>
      <c r="C4" s="18" t="inlineStr">
        <is>
          <t>Satuan</t>
        </is>
      </c>
      <c r="D4" s="77" t="inlineStr">
        <is>
          <t>Stock Awal</t>
        </is>
      </c>
      <c r="E4" s="118" t="inlineStr">
        <is>
          <t xml:space="preserve">Tanggal Buffer Stock </t>
        </is>
      </c>
      <c r="F4" s="64" t="inlineStr">
        <is>
          <t>Jumlah</t>
        </is>
      </c>
      <c r="G4" s="119" t="n">
        <v>45991</v>
      </c>
      <c r="H4" s="120" t="n"/>
      <c r="I4" s="119" t="n">
        <v>45992</v>
      </c>
      <c r="J4" s="120" t="n"/>
      <c r="K4" s="119" t="n">
        <v>45993</v>
      </c>
      <c r="L4" s="120" t="n"/>
      <c r="M4" s="119" t="n">
        <v>45994</v>
      </c>
      <c r="N4" s="120" t="n"/>
      <c r="O4" s="119" t="n">
        <v>45995</v>
      </c>
      <c r="P4" s="120" t="n"/>
      <c r="Q4" s="119" t="n">
        <v>45996</v>
      </c>
      <c r="R4" s="120" t="n"/>
      <c r="S4" s="119" t="n">
        <v>45997</v>
      </c>
      <c r="T4" s="120" t="n"/>
      <c r="U4" s="71" t="inlineStr">
        <is>
          <t>Ending Stock</t>
        </is>
      </c>
      <c r="V4" t="inlineStr">
        <is>
          <t>KATEGORI</t>
        </is>
      </c>
    </row>
    <row r="5">
      <c r="A5" s="121" t="n"/>
      <c r="B5" s="121" t="n"/>
      <c r="C5" s="121" t="n"/>
      <c r="D5" s="121" t="n"/>
      <c r="E5" s="121" t="n"/>
      <c r="F5" s="121" t="n"/>
      <c r="G5" s="17" t="inlineStr">
        <is>
          <t xml:space="preserve">Lokasi </t>
        </is>
      </c>
      <c r="H5" s="54" t="inlineStr">
        <is>
          <t>Jumlah</t>
        </is>
      </c>
      <c r="I5" s="19" t="inlineStr">
        <is>
          <t xml:space="preserve">Lokasi </t>
        </is>
      </c>
      <c r="J5" s="54" t="inlineStr">
        <is>
          <t>Jumlah</t>
        </is>
      </c>
      <c r="K5" s="73" t="inlineStr">
        <is>
          <t xml:space="preserve">Lokasi </t>
        </is>
      </c>
      <c r="L5" s="21" t="inlineStr">
        <is>
          <t>Jumlah</t>
        </is>
      </c>
      <c r="M5" s="73" t="inlineStr">
        <is>
          <t xml:space="preserve">Lokasi </t>
        </is>
      </c>
      <c r="N5" s="18" t="inlineStr">
        <is>
          <t>Jumlah</t>
        </is>
      </c>
      <c r="O5" s="19" t="inlineStr">
        <is>
          <t xml:space="preserve">Lokasi </t>
        </is>
      </c>
      <c r="P5" s="18" t="inlineStr">
        <is>
          <t>Jumlah</t>
        </is>
      </c>
      <c r="Q5" s="73" t="inlineStr">
        <is>
          <t xml:space="preserve">Lokasi </t>
        </is>
      </c>
      <c r="R5" s="18" t="inlineStr">
        <is>
          <t>Jumlah</t>
        </is>
      </c>
      <c r="S5" s="18" t="inlineStr">
        <is>
          <t xml:space="preserve">Lokasi </t>
        </is>
      </c>
      <c r="T5" s="18" t="inlineStr">
        <is>
          <t>Jumlah</t>
        </is>
      </c>
      <c r="U5" s="121" t="n"/>
    </row>
    <row r="6" ht="30" customHeight="1">
      <c r="A6" s="22" t="n">
        <v>1</v>
      </c>
      <c r="B6" s="122" t="inlineStr">
        <is>
          <t>AC Compressor 1 PK, PANASONIC R 22</t>
        </is>
      </c>
      <c r="C6" s="123" t="inlineStr">
        <is>
          <t>Unit</t>
        </is>
      </c>
      <c r="D6" s="26">
        <f>'[1]Week  (4)'!U6</f>
        <v/>
      </c>
      <c r="E6" s="26" t="n"/>
      <c r="F6" s="26" t="n"/>
      <c r="G6" s="26" t="n"/>
      <c r="H6" s="26" t="n"/>
      <c r="I6" s="26" t="n"/>
      <c r="J6" s="26" t="n"/>
      <c r="K6" s="18" t="n"/>
      <c r="L6" s="73" t="n"/>
      <c r="M6" s="73" t="n"/>
      <c r="N6" s="73" t="n"/>
      <c r="O6" s="19" t="n"/>
      <c r="P6" s="18" t="n"/>
      <c r="Q6" s="18" t="n"/>
      <c r="R6" s="73" t="n"/>
      <c r="S6" s="18" t="n"/>
      <c r="T6" s="18" t="n"/>
      <c r="U6" s="26">
        <f>D6+F6+-(H6+J6+L6+N6+P6+R6+T6)</f>
        <v/>
      </c>
      <c r="V6" t="inlineStr">
        <is>
          <t>AC</t>
        </is>
      </c>
    </row>
    <row r="7" ht="30" customHeight="1">
      <c r="A7" s="22">
        <f>A6+1</f>
        <v/>
      </c>
      <c r="B7" s="122" t="inlineStr">
        <is>
          <t>AC Compressor 1,5  PK, PANASONIC R 22</t>
        </is>
      </c>
      <c r="C7" s="123" t="inlineStr">
        <is>
          <t>Unit</t>
        </is>
      </c>
      <c r="D7" s="26">
        <f>'[1]Week  (4)'!U7</f>
        <v/>
      </c>
      <c r="E7" s="124" t="n"/>
      <c r="F7" s="62" t="n"/>
      <c r="G7" s="25" t="n"/>
      <c r="H7" s="56" t="n"/>
      <c r="I7" s="19" t="n"/>
      <c r="J7" s="64" t="n"/>
      <c r="K7" s="18" t="n"/>
      <c r="L7" s="73" t="n"/>
      <c r="M7" s="73" t="n"/>
      <c r="N7" s="73" t="n"/>
      <c r="O7" s="19" t="n"/>
      <c r="P7" s="18" t="n"/>
      <c r="Q7" s="18" t="n"/>
      <c r="R7" s="73" t="n"/>
      <c r="S7" s="18" t="n"/>
      <c r="T7" s="18" t="n"/>
      <c r="U7" s="26">
        <f>D7+F7+-(H7+J7+L7+N7+P7+R7+T7)</f>
        <v/>
      </c>
      <c r="V7" t="inlineStr">
        <is>
          <t>AC</t>
        </is>
      </c>
    </row>
    <row r="8" ht="30" customHeight="1">
      <c r="A8" s="22">
        <f>A7+1</f>
        <v/>
      </c>
      <c r="B8" s="122" t="inlineStr">
        <is>
          <t>AC Compressor 2 PK, PANASONIC</t>
        </is>
      </c>
      <c r="C8" s="123" t="inlineStr">
        <is>
          <t>Unit</t>
        </is>
      </c>
      <c r="D8" s="26">
        <f>'[1]Week  (4)'!U8</f>
        <v/>
      </c>
      <c r="E8" s="125" t="n"/>
      <c r="F8" s="55" t="n"/>
      <c r="G8" s="52" t="n"/>
      <c r="H8" s="55" t="n"/>
      <c r="I8" s="71" t="n"/>
      <c r="J8" s="55" t="n"/>
      <c r="K8" s="18" t="n"/>
      <c r="L8" s="73" t="n"/>
      <c r="M8" s="73" t="n"/>
      <c r="N8" s="73" t="n"/>
      <c r="O8" s="19" t="n"/>
      <c r="P8" s="18" t="n"/>
      <c r="Q8" s="18" t="n"/>
      <c r="R8" s="73" t="n"/>
      <c r="S8" s="18" t="n"/>
      <c r="T8" s="18" t="n"/>
      <c r="U8" s="26">
        <f>D8+F8+-(H8+J8+L8+N8+P8+R8+T8)</f>
        <v/>
      </c>
      <c r="V8" t="inlineStr">
        <is>
          <t>AC</t>
        </is>
      </c>
    </row>
    <row r="9" ht="30" customHeight="1">
      <c r="A9" s="22">
        <f>A8+1</f>
        <v/>
      </c>
      <c r="B9" s="122" t="inlineStr">
        <is>
          <t>AC Compressor 3 PK, PANASONIC</t>
        </is>
      </c>
      <c r="C9" s="123" t="inlineStr">
        <is>
          <t>Unit</t>
        </is>
      </c>
      <c r="D9" s="26">
        <f>'[1]Week  (4)'!U9</f>
        <v/>
      </c>
      <c r="E9" s="124" t="n"/>
      <c r="F9" s="62" t="n"/>
      <c r="G9" s="25" t="n"/>
      <c r="H9" s="56" t="n"/>
      <c r="I9" s="19" t="n"/>
      <c r="J9" s="64" t="n"/>
      <c r="K9" s="18" t="n"/>
      <c r="L9" s="73" t="n"/>
      <c r="M9" s="73" t="n"/>
      <c r="N9" s="73" t="n"/>
      <c r="O9" s="19" t="n"/>
      <c r="P9" s="18" t="n"/>
      <c r="Q9" s="18" t="n"/>
      <c r="R9" s="73" t="n"/>
      <c r="S9" s="18" t="n"/>
      <c r="T9" s="18" t="n"/>
      <c r="U9" s="26">
        <f>D9+F9+-(H9+J9+L9+N9+P9+R9+T9)</f>
        <v/>
      </c>
      <c r="V9" t="inlineStr">
        <is>
          <t>AC</t>
        </is>
      </c>
    </row>
    <row r="10" ht="30" customHeight="1">
      <c r="A10" s="22">
        <f>A9+1</f>
        <v/>
      </c>
      <c r="B10" s="122" t="inlineStr">
        <is>
          <t>AC Compressor 1 PK, PANASONIC R 32</t>
        </is>
      </c>
      <c r="C10" s="123" t="inlineStr">
        <is>
          <t>Unit</t>
        </is>
      </c>
      <c r="D10" s="26">
        <f>'[1]Week  (4)'!U10</f>
        <v/>
      </c>
      <c r="E10" s="125" t="n"/>
      <c r="F10" s="55" t="n"/>
      <c r="G10" s="52" t="n"/>
      <c r="H10" s="55" t="n"/>
      <c r="I10" s="71" t="n"/>
      <c r="J10" s="55" t="n"/>
      <c r="K10" s="18" t="n"/>
      <c r="L10" s="73" t="n"/>
      <c r="M10" s="73" t="n"/>
      <c r="N10" s="73" t="n"/>
      <c r="O10" s="19" t="n"/>
      <c r="P10" s="18" t="n"/>
      <c r="Q10" s="18" t="n"/>
      <c r="R10" s="73" t="n"/>
      <c r="S10" s="18" t="n"/>
      <c r="T10" s="18" t="n"/>
      <c r="U10" s="26">
        <f>D10+F10+-(H10+J10+L10+N10+P10+R10+T10)</f>
        <v/>
      </c>
      <c r="V10" t="inlineStr">
        <is>
          <t>AC</t>
        </is>
      </c>
    </row>
    <row r="11" ht="30" customHeight="1">
      <c r="A11" s="22">
        <f>A10+1</f>
        <v/>
      </c>
      <c r="B11" s="122" t="inlineStr">
        <is>
          <t>AC Compressor 1,5  PK, PANASONIC R 32</t>
        </is>
      </c>
      <c r="C11" s="123" t="inlineStr">
        <is>
          <t>Unit</t>
        </is>
      </c>
      <c r="D11" s="26">
        <f>'[1]Week  (4)'!U11</f>
        <v/>
      </c>
      <c r="E11" s="124" t="n"/>
      <c r="F11" s="62" t="n"/>
      <c r="G11" s="25" t="n"/>
      <c r="H11" s="56" t="n"/>
      <c r="I11" s="19" t="n"/>
      <c r="J11" s="64" t="n"/>
      <c r="K11" s="18" t="n"/>
      <c r="L11" s="73" t="n"/>
      <c r="M11" s="73" t="n"/>
      <c r="N11" s="73" t="n"/>
      <c r="O11" s="19" t="n"/>
      <c r="P11" s="18" t="n"/>
      <c r="Q11" s="18" t="n"/>
      <c r="R11" s="73" t="n"/>
      <c r="S11" s="18" t="n"/>
      <c r="T11" s="18" t="n"/>
      <c r="U11" s="26">
        <f>D11+F11+-(H11+J11+L11+N11+P11+R11+T11)</f>
        <v/>
      </c>
      <c r="V11" t="inlineStr">
        <is>
          <t>AC</t>
        </is>
      </c>
    </row>
    <row r="12" ht="15" customHeight="1">
      <c r="A12" s="22">
        <f>A11+1</f>
        <v/>
      </c>
      <c r="B12" s="27" t="inlineStr">
        <is>
          <t>Amplas NO 1</t>
        </is>
      </c>
      <c r="C12" s="123" t="inlineStr">
        <is>
          <t xml:space="preserve">Lbr </t>
        </is>
      </c>
      <c r="D12" s="26">
        <f>'[1]Week  (4)'!U12</f>
        <v/>
      </c>
      <c r="E12" s="125" t="n"/>
      <c r="F12" s="55" t="n"/>
      <c r="G12" s="52" t="n"/>
      <c r="H12" s="55" t="n"/>
      <c r="I12" s="71" t="n"/>
      <c r="J12" s="55" t="n"/>
      <c r="K12" s="52" t="n"/>
      <c r="L12" s="55" t="n"/>
      <c r="M12" s="73" t="n"/>
      <c r="N12" s="73" t="n"/>
      <c r="O12" s="19" t="n"/>
      <c r="P12" s="18" t="n"/>
      <c r="Q12" s="18" t="n"/>
      <c r="R12" s="73" t="n"/>
      <c r="S12" s="18" t="n"/>
      <c r="T12" s="18" t="n"/>
      <c r="U12" s="26">
        <f>D12+F12+-(H12+J12+L12+N12+P12+R12+T12)</f>
        <v/>
      </c>
      <c r="V12" t="inlineStr">
        <is>
          <t>CONSUMABLE</t>
        </is>
      </c>
    </row>
    <row r="13" ht="15" customHeight="1">
      <c r="A13" s="22">
        <f>A12+1</f>
        <v/>
      </c>
      <c r="B13" s="27" t="inlineStr">
        <is>
          <t>Amplas NO 180</t>
        </is>
      </c>
      <c r="C13" s="123" t="inlineStr">
        <is>
          <t xml:space="preserve">Lbr </t>
        </is>
      </c>
      <c r="D13" s="26">
        <f>'[1]Week  (4)'!U13</f>
        <v/>
      </c>
      <c r="E13" s="124" t="n"/>
      <c r="F13" s="62" t="n"/>
      <c r="G13" s="52" t="n"/>
      <c r="H13" s="56" t="n"/>
      <c r="I13" s="71" t="n"/>
      <c r="J13" s="64" t="n"/>
      <c r="K13" s="52" t="n"/>
      <c r="L13" s="55" t="n"/>
      <c r="M13" s="73" t="n"/>
      <c r="N13" s="73" t="n"/>
      <c r="O13" s="19" t="n"/>
      <c r="P13" s="18" t="n"/>
      <c r="Q13" s="18" t="n"/>
      <c r="R13" s="73" t="n"/>
      <c r="S13" s="18" t="n"/>
      <c r="T13" s="18" t="n"/>
      <c r="U13" s="26">
        <f>D13+F13+-(H13+J13+L13+N13+P13+R13+T13)</f>
        <v/>
      </c>
      <c r="V13" t="inlineStr">
        <is>
          <t>CONSUMABLE</t>
        </is>
      </c>
    </row>
    <row r="14" ht="15" customHeight="1">
      <c r="A14" s="22">
        <f>A13+1</f>
        <v/>
      </c>
      <c r="B14" s="27" t="inlineStr">
        <is>
          <t>Avur bak cuci piring</t>
        </is>
      </c>
      <c r="C14" s="123" t="inlineStr">
        <is>
          <t>pcs</t>
        </is>
      </c>
      <c r="D14" s="26">
        <f>'[1]Week  (4)'!U14</f>
        <v/>
      </c>
      <c r="E14" s="125" t="n"/>
      <c r="F14" s="55" t="n"/>
      <c r="G14" s="52" t="n"/>
      <c r="H14" s="55" t="n"/>
      <c r="I14" s="71" t="n"/>
      <c r="J14" s="55" t="n"/>
      <c r="K14" s="18" t="n"/>
      <c r="L14" s="73" t="n"/>
      <c r="M14" s="73" t="n"/>
      <c r="N14" s="73" t="n"/>
      <c r="O14" s="19" t="n"/>
      <c r="P14" s="18" t="n"/>
      <c r="Q14" s="18" t="n"/>
      <c r="R14" s="73" t="n"/>
      <c r="S14" s="18" t="n"/>
      <c r="T14" s="18" t="n"/>
      <c r="U14" s="26">
        <f>D14+F14+-(H14+J14+L14+N14+P14+R14+T14)</f>
        <v/>
      </c>
      <c r="V14" t="inlineStr">
        <is>
          <t>SANITARY</t>
        </is>
      </c>
    </row>
    <row r="15" ht="15" customHeight="1">
      <c r="A15" s="22">
        <f>A14+1</f>
        <v/>
      </c>
      <c r="B15" s="27" t="inlineStr">
        <is>
          <t>RESIBON CUTTING WHEEL</t>
        </is>
      </c>
      <c r="C15" s="123" t="inlineStr">
        <is>
          <t xml:space="preserve">Lbr </t>
        </is>
      </c>
      <c r="D15" s="26">
        <f>'[1]Week  (4)'!U15</f>
        <v/>
      </c>
      <c r="E15" s="125" t="n"/>
      <c r="F15" s="62" t="n"/>
      <c r="G15" s="25" t="n"/>
      <c r="H15" s="56" t="n"/>
      <c r="I15" s="25" t="n"/>
      <c r="J15" s="56" t="n"/>
      <c r="K15" s="25" t="inlineStr">
        <is>
          <t>Parkir genset</t>
        </is>
      </c>
      <c r="L15" s="56" t="n">
        <v>2</v>
      </c>
      <c r="M15" s="25" t="n"/>
      <c r="N15" s="56" t="n"/>
      <c r="O15" s="25" t="inlineStr">
        <is>
          <t>Parkir sisi genset</t>
        </is>
      </c>
      <c r="P15" s="18" t="n">
        <v>4</v>
      </c>
      <c r="Q15" s="25" t="n"/>
      <c r="R15" s="18" t="n"/>
      <c r="S15" s="18" t="n"/>
      <c r="T15" s="18" t="n"/>
      <c r="U15" s="26">
        <f>D15+F15+-(H15+J15+L15+N15+P15+R15+T15)</f>
        <v/>
      </c>
      <c r="V15" t="inlineStr">
        <is>
          <t>CONSUMABLE</t>
        </is>
      </c>
    </row>
    <row r="16" ht="15" customHeight="1">
      <c r="A16" s="22">
        <f>A15+1</f>
        <v/>
      </c>
      <c r="B16" s="27" t="inlineStr">
        <is>
          <t>RESIBON GRINDING WHEEL</t>
        </is>
      </c>
      <c r="C16" s="123" t="inlineStr">
        <is>
          <t xml:space="preserve">Lbr </t>
        </is>
      </c>
      <c r="D16" s="26">
        <f>'[1]Week  (4)'!U16</f>
        <v/>
      </c>
      <c r="E16" s="125" t="n"/>
      <c r="F16" s="55" t="n"/>
      <c r="G16" s="25" t="n"/>
      <c r="H16" s="55" t="n"/>
      <c r="I16" s="19" t="n"/>
      <c r="J16" s="55" t="n"/>
      <c r="K16" s="18" t="n"/>
      <c r="L16" s="73" t="n"/>
      <c r="M16" s="25" t="n"/>
      <c r="N16" s="56" t="n"/>
      <c r="O16" s="19" t="n"/>
      <c r="P16" s="18" t="n"/>
      <c r="Q16" s="18" t="n"/>
      <c r="R16" s="73" t="n"/>
      <c r="S16" s="18" t="n"/>
      <c r="T16" s="18" t="n"/>
      <c r="U16" s="26">
        <f>D16+F16+-(H16+J16+L16+N16+P16+R16+T16)</f>
        <v/>
      </c>
      <c r="V16" t="inlineStr">
        <is>
          <t>CONSUMABLE</t>
        </is>
      </c>
    </row>
    <row r="17" ht="13.5" customHeight="1">
      <c r="A17" s="22">
        <f>A16+1</f>
        <v/>
      </c>
      <c r="B17" s="79" t="inlineStr">
        <is>
          <t>Ball Valve 1/2" ONDA Kuningan</t>
        </is>
      </c>
      <c r="C17" s="29" t="inlineStr">
        <is>
          <t>Pcs</t>
        </is>
      </c>
      <c r="D17" s="26">
        <f>'[1]Week  (4)'!U17</f>
        <v/>
      </c>
      <c r="E17" s="124" t="n"/>
      <c r="F17" s="62" t="n"/>
      <c r="G17" s="25" t="n"/>
      <c r="H17" s="56" t="n"/>
      <c r="I17" s="19" t="n"/>
      <c r="J17" s="64" t="n"/>
      <c r="K17" s="18" t="n"/>
      <c r="L17" s="73" t="n"/>
      <c r="M17" s="73" t="n"/>
      <c r="N17" s="73" t="n"/>
      <c r="O17" s="19" t="n"/>
      <c r="P17" s="18" t="n"/>
      <c r="Q17" s="18" t="n"/>
      <c r="R17" s="73" t="n"/>
      <c r="S17" s="18" t="n"/>
      <c r="T17" s="18" t="n"/>
      <c r="U17" s="26">
        <f>D17+F17+-(H17+J17+L17+N17+P17+R17+T17)</f>
        <v/>
      </c>
      <c r="V17" t="inlineStr">
        <is>
          <t>VALVE AND PIPE</t>
        </is>
      </c>
    </row>
    <row r="18" ht="13.5" customHeight="1">
      <c r="A18" s="22">
        <f>A17+1</f>
        <v/>
      </c>
      <c r="B18" s="79" t="inlineStr">
        <is>
          <t>Ball Valve 3/4" ONDA Kuningan</t>
        </is>
      </c>
      <c r="C18" s="29" t="inlineStr">
        <is>
          <t>Pcs</t>
        </is>
      </c>
      <c r="D18" s="26">
        <f>'[1]Week  (4)'!U18</f>
        <v/>
      </c>
      <c r="E18" s="124" t="n"/>
      <c r="F18" s="55" t="n"/>
      <c r="G18" s="52" t="n"/>
      <c r="H18" s="55" t="n"/>
      <c r="I18" s="71" t="n"/>
      <c r="J18" s="55" t="n"/>
      <c r="K18" s="18" t="n"/>
      <c r="L18" s="73" t="n"/>
      <c r="M18" s="73" t="n"/>
      <c r="N18" s="73" t="n"/>
      <c r="O18" s="19" t="n"/>
      <c r="P18" s="18" t="n"/>
      <c r="Q18" s="18" t="n"/>
      <c r="R18" s="73" t="n"/>
      <c r="S18" s="18" t="n"/>
      <c r="T18" s="18" t="n"/>
      <c r="U18" s="26">
        <f>D18+F18+-(H18+J18+L18+N18+P18+R18+T18)</f>
        <v/>
      </c>
      <c r="V18" t="inlineStr">
        <is>
          <t>VALVE AND PIPE</t>
        </is>
      </c>
    </row>
    <row r="19" ht="15" customHeight="1">
      <c r="A19" s="22">
        <f>A18+1</f>
        <v/>
      </c>
      <c r="B19" s="30" t="inlineStr">
        <is>
          <t>BATTERY ALKALINE AA</t>
        </is>
      </c>
      <c r="C19" s="31" t="inlineStr">
        <is>
          <t>PCS</t>
        </is>
      </c>
      <c r="D19" s="26">
        <f>'[1]Week  (4)'!U19</f>
        <v/>
      </c>
      <c r="E19" s="124" t="n"/>
      <c r="F19" s="62" t="n"/>
      <c r="G19" s="25" t="n"/>
      <c r="H19" s="56" t="n"/>
      <c r="I19" s="68" t="n"/>
      <c r="J19" s="56" t="n"/>
      <c r="K19" s="18" t="n"/>
      <c r="L19" s="73" t="n"/>
      <c r="M19" s="73" t="n"/>
      <c r="N19" s="73" t="n"/>
      <c r="O19" s="19" t="n"/>
      <c r="P19" s="18" t="n"/>
      <c r="Q19" s="19" t="n"/>
      <c r="R19" s="73" t="n"/>
      <c r="S19" s="18" t="n"/>
      <c r="T19" s="18" t="n"/>
      <c r="U19" s="26">
        <f>D19+F19+-(H19+J19+L19+N19+P19+R19+T19)</f>
        <v/>
      </c>
      <c r="V19" t="inlineStr">
        <is>
          <t>CONSUMABLE</t>
        </is>
      </c>
    </row>
    <row r="20" ht="45.75" customHeight="1">
      <c r="A20" s="22">
        <f>A19+1</f>
        <v/>
      </c>
      <c r="B20" s="30" t="inlineStr">
        <is>
          <t>BATTERY ALKALINE AAA</t>
        </is>
      </c>
      <c r="C20" s="123" t="inlineStr">
        <is>
          <t>PCS</t>
        </is>
      </c>
      <c r="D20" s="26">
        <f>'[1]Week  (4)'!U20</f>
        <v/>
      </c>
      <c r="E20" s="124" t="n"/>
      <c r="F20" s="55" t="n"/>
      <c r="G20" s="25" t="n"/>
      <c r="H20" s="55" t="n"/>
      <c r="I20" s="71" t="n"/>
      <c r="J20" s="55" t="n"/>
      <c r="K20" s="18" t="n"/>
      <c r="L20" s="73" t="n"/>
      <c r="M20" s="73" t="n"/>
      <c r="N20" s="73" t="n"/>
      <c r="O20" s="19" t="n"/>
      <c r="P20" s="18" t="n"/>
      <c r="Q20" s="21" t="n"/>
      <c r="R20" s="73" t="n"/>
      <c r="S20" s="18" t="n"/>
      <c r="T20" s="18" t="n"/>
      <c r="U20" s="26">
        <f>D20+F20+-(H20+J20+L20+N20+P20+R20+T20)</f>
        <v/>
      </c>
      <c r="V20" t="inlineStr">
        <is>
          <t>CONSUMABLE</t>
        </is>
      </c>
    </row>
    <row r="21" ht="15" customHeight="1">
      <c r="A21" s="22">
        <f>A20+1</f>
        <v/>
      </c>
      <c r="B21" s="30" t="inlineStr">
        <is>
          <t>BATTERY KERING 6 VOLT</t>
        </is>
      </c>
      <c r="C21" s="123" t="inlineStr">
        <is>
          <t>PCS</t>
        </is>
      </c>
      <c r="D21" s="26">
        <f>'[1]Week  (4)'!U21</f>
        <v/>
      </c>
      <c r="E21" s="124" t="n"/>
      <c r="F21" s="62" t="n"/>
      <c r="G21" s="25" t="n"/>
      <c r="H21" s="56" t="n"/>
      <c r="I21" s="19" t="n"/>
      <c r="J21" s="64" t="n"/>
      <c r="K21" s="18" t="n"/>
      <c r="L21" s="73" t="n"/>
      <c r="M21" s="73" t="n"/>
      <c r="N21" s="73" t="n"/>
      <c r="O21" s="19" t="n"/>
      <c r="P21" s="18" t="n"/>
      <c r="Q21" s="18" t="n"/>
      <c r="R21" s="73" t="n"/>
      <c r="S21" s="18" t="n"/>
      <c r="T21" s="18" t="n"/>
      <c r="U21" s="26">
        <f>D21+F21+-(H21+J21+L21+N21+P21+R21+T21)</f>
        <v/>
      </c>
      <c r="V21" t="inlineStr">
        <is>
          <t>CONSUMABLE</t>
        </is>
      </c>
    </row>
    <row r="22" ht="15" customFormat="1" customHeight="1" s="32">
      <c r="A22" s="22">
        <f>A21+1</f>
        <v/>
      </c>
      <c r="B22" s="122" t="inlineStr">
        <is>
          <t>Battery Kotak 9 Volt</t>
        </is>
      </c>
      <c r="C22" s="123" t="inlineStr">
        <is>
          <t>PCS</t>
        </is>
      </c>
      <c r="D22" s="26">
        <f>'[1]Week  (4)'!U22</f>
        <v/>
      </c>
      <c r="E22" s="125" t="n"/>
      <c r="F22" s="55" t="n"/>
      <c r="G22" s="52" t="n"/>
      <c r="H22" s="55" t="n"/>
      <c r="I22" s="71" t="n"/>
      <c r="J22" s="55" t="n"/>
      <c r="K22" s="19" t="n"/>
      <c r="L22" s="73" t="n"/>
      <c r="M22" s="73" t="n"/>
      <c r="N22" s="73" t="n"/>
      <c r="O22" s="19" t="n"/>
      <c r="P22" s="18" t="n"/>
      <c r="Q22" s="19" t="n"/>
      <c r="R22" s="73" t="n"/>
      <c r="S22" s="18" t="n"/>
      <c r="T22" s="18" t="n"/>
      <c r="U22" s="26">
        <f>D22+F22+-(H22+J22+L22+N22+P22+R22+T22)</f>
        <v/>
      </c>
      <c r="V22" s="51" t="inlineStr">
        <is>
          <t>CONSUMABLE</t>
        </is>
      </c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  <c r="FX22" s="51" t="n"/>
      <c r="FY22" s="51" t="n"/>
      <c r="FZ22" s="51" t="n"/>
      <c r="GA22" s="51" t="n"/>
      <c r="GB22" s="51" t="n"/>
      <c r="GC22" s="51" t="n"/>
      <c r="GD22" s="51" t="n"/>
      <c r="GE22" s="51" t="n"/>
      <c r="GF22" s="51" t="n"/>
      <c r="GG22" s="51" t="n"/>
      <c r="GH22" s="51" t="n"/>
      <c r="GI22" s="51" t="n"/>
      <c r="GJ22" s="51" t="n"/>
      <c r="GK22" s="51" t="n"/>
      <c r="GL22" s="51" t="n"/>
      <c r="GM22" s="51" t="n"/>
      <c r="GN22" s="51" t="n"/>
      <c r="GO22" s="51" t="n"/>
      <c r="GP22" s="51" t="n"/>
      <c r="GQ22" s="51" t="n"/>
      <c r="GR22" s="51" t="n"/>
      <c r="GS22" s="51" t="n"/>
      <c r="GT22" s="51" t="n"/>
      <c r="GU22" s="51" t="n"/>
      <c r="GV22" s="51" t="n"/>
      <c r="GW22" s="51" t="n"/>
      <c r="GX22" s="51" t="n"/>
      <c r="GY22" s="51" t="n"/>
      <c r="GZ22" s="51" t="n"/>
      <c r="HA22" s="51" t="n"/>
      <c r="HB22" s="51" t="n"/>
      <c r="HC22" s="51" t="n"/>
      <c r="HD22" s="51" t="n"/>
      <c r="HE22" s="51" t="n"/>
      <c r="HF22" s="51" t="n"/>
      <c r="HG22" s="51" t="n"/>
      <c r="HH22" s="51" t="n"/>
      <c r="HI22" s="51" t="n"/>
      <c r="HJ22" s="51" t="n"/>
      <c r="HK22" s="51" t="n"/>
      <c r="HL22" s="51" t="n"/>
      <c r="HM22" s="51" t="n"/>
      <c r="HN22" s="51" t="n"/>
      <c r="HO22" s="51" t="n"/>
      <c r="HP22" s="51" t="n"/>
      <c r="HQ22" s="51" t="n"/>
      <c r="HR22" s="51" t="n"/>
      <c r="HS22" s="51" t="n"/>
      <c r="HT22" s="51" t="n"/>
      <c r="HU22" s="51" t="n"/>
      <c r="HV22" s="51" t="n"/>
      <c r="HW22" s="51" t="n"/>
      <c r="HX22" s="51" t="n"/>
      <c r="HY22" s="51" t="n"/>
      <c r="HZ22" s="51" t="n"/>
      <c r="IA22" s="51" t="n"/>
      <c r="IB22" s="51" t="n"/>
      <c r="IC22" s="51" t="n"/>
      <c r="ID22" s="51" t="n"/>
      <c r="IE22" s="51" t="n"/>
      <c r="IF22" s="51" t="n"/>
      <c r="IG22" s="51" t="n"/>
      <c r="IH22" s="51" t="n"/>
      <c r="II22" s="51" t="n"/>
      <c r="IJ22" s="51" t="n"/>
      <c r="IK22" s="51" t="n"/>
      <c r="IL22" s="51" t="n"/>
      <c r="IM22" s="51" t="n"/>
      <c r="IN22" s="51" t="n"/>
      <c r="IO22" s="51" t="n"/>
      <c r="IP22" s="51" t="n"/>
      <c r="IQ22" s="51" t="n"/>
      <c r="IR22" s="51" t="n"/>
      <c r="IS22" s="51" t="n"/>
      <c r="IT22" s="51" t="n"/>
      <c r="IU22" s="51" t="n"/>
      <c r="IV22" s="51" t="n"/>
      <c r="IW22" s="51" t="n"/>
      <c r="IX22" s="51" t="n"/>
      <c r="IY22" s="51" t="n"/>
      <c r="IZ22" s="51" t="n"/>
      <c r="JA22" s="51" t="n"/>
      <c r="JB22" s="51" t="n"/>
      <c r="JC22" s="51" t="n"/>
      <c r="JD22" s="51" t="n"/>
      <c r="JE22" s="51" t="n"/>
      <c r="JF22" s="51" t="n"/>
      <c r="JG22" s="51" t="n"/>
      <c r="JH22" s="51" t="n"/>
      <c r="JI22" s="51" t="n"/>
      <c r="JJ22" s="51" t="n"/>
      <c r="JK22" s="51" t="n"/>
      <c r="JL22" s="51" t="n"/>
      <c r="JM22" s="51" t="n"/>
      <c r="JN22" s="51" t="n"/>
      <c r="JO22" s="51" t="n"/>
      <c r="JP22" s="51" t="n"/>
      <c r="JQ22" s="51" t="n"/>
      <c r="JR22" s="51" t="n"/>
      <c r="JS22" s="51" t="n"/>
      <c r="JT22" s="51" t="n"/>
      <c r="JU22" s="51" t="n"/>
      <c r="JV22" s="51" t="n"/>
      <c r="JW22" s="51" t="n"/>
      <c r="JX22" s="51" t="n"/>
      <c r="JY22" s="51" t="n"/>
      <c r="JZ22" s="51" t="n"/>
      <c r="KA22" s="51" t="n"/>
      <c r="KB22" s="51" t="n"/>
      <c r="KC22" s="51" t="n"/>
      <c r="KD22" s="51" t="n"/>
      <c r="KE22" s="51" t="n"/>
      <c r="KF22" s="51" t="n"/>
      <c r="KG22" s="51" t="n"/>
      <c r="KH22" s="51" t="n"/>
      <c r="KI22" s="51" t="n"/>
      <c r="KJ22" s="51" t="n"/>
      <c r="KK22" s="51" t="n"/>
      <c r="KL22" s="51" t="n"/>
      <c r="KM22" s="51" t="n"/>
      <c r="KN22" s="51" t="n"/>
      <c r="KO22" s="51" t="n"/>
      <c r="KP22" s="51" t="n"/>
      <c r="KQ22" s="51" t="n"/>
      <c r="KR22" s="51" t="n"/>
      <c r="KS22" s="51" t="n"/>
      <c r="KT22" s="51" t="n"/>
      <c r="KU22" s="51" t="n"/>
      <c r="KV22" s="51" t="n"/>
      <c r="KW22" s="51" t="n"/>
      <c r="KX22" s="51" t="n"/>
      <c r="KY22" s="51" t="n"/>
      <c r="KZ22" s="51" t="n"/>
      <c r="LA22" s="51" t="n"/>
      <c r="LB22" s="51" t="n"/>
      <c r="LC22" s="51" t="n"/>
      <c r="LD22" s="51" t="n"/>
      <c r="LE22" s="51" t="n"/>
      <c r="LF22" s="51" t="n"/>
      <c r="LG22" s="51" t="n"/>
      <c r="LH22" s="51" t="n"/>
      <c r="LI22" s="51" t="n"/>
      <c r="LJ22" s="51" t="n"/>
      <c r="LK22" s="51" t="n"/>
      <c r="LL22" s="51" t="n"/>
      <c r="LM22" s="51" t="n"/>
      <c r="LN22" s="51" t="n"/>
      <c r="LO22" s="51" t="n"/>
      <c r="LP22" s="51" t="n"/>
      <c r="LQ22" s="51" t="n"/>
      <c r="LR22" s="51" t="n"/>
      <c r="LS22" s="51" t="n"/>
      <c r="LT22" s="51" t="n"/>
      <c r="LU22" s="51" t="n"/>
      <c r="LV22" s="51" t="n"/>
      <c r="LW22" s="51" t="n"/>
      <c r="LX22" s="51" t="n"/>
      <c r="LY22" s="51" t="n"/>
      <c r="LZ22" s="51" t="n"/>
      <c r="MA22" s="51" t="n"/>
      <c r="MB22" s="51" t="n"/>
      <c r="MC22" s="51" t="n"/>
      <c r="MD22" s="51" t="n"/>
      <c r="ME22" s="51" t="n"/>
      <c r="MF22" s="51" t="n"/>
      <c r="MG22" s="51" t="n"/>
      <c r="MH22" s="51" t="n"/>
      <c r="MI22" s="51" t="n"/>
      <c r="MJ22" s="51" t="n"/>
      <c r="MK22" s="51" t="n"/>
      <c r="ML22" s="51" t="n"/>
      <c r="MM22" s="51" t="n"/>
      <c r="MN22" s="51" t="n"/>
      <c r="MO22" s="51" t="n"/>
      <c r="MP22" s="51" t="n"/>
      <c r="MQ22" s="51" t="n"/>
      <c r="MR22" s="51" t="n"/>
      <c r="MS22" s="51" t="n"/>
      <c r="MT22" s="51" t="n"/>
      <c r="MU22" s="51" t="n"/>
      <c r="MV22" s="51" t="n"/>
      <c r="MW22" s="51" t="n"/>
      <c r="MX22" s="51" t="n"/>
      <c r="MY22" s="51" t="n"/>
      <c r="MZ22" s="51" t="n"/>
      <c r="NA22" s="51" t="n"/>
      <c r="NB22" s="51" t="n"/>
      <c r="NC22" s="51" t="n"/>
      <c r="ND22" s="51" t="n"/>
      <c r="NE22" s="51" t="n"/>
      <c r="NF22" s="51" t="n"/>
      <c r="NG22" s="51" t="n"/>
      <c r="NH22" s="51" t="n"/>
      <c r="NI22" s="51" t="n"/>
      <c r="NJ22" s="51" t="n"/>
      <c r="NK22" s="51" t="n"/>
      <c r="NL22" s="51" t="n"/>
      <c r="NM22" s="51" t="n"/>
      <c r="NN22" s="51" t="n"/>
      <c r="NO22" s="51" t="n"/>
      <c r="NP22" s="51" t="n"/>
      <c r="NQ22" s="51" t="n"/>
      <c r="NR22" s="51" t="n"/>
      <c r="NS22" s="51" t="n"/>
      <c r="NT22" s="51" t="n"/>
      <c r="NU22" s="51" t="n"/>
      <c r="NV22" s="51" t="n"/>
      <c r="NW22" s="51" t="n"/>
      <c r="NX22" s="51" t="n"/>
      <c r="NY22" s="51" t="n"/>
      <c r="NZ22" s="51" t="n"/>
      <c r="OA22" s="51" t="n"/>
      <c r="OB22" s="51" t="n"/>
      <c r="OC22" s="51" t="n"/>
      <c r="OD22" s="51" t="n"/>
      <c r="OE22" s="51" t="n"/>
      <c r="OF22" s="51" t="n"/>
      <c r="OG22" s="51" t="n"/>
      <c r="OH22" s="51" t="n"/>
      <c r="OI22" s="51" t="n"/>
      <c r="OJ22" s="51" t="n"/>
      <c r="OK22" s="51" t="n"/>
      <c r="OL22" s="51" t="n"/>
      <c r="OM22" s="51" t="n"/>
      <c r="ON22" s="51" t="n"/>
      <c r="OO22" s="51" t="n"/>
      <c r="OP22" s="51" t="n"/>
      <c r="OQ22" s="51" t="n"/>
      <c r="OR22" s="51" t="n"/>
      <c r="OS22" s="51" t="n"/>
      <c r="OT22" s="51" t="n"/>
      <c r="OU22" s="51" t="n"/>
      <c r="OV22" s="51" t="n"/>
      <c r="OW22" s="51" t="n"/>
      <c r="OX22" s="51" t="n"/>
      <c r="OY22" s="51" t="n"/>
      <c r="OZ22" s="51" t="n"/>
      <c r="PA22" s="51" t="n"/>
      <c r="PB22" s="51" t="n"/>
      <c r="PC22" s="51" t="n"/>
      <c r="PD22" s="51" t="n"/>
      <c r="PE22" s="51" t="n"/>
      <c r="PF22" s="51" t="n"/>
      <c r="PG22" s="51" t="n"/>
      <c r="PH22" s="51" t="n"/>
      <c r="PI22" s="51" t="n"/>
      <c r="PJ22" s="51" t="n"/>
      <c r="PK22" s="51" t="n"/>
      <c r="PL22" s="51" t="n"/>
      <c r="PM22" s="51" t="n"/>
      <c r="PN22" s="51" t="n"/>
      <c r="PO22" s="51" t="n"/>
      <c r="PP22" s="51" t="n"/>
      <c r="PQ22" s="51" t="n"/>
      <c r="PR22" s="51" t="n"/>
      <c r="PS22" s="51" t="n"/>
      <c r="PT22" s="51" t="n"/>
      <c r="PU22" s="51" t="n"/>
      <c r="PV22" s="51" t="n"/>
      <c r="PW22" s="51" t="n"/>
      <c r="PX22" s="51" t="n"/>
      <c r="PY22" s="51" t="n"/>
      <c r="PZ22" s="51" t="n"/>
      <c r="QA22" s="51" t="n"/>
      <c r="QB22" s="51" t="n"/>
      <c r="QC22" s="51" t="n"/>
      <c r="QD22" s="51" t="n"/>
      <c r="QE22" s="51" t="n"/>
      <c r="QF22" s="51" t="n"/>
      <c r="QG22" s="51" t="n"/>
      <c r="QH22" s="51" t="n"/>
      <c r="QI22" s="51" t="n"/>
      <c r="QJ22" s="51" t="n"/>
      <c r="QK22" s="51" t="n"/>
      <c r="QL22" s="51" t="n"/>
      <c r="QM22" s="51" t="n"/>
      <c r="QN22" s="51" t="n"/>
      <c r="QO22" s="51" t="n"/>
      <c r="QP22" s="51" t="n"/>
      <c r="QQ22" s="51" t="n"/>
      <c r="QR22" s="51" t="n"/>
      <c r="QS22" s="51" t="n"/>
      <c r="QT22" s="51" t="n"/>
      <c r="QU22" s="51" t="n"/>
      <c r="QV22" s="51" t="n"/>
      <c r="QW22" s="51" t="n"/>
      <c r="QX22" s="51" t="n"/>
      <c r="QY22" s="51" t="n"/>
      <c r="QZ22" s="51" t="n"/>
      <c r="RA22" s="51" t="n"/>
      <c r="RB22" s="51" t="n"/>
      <c r="RC22" s="51" t="n"/>
      <c r="RD22" s="51" t="n"/>
      <c r="RE22" s="51" t="n"/>
      <c r="RF22" s="51" t="n"/>
      <c r="RG22" s="51" t="n"/>
      <c r="RH22" s="51" t="n"/>
      <c r="RI22" s="51" t="n"/>
      <c r="RJ22" s="51" t="n"/>
      <c r="RK22" s="51" t="n"/>
      <c r="RL22" s="51" t="n"/>
      <c r="RM22" s="51" t="n"/>
      <c r="RN22" s="51" t="n"/>
      <c r="RO22" s="51" t="n"/>
      <c r="RP22" s="51" t="n"/>
      <c r="RQ22" s="51" t="n"/>
      <c r="RR22" s="51" t="n"/>
      <c r="RS22" s="51" t="n"/>
      <c r="RT22" s="51" t="n"/>
      <c r="RU22" s="51" t="n"/>
      <c r="RV22" s="51" t="n"/>
      <c r="RW22" s="51" t="n"/>
      <c r="RX22" s="51" t="n"/>
      <c r="RY22" s="51" t="n"/>
      <c r="RZ22" s="51" t="n"/>
      <c r="SA22" s="51" t="n"/>
      <c r="SB22" s="51" t="n"/>
      <c r="SC22" s="51" t="n"/>
      <c r="SD22" s="51" t="n"/>
      <c r="SE22" s="51" t="n"/>
      <c r="SF22" s="51" t="n"/>
      <c r="SG22" s="51" t="n"/>
      <c r="SH22" s="51" t="n"/>
      <c r="SI22" s="51" t="n"/>
      <c r="SJ22" s="51" t="n"/>
      <c r="SK22" s="51" t="n"/>
      <c r="SL22" s="51" t="n"/>
      <c r="SM22" s="51" t="n"/>
      <c r="SN22" s="51" t="n"/>
      <c r="SO22" s="51" t="n"/>
      <c r="SP22" s="51" t="n"/>
      <c r="SQ22" s="51" t="n"/>
      <c r="SR22" s="51" t="n"/>
      <c r="SS22" s="51" t="n"/>
      <c r="ST22" s="51" t="n"/>
      <c r="SU22" s="51" t="n"/>
      <c r="SV22" s="51" t="n"/>
      <c r="SW22" s="51" t="n"/>
      <c r="SX22" s="51" t="n"/>
      <c r="SY22" s="51" t="n"/>
      <c r="SZ22" s="51" t="n"/>
      <c r="TA22" s="51" t="n"/>
      <c r="TB22" s="51" t="n"/>
      <c r="TC22" s="51" t="n"/>
      <c r="TD22" s="51" t="n"/>
      <c r="TE22" s="51" t="n"/>
      <c r="TF22" s="51" t="n"/>
      <c r="TG22" s="51" t="n"/>
      <c r="TH22" s="51" t="n"/>
      <c r="TI22" s="51" t="n"/>
      <c r="TJ22" s="51" t="n"/>
      <c r="TK22" s="51" t="n"/>
      <c r="TL22" s="51" t="n"/>
      <c r="TM22" s="51" t="n"/>
      <c r="TN22" s="51" t="n"/>
      <c r="TO22" s="51" t="n"/>
      <c r="TP22" s="51" t="n"/>
      <c r="TQ22" s="51" t="n"/>
      <c r="TR22" s="51" t="n"/>
      <c r="TS22" s="51" t="n"/>
      <c r="TT22" s="51" t="n"/>
      <c r="TU22" s="51" t="n"/>
      <c r="TV22" s="51" t="n"/>
      <c r="TW22" s="51" t="n"/>
      <c r="TX22" s="51" t="n"/>
      <c r="TY22" s="51" t="n"/>
      <c r="TZ22" s="51" t="n"/>
      <c r="UA22" s="51" t="n"/>
      <c r="UB22" s="51" t="n"/>
      <c r="UC22" s="51" t="n"/>
      <c r="UD22" s="51" t="n"/>
      <c r="UE22" s="51" t="n"/>
      <c r="UF22" s="51" t="n"/>
      <c r="UG22" s="51" t="n"/>
      <c r="UH22" s="51" t="n"/>
      <c r="UI22" s="51" t="n"/>
      <c r="UJ22" s="51" t="n"/>
      <c r="UK22" s="51" t="n"/>
      <c r="UL22" s="51" t="n"/>
      <c r="UM22" s="51" t="n"/>
      <c r="UN22" s="51" t="n"/>
      <c r="UO22" s="51" t="n"/>
      <c r="UP22" s="51" t="n"/>
      <c r="UQ22" s="51" t="n"/>
      <c r="UR22" s="51" t="n"/>
      <c r="US22" s="51" t="n"/>
      <c r="UT22" s="51" t="n"/>
      <c r="UU22" s="51" t="n"/>
      <c r="UV22" s="51" t="n"/>
      <c r="UW22" s="51" t="n"/>
      <c r="UX22" s="51" t="n"/>
      <c r="UY22" s="51" t="n"/>
      <c r="UZ22" s="51" t="n"/>
      <c r="VA22" s="51" t="n"/>
      <c r="VB22" s="51" t="n"/>
      <c r="VC22" s="51" t="n"/>
      <c r="VD22" s="51" t="n"/>
      <c r="VE22" s="51" t="n"/>
      <c r="VF22" s="51" t="n"/>
      <c r="VG22" s="51" t="n"/>
      <c r="VH22" s="51" t="n"/>
      <c r="VI22" s="51" t="n"/>
      <c r="VJ22" s="51" t="n"/>
      <c r="VK22" s="51" t="n"/>
      <c r="VL22" s="51" t="n"/>
      <c r="VM22" s="51" t="n"/>
      <c r="VN22" s="51" t="n"/>
      <c r="VO22" s="51" t="n"/>
      <c r="VP22" s="51" t="n"/>
      <c r="VQ22" s="51" t="n"/>
      <c r="VR22" s="51" t="n"/>
      <c r="VS22" s="51" t="n"/>
      <c r="VT22" s="51" t="n"/>
      <c r="VU22" s="51" t="n"/>
      <c r="VV22" s="51" t="n"/>
      <c r="VW22" s="51" t="n"/>
      <c r="VX22" s="51" t="n"/>
      <c r="VY22" s="51" t="n"/>
      <c r="VZ22" s="51" t="n"/>
      <c r="WA22" s="51" t="n"/>
      <c r="WB22" s="51" t="n"/>
      <c r="WC22" s="51" t="n"/>
      <c r="WD22" s="51" t="n"/>
      <c r="WE22" s="51" t="n"/>
      <c r="WF22" s="51" t="n"/>
      <c r="WG22" s="51" t="n"/>
      <c r="WH22" s="51" t="n"/>
      <c r="WI22" s="51" t="n"/>
      <c r="WJ22" s="51" t="n"/>
      <c r="WK22" s="51" t="n"/>
      <c r="WL22" s="51" t="n"/>
      <c r="WM22" s="51" t="n"/>
      <c r="WN22" s="51" t="n"/>
      <c r="WO22" s="51" t="n"/>
      <c r="WP22" s="51" t="n"/>
      <c r="WQ22" s="51" t="n"/>
      <c r="WR22" s="51" t="n"/>
      <c r="WS22" s="51" t="n"/>
      <c r="WT22" s="51" t="n"/>
      <c r="WU22" s="51" t="n"/>
      <c r="WV22" s="51" t="n"/>
      <c r="WW22" s="51" t="n"/>
      <c r="WX22" s="51" t="n"/>
      <c r="WY22" s="51" t="n"/>
      <c r="WZ22" s="51" t="n"/>
      <c r="XA22" s="51" t="n"/>
      <c r="XB22" s="51" t="n"/>
      <c r="XC22" s="51" t="n"/>
      <c r="XD22" s="51" t="n"/>
      <c r="XE22" s="51" t="n"/>
      <c r="XF22" s="51" t="n"/>
      <c r="XG22" s="51" t="n"/>
      <c r="XH22" s="51" t="n"/>
      <c r="XI22" s="51" t="n"/>
      <c r="XJ22" s="51" t="n"/>
      <c r="XK22" s="51" t="n"/>
      <c r="XL22" s="51" t="n"/>
      <c r="XM22" s="51" t="n"/>
      <c r="XN22" s="51" t="n"/>
      <c r="XO22" s="51" t="n"/>
      <c r="XP22" s="51" t="n"/>
      <c r="XQ22" s="51" t="n"/>
      <c r="XR22" s="51" t="n"/>
      <c r="XS22" s="51" t="n"/>
      <c r="XT22" s="51" t="n"/>
      <c r="XU22" s="51" t="n"/>
      <c r="XV22" s="51" t="n"/>
      <c r="XW22" s="51" t="n"/>
      <c r="XX22" s="51" t="n"/>
      <c r="XY22" s="51" t="n"/>
      <c r="XZ22" s="51" t="n"/>
      <c r="YA22" s="51" t="n"/>
      <c r="YB22" s="51" t="n"/>
      <c r="YC22" s="51" t="n"/>
      <c r="YD22" s="51" t="n"/>
      <c r="YE22" s="51" t="n"/>
      <c r="YF22" s="51" t="n"/>
      <c r="YG22" s="51" t="n"/>
      <c r="YH22" s="51" t="n"/>
      <c r="YI22" s="51" t="n"/>
      <c r="YJ22" s="51" t="n"/>
      <c r="YK22" s="51" t="n"/>
      <c r="YL22" s="51" t="n"/>
      <c r="YM22" s="51" t="n"/>
      <c r="YN22" s="51" t="n"/>
      <c r="YO22" s="51" t="n"/>
      <c r="YP22" s="51" t="n"/>
      <c r="YQ22" s="51" t="n"/>
      <c r="YR22" s="51" t="n"/>
      <c r="YS22" s="51" t="n"/>
      <c r="YT22" s="51" t="n"/>
      <c r="YU22" s="51" t="n"/>
      <c r="YV22" s="51" t="n"/>
      <c r="YW22" s="51" t="n"/>
      <c r="YX22" s="51" t="n"/>
      <c r="YY22" s="51" t="n"/>
      <c r="YZ22" s="51" t="n"/>
      <c r="ZA22" s="51" t="n"/>
      <c r="ZB22" s="51" t="n"/>
      <c r="ZC22" s="51" t="n"/>
      <c r="ZD22" s="51" t="n"/>
      <c r="ZE22" s="51" t="n"/>
      <c r="ZF22" s="51" t="n"/>
      <c r="ZG22" s="51" t="n"/>
      <c r="ZH22" s="51" t="n"/>
      <c r="ZI22" s="51" t="n"/>
      <c r="ZJ22" s="51" t="n"/>
      <c r="ZK22" s="51" t="n"/>
      <c r="ZL22" s="51" t="n"/>
      <c r="ZM22" s="51" t="n"/>
      <c r="ZN22" s="51" t="n"/>
      <c r="ZO22" s="51" t="n"/>
      <c r="ZP22" s="51" t="n"/>
      <c r="ZQ22" s="51" t="n"/>
      <c r="ZR22" s="51" t="n"/>
      <c r="ZS22" s="51" t="n"/>
      <c r="ZT22" s="51" t="n"/>
      <c r="ZU22" s="51" t="n"/>
      <c r="ZV22" s="51" t="n"/>
      <c r="ZW22" s="51" t="n"/>
      <c r="ZX22" s="51" t="n"/>
      <c r="ZY22" s="51" t="n"/>
      <c r="ZZ22" s="51" t="n"/>
      <c r="AAA22" s="51" t="n"/>
      <c r="AAB22" s="51" t="n"/>
      <c r="AAC22" s="51" t="n"/>
      <c r="AAD22" s="51" t="n"/>
      <c r="AAE22" s="51" t="n"/>
      <c r="AAF22" s="51" t="n"/>
      <c r="AAG22" s="51" t="n"/>
      <c r="AAH22" s="51" t="n"/>
      <c r="AAI22" s="51" t="n"/>
      <c r="AAJ22" s="51" t="n"/>
      <c r="AAK22" s="51" t="n"/>
      <c r="AAL22" s="51" t="n"/>
      <c r="AAM22" s="51" t="n"/>
      <c r="AAN22" s="51" t="n"/>
      <c r="AAO22" s="51" t="n"/>
      <c r="AAP22" s="51" t="n"/>
      <c r="AAQ22" s="51" t="n"/>
      <c r="AAR22" s="51" t="n"/>
      <c r="AAS22" s="51" t="n"/>
      <c r="AAT22" s="51" t="n"/>
      <c r="AAU22" s="51" t="n"/>
      <c r="AAV22" s="51" t="n"/>
      <c r="AAW22" s="51" t="n"/>
      <c r="AAX22" s="51" t="n"/>
      <c r="AAY22" s="51" t="n"/>
      <c r="AAZ22" s="51" t="n"/>
      <c r="ABA22" s="51" t="n"/>
      <c r="ABB22" s="51" t="n"/>
      <c r="ABC22" s="51" t="n"/>
      <c r="ABD22" s="51" t="n"/>
      <c r="ABE22" s="51" t="n"/>
      <c r="ABF22" s="51" t="n"/>
      <c r="ABG22" s="51" t="n"/>
      <c r="ABH22" s="51" t="n"/>
      <c r="ABI22" s="51" t="n"/>
      <c r="ABJ22" s="51" t="n"/>
      <c r="ABK22" s="51" t="n"/>
      <c r="ABL22" s="51" t="n"/>
      <c r="ABM22" s="51" t="n"/>
      <c r="ABN22" s="51" t="n"/>
      <c r="ABO22" s="51" t="n"/>
      <c r="ABP22" s="51" t="n"/>
      <c r="ABQ22" s="51" t="n"/>
      <c r="ABR22" s="51" t="n"/>
      <c r="ABS22" s="51" t="n"/>
      <c r="ABT22" s="51" t="n"/>
      <c r="ABU22" s="51" t="n"/>
      <c r="ABV22" s="51" t="n"/>
      <c r="ABW22" s="51" t="n"/>
      <c r="ABX22" s="51" t="n"/>
      <c r="ABY22" s="51" t="n"/>
      <c r="ABZ22" s="51" t="n"/>
      <c r="ACA22" s="51" t="n"/>
      <c r="ACB22" s="51" t="n"/>
      <c r="ACC22" s="51" t="n"/>
      <c r="ACD22" s="51" t="n"/>
      <c r="ACE22" s="51" t="n"/>
      <c r="ACF22" s="51" t="n"/>
      <c r="ACG22" s="51" t="n"/>
      <c r="ACH22" s="51" t="n"/>
      <c r="ACI22" s="51" t="n"/>
      <c r="ACJ22" s="51" t="n"/>
      <c r="ACK22" s="51" t="n"/>
      <c r="ACL22" s="51" t="n"/>
      <c r="ACM22" s="51" t="n"/>
      <c r="ACN22" s="51" t="n"/>
      <c r="ACO22" s="51" t="n"/>
      <c r="ACP22" s="51" t="n"/>
      <c r="ACQ22" s="51" t="n"/>
      <c r="ACR22" s="51" t="n"/>
      <c r="ACS22" s="51" t="n"/>
      <c r="ACT22" s="51" t="n"/>
      <c r="ACU22" s="51" t="n"/>
      <c r="ACV22" s="51" t="n"/>
      <c r="ACW22" s="51" t="n"/>
      <c r="ACX22" s="51" t="n"/>
      <c r="ACY22" s="51" t="n"/>
      <c r="ACZ22" s="51" t="n"/>
      <c r="ADA22" s="51" t="n"/>
      <c r="ADB22" s="51" t="n"/>
      <c r="ADC22" s="51" t="n"/>
      <c r="ADD22" s="51" t="n"/>
      <c r="ADE22" s="51" t="n"/>
      <c r="ADF22" s="51" t="n"/>
      <c r="ADG22" s="51" t="n"/>
      <c r="ADH22" s="51" t="n"/>
      <c r="ADI22" s="51" t="n"/>
      <c r="ADJ22" s="51" t="n"/>
      <c r="ADK22" s="51" t="n"/>
      <c r="ADL22" s="51" t="n"/>
      <c r="ADM22" s="51" t="n"/>
      <c r="ADN22" s="51" t="n"/>
      <c r="ADO22" s="51" t="n"/>
      <c r="ADP22" s="51" t="n"/>
      <c r="ADQ22" s="51" t="n"/>
      <c r="ADR22" s="51" t="n"/>
      <c r="ADS22" s="51" t="n"/>
      <c r="ADT22" s="51" t="n"/>
      <c r="ADU22" s="51" t="n"/>
      <c r="ADV22" s="51" t="n"/>
      <c r="ADW22" s="51" t="n"/>
      <c r="ADX22" s="51" t="n"/>
      <c r="ADY22" s="51" t="n"/>
      <c r="ADZ22" s="51" t="n"/>
      <c r="AEA22" s="51" t="n"/>
      <c r="AEB22" s="51" t="n"/>
      <c r="AEC22" s="51" t="n"/>
      <c r="AED22" s="51" t="n"/>
      <c r="AEE22" s="51" t="n"/>
      <c r="AEF22" s="51" t="n"/>
      <c r="AEG22" s="51" t="n"/>
      <c r="AEH22" s="51" t="n"/>
      <c r="AEI22" s="51" t="n"/>
      <c r="AEJ22" s="51" t="n"/>
      <c r="AEK22" s="51" t="n"/>
      <c r="AEL22" s="51" t="n"/>
      <c r="AEM22" s="51" t="n"/>
      <c r="AEN22" s="51" t="n"/>
      <c r="AEO22" s="51" t="n"/>
      <c r="AEP22" s="51" t="n"/>
      <c r="AEQ22" s="51" t="n"/>
      <c r="AER22" s="51" t="n"/>
      <c r="AES22" s="51" t="n"/>
      <c r="AET22" s="51" t="n"/>
      <c r="AEU22" s="51" t="n"/>
      <c r="AEV22" s="51" t="n"/>
      <c r="AEW22" s="51" t="n"/>
      <c r="AEX22" s="51" t="n"/>
      <c r="AEY22" s="51" t="n"/>
      <c r="AEZ22" s="51" t="n"/>
      <c r="AFA22" s="51" t="n"/>
      <c r="AFB22" s="51" t="n"/>
      <c r="AFC22" s="51" t="n"/>
      <c r="AFD22" s="51" t="n"/>
      <c r="AFE22" s="51" t="n"/>
      <c r="AFF22" s="51" t="n"/>
      <c r="AFG22" s="51" t="n"/>
      <c r="AFH22" s="51" t="n"/>
      <c r="AFI22" s="51" t="n"/>
      <c r="AFJ22" s="51" t="n"/>
      <c r="AFK22" s="51" t="n"/>
      <c r="AFL22" s="51" t="n"/>
      <c r="AFM22" s="51" t="n"/>
      <c r="AFN22" s="51" t="n"/>
      <c r="AFO22" s="51" t="n"/>
      <c r="AFP22" s="51" t="n"/>
      <c r="AFQ22" s="51" t="n"/>
      <c r="AFR22" s="51" t="n"/>
      <c r="AFS22" s="51" t="n"/>
      <c r="AFT22" s="51" t="n"/>
      <c r="AFU22" s="51" t="n"/>
      <c r="AFV22" s="51" t="n"/>
      <c r="AFW22" s="51" t="n"/>
      <c r="AFX22" s="51" t="n"/>
      <c r="AFY22" s="51" t="n"/>
      <c r="AFZ22" s="51" t="n"/>
      <c r="AGA22" s="51" t="n"/>
      <c r="AGB22" s="51" t="n"/>
      <c r="AGC22" s="51" t="n"/>
      <c r="AGD22" s="51" t="n"/>
      <c r="AGE22" s="51" t="n"/>
      <c r="AGF22" s="51" t="n"/>
      <c r="AGG22" s="51" t="n"/>
      <c r="AGH22" s="51" t="n"/>
      <c r="AGI22" s="51" t="n"/>
      <c r="AGJ22" s="51" t="n"/>
      <c r="AGK22" s="51" t="n"/>
      <c r="AGL22" s="51" t="n"/>
      <c r="AGM22" s="51" t="n"/>
      <c r="AGN22" s="51" t="n"/>
      <c r="AGO22" s="51" t="n"/>
      <c r="AGP22" s="51" t="n"/>
      <c r="AGQ22" s="51" t="n"/>
      <c r="AGR22" s="51" t="n"/>
      <c r="AGS22" s="51" t="n"/>
      <c r="AGT22" s="51" t="n"/>
      <c r="AGU22" s="51" t="n"/>
      <c r="AGV22" s="51" t="n"/>
      <c r="AGW22" s="51" t="n"/>
      <c r="AGX22" s="51" t="n"/>
      <c r="AGY22" s="51" t="n"/>
      <c r="AGZ22" s="51" t="n"/>
      <c r="AHA22" s="51" t="n"/>
      <c r="AHB22" s="51" t="n"/>
      <c r="AHC22" s="51" t="n"/>
      <c r="AHD22" s="51" t="n"/>
      <c r="AHE22" s="51" t="n"/>
      <c r="AHF22" s="51" t="n"/>
      <c r="AHG22" s="51" t="n"/>
      <c r="AHH22" s="51" t="n"/>
      <c r="AHI22" s="51" t="n"/>
      <c r="AHJ22" s="51" t="n"/>
      <c r="AHK22" s="51" t="n"/>
      <c r="AHL22" s="51" t="n"/>
      <c r="AHM22" s="51" t="n"/>
      <c r="AHN22" s="51" t="n"/>
      <c r="AHO22" s="51" t="n"/>
      <c r="AHP22" s="51" t="n"/>
      <c r="AHQ22" s="51" t="n"/>
      <c r="AHR22" s="51" t="n"/>
      <c r="AHS22" s="51" t="n"/>
      <c r="AHT22" s="51" t="n"/>
      <c r="AHU22" s="51" t="n"/>
      <c r="AHV22" s="51" t="n"/>
      <c r="AHW22" s="51" t="n"/>
      <c r="AHX22" s="51" t="n"/>
      <c r="AHY22" s="51" t="n"/>
      <c r="AHZ22" s="51" t="n"/>
      <c r="AIA22" s="51" t="n"/>
      <c r="AIB22" s="51" t="n"/>
      <c r="AIC22" s="51" t="n"/>
      <c r="AID22" s="51" t="n"/>
      <c r="AIE22" s="51" t="n"/>
      <c r="AIF22" s="51" t="n"/>
      <c r="AIG22" s="51" t="n"/>
      <c r="AIH22" s="51" t="n"/>
      <c r="AII22" s="51" t="n"/>
      <c r="AIJ22" s="51" t="n"/>
      <c r="AIK22" s="51" t="n"/>
      <c r="AIL22" s="51" t="n"/>
      <c r="AIM22" s="51" t="n"/>
      <c r="AIN22" s="51" t="n"/>
      <c r="AIO22" s="51" t="n"/>
      <c r="AIP22" s="51" t="n"/>
      <c r="AIQ22" s="51" t="n"/>
      <c r="AIR22" s="51" t="n"/>
      <c r="AIS22" s="51" t="n"/>
      <c r="AIT22" s="51" t="n"/>
      <c r="AIU22" s="51" t="n"/>
      <c r="AIV22" s="51" t="n"/>
      <c r="AIW22" s="51" t="n"/>
      <c r="AIX22" s="51" t="n"/>
      <c r="AIY22" s="51" t="n"/>
      <c r="AIZ22" s="51" t="n"/>
      <c r="AJA22" s="51" t="n"/>
      <c r="AJB22" s="51" t="n"/>
      <c r="AJC22" s="51" t="n"/>
      <c r="AJD22" s="51" t="n"/>
      <c r="AJE22" s="51" t="n"/>
      <c r="AJF22" s="51" t="n"/>
      <c r="AJG22" s="51" t="n"/>
      <c r="AJH22" s="51" t="n"/>
      <c r="AJI22" s="51" t="n"/>
      <c r="AJJ22" s="51" t="n"/>
      <c r="AJK22" s="51" t="n"/>
      <c r="AJL22" s="51" t="n"/>
      <c r="AJM22" s="51" t="n"/>
      <c r="AJN22" s="51" t="n"/>
      <c r="AJO22" s="51" t="n"/>
      <c r="AJP22" s="51" t="n"/>
      <c r="AJQ22" s="51" t="n"/>
      <c r="AJR22" s="51" t="n"/>
      <c r="AJS22" s="51" t="n"/>
      <c r="AJT22" s="51" t="n"/>
      <c r="AJU22" s="51" t="n"/>
      <c r="AJV22" s="51" t="n"/>
      <c r="AJW22" s="51" t="n"/>
      <c r="AJX22" s="51" t="n"/>
      <c r="AJY22" s="51" t="n"/>
      <c r="AJZ22" s="51" t="n"/>
      <c r="AKA22" s="51" t="n"/>
      <c r="AKB22" s="51" t="n"/>
      <c r="AKC22" s="51" t="n"/>
      <c r="AKD22" s="51" t="n"/>
      <c r="AKE22" s="51" t="n"/>
      <c r="AKF22" s="51" t="n"/>
      <c r="AKG22" s="51" t="n"/>
      <c r="AKH22" s="51" t="n"/>
      <c r="AKI22" s="51" t="n"/>
      <c r="AKJ22" s="51" t="n"/>
      <c r="AKK22" s="51" t="n"/>
      <c r="AKL22" s="51" t="n"/>
      <c r="AKM22" s="51" t="n"/>
      <c r="AKN22" s="51" t="n"/>
      <c r="AKO22" s="51" t="n"/>
      <c r="AKP22" s="51" t="n"/>
      <c r="AKQ22" s="51" t="n"/>
      <c r="AKR22" s="51" t="n"/>
      <c r="AKS22" s="51" t="n"/>
      <c r="AKT22" s="51" t="n"/>
      <c r="AKU22" s="51" t="n"/>
      <c r="AKV22" s="51" t="n"/>
      <c r="AKW22" s="51" t="n"/>
      <c r="AKX22" s="51" t="n"/>
      <c r="AKY22" s="51" t="n"/>
      <c r="AKZ22" s="51" t="n"/>
      <c r="ALA22" s="51" t="n"/>
      <c r="ALB22" s="51" t="n"/>
      <c r="ALC22" s="51" t="n"/>
      <c r="ALD22" s="51" t="n"/>
      <c r="ALE22" s="51" t="n"/>
      <c r="ALF22" s="51" t="n"/>
      <c r="ALG22" s="51" t="n"/>
      <c r="ALH22" s="51" t="n"/>
      <c r="ALI22" s="51" t="n"/>
      <c r="ALJ22" s="51" t="n"/>
      <c r="ALK22" s="51" t="n"/>
      <c r="ALL22" s="51" t="n"/>
      <c r="ALM22" s="51" t="n"/>
      <c r="ALN22" s="51" t="n"/>
      <c r="ALO22" s="51" t="n"/>
      <c r="ALP22" s="51" t="n"/>
      <c r="ALQ22" s="51" t="n"/>
      <c r="ALR22" s="51" t="n"/>
      <c r="ALS22" s="51" t="n"/>
      <c r="ALT22" s="51" t="n"/>
      <c r="ALU22" s="51" t="n"/>
      <c r="ALV22" s="51" t="n"/>
      <c r="ALW22" s="51" t="n"/>
      <c r="ALX22" s="51" t="n"/>
      <c r="ALY22" s="51" t="n"/>
      <c r="ALZ22" s="51" t="n"/>
      <c r="AMA22" s="51" t="n"/>
      <c r="AMB22" s="51" t="n"/>
      <c r="AMC22" s="51" t="n"/>
      <c r="AMD22" s="51" t="n"/>
      <c r="AME22" s="51" t="n"/>
      <c r="AMF22" s="51" t="n"/>
      <c r="AMG22" s="51" t="n"/>
      <c r="AMH22" s="51" t="n"/>
      <c r="AMI22" s="51" t="n"/>
      <c r="AMJ22" s="51" t="n"/>
      <c r="AMK22" s="51" t="n"/>
      <c r="AML22" s="51" t="n"/>
      <c r="AMM22" s="51" t="n"/>
      <c r="AMN22" s="51" t="n"/>
      <c r="AMO22" s="51" t="n"/>
      <c r="AMP22" s="51" t="n"/>
      <c r="AMQ22" s="51" t="n"/>
      <c r="AMR22" s="51" t="n"/>
      <c r="AMS22" s="51" t="n"/>
      <c r="AMT22" s="51" t="n"/>
      <c r="AMU22" s="51" t="n"/>
      <c r="AMV22" s="51" t="n"/>
      <c r="AMW22" s="51" t="n"/>
      <c r="AMX22" s="51" t="n"/>
      <c r="AMY22" s="51" t="n"/>
      <c r="AMZ22" s="51" t="n"/>
      <c r="ANA22" s="51" t="n"/>
      <c r="ANB22" s="51" t="n"/>
      <c r="ANC22" s="51" t="n"/>
      <c r="AND22" s="51" t="n"/>
      <c r="ANE22" s="51" t="n"/>
      <c r="ANF22" s="51" t="n"/>
      <c r="ANG22" s="51" t="n"/>
      <c r="ANH22" s="51" t="n"/>
      <c r="ANI22" s="51" t="n"/>
      <c r="ANJ22" s="51" t="n"/>
      <c r="ANK22" s="51" t="n"/>
      <c r="ANL22" s="51" t="n"/>
      <c r="ANM22" s="51" t="n"/>
      <c r="ANN22" s="51" t="n"/>
      <c r="ANO22" s="51" t="n"/>
      <c r="ANP22" s="51" t="n"/>
      <c r="ANQ22" s="51" t="n"/>
      <c r="ANR22" s="51" t="n"/>
      <c r="ANS22" s="51" t="n"/>
      <c r="ANT22" s="51" t="n"/>
      <c r="ANU22" s="51" t="n"/>
      <c r="ANV22" s="51" t="n"/>
      <c r="ANW22" s="51" t="n"/>
      <c r="ANX22" s="51" t="n"/>
      <c r="ANY22" s="51" t="n"/>
      <c r="ANZ22" s="51" t="n"/>
      <c r="AOA22" s="51" t="n"/>
      <c r="AOB22" s="51" t="n"/>
      <c r="AOC22" s="51" t="n"/>
      <c r="AOD22" s="51" t="n"/>
      <c r="AOE22" s="51" t="n"/>
      <c r="AOF22" s="51" t="n"/>
      <c r="AOG22" s="51" t="n"/>
      <c r="AOH22" s="51" t="n"/>
      <c r="AOI22" s="51" t="n"/>
      <c r="AOJ22" s="51" t="n"/>
      <c r="AOK22" s="51" t="n"/>
      <c r="AOL22" s="51" t="n"/>
      <c r="AOM22" s="51" t="n"/>
      <c r="AON22" s="51" t="n"/>
      <c r="AOO22" s="51" t="n"/>
      <c r="AOP22" s="51" t="n"/>
      <c r="AOQ22" s="51" t="n"/>
      <c r="AOR22" s="51" t="n"/>
      <c r="AOS22" s="51" t="n"/>
      <c r="AOT22" s="51" t="n"/>
      <c r="AOU22" s="51" t="n"/>
      <c r="AOV22" s="51" t="n"/>
      <c r="AOW22" s="51" t="n"/>
      <c r="AOX22" s="51" t="n"/>
      <c r="AOY22" s="51" t="n"/>
      <c r="AOZ22" s="51" t="n"/>
      <c r="APA22" s="51" t="n"/>
      <c r="APB22" s="51" t="n"/>
      <c r="APC22" s="51" t="n"/>
      <c r="APD22" s="51" t="n"/>
      <c r="APE22" s="51" t="n"/>
      <c r="APF22" s="51" t="n"/>
      <c r="APG22" s="51" t="n"/>
      <c r="APH22" s="51" t="n"/>
      <c r="API22" s="51" t="n"/>
      <c r="APJ22" s="51" t="n"/>
      <c r="APK22" s="51" t="n"/>
      <c r="APL22" s="51" t="n"/>
      <c r="APM22" s="51" t="n"/>
      <c r="APN22" s="51" t="n"/>
      <c r="APO22" s="51" t="n"/>
      <c r="APP22" s="51" t="n"/>
      <c r="APQ22" s="51" t="n"/>
      <c r="APR22" s="51" t="n"/>
      <c r="APS22" s="51" t="n"/>
      <c r="APT22" s="51" t="n"/>
      <c r="APU22" s="51" t="n"/>
      <c r="APV22" s="51" t="n"/>
      <c r="APW22" s="51" t="n"/>
      <c r="APX22" s="51" t="n"/>
      <c r="APY22" s="51" t="n"/>
      <c r="APZ22" s="51" t="n"/>
      <c r="AQA22" s="51" t="n"/>
      <c r="AQB22" s="51" t="n"/>
      <c r="AQC22" s="51" t="n"/>
      <c r="AQD22" s="51" t="n"/>
      <c r="AQE22" s="51" t="n"/>
      <c r="AQF22" s="51" t="n"/>
      <c r="AQG22" s="51" t="n"/>
      <c r="AQH22" s="51" t="n"/>
      <c r="AQI22" s="51" t="n"/>
      <c r="AQJ22" s="51" t="n"/>
      <c r="AQK22" s="51" t="n"/>
      <c r="AQL22" s="51" t="n"/>
      <c r="AQM22" s="51" t="n"/>
      <c r="AQN22" s="51" t="n"/>
      <c r="AQO22" s="51" t="n"/>
      <c r="AQP22" s="51" t="n"/>
      <c r="AQQ22" s="51" t="n"/>
      <c r="AQR22" s="51" t="n"/>
      <c r="AQS22" s="51" t="n"/>
      <c r="AQT22" s="51" t="n"/>
      <c r="AQU22" s="51" t="n"/>
      <c r="AQV22" s="51" t="n"/>
      <c r="AQW22" s="51" t="n"/>
      <c r="AQX22" s="51" t="n"/>
      <c r="AQY22" s="51" t="n"/>
      <c r="AQZ22" s="51" t="n"/>
      <c r="ARA22" s="51" t="n"/>
      <c r="ARB22" s="51" t="n"/>
      <c r="ARC22" s="51" t="n"/>
      <c r="ARD22" s="51" t="n"/>
      <c r="ARE22" s="51" t="n"/>
      <c r="ARF22" s="51" t="n"/>
      <c r="ARG22" s="51" t="n"/>
      <c r="ARH22" s="51" t="n"/>
      <c r="ARI22" s="51" t="n"/>
      <c r="ARJ22" s="51" t="n"/>
      <c r="ARK22" s="51" t="n"/>
      <c r="ARL22" s="51" t="n"/>
      <c r="ARM22" s="51" t="n"/>
      <c r="ARN22" s="51" t="n"/>
      <c r="ARO22" s="51" t="n"/>
      <c r="ARP22" s="51" t="n"/>
      <c r="ARQ22" s="51" t="n"/>
      <c r="ARR22" s="51" t="n"/>
      <c r="ARS22" s="51" t="n"/>
      <c r="ART22" s="51" t="n"/>
      <c r="ARU22" s="51" t="n"/>
      <c r="ARV22" s="51" t="n"/>
      <c r="ARW22" s="51" t="n"/>
      <c r="ARX22" s="51" t="n"/>
      <c r="ARY22" s="51" t="n"/>
      <c r="ARZ22" s="51" t="n"/>
      <c r="ASA22" s="51" t="n"/>
      <c r="ASB22" s="51" t="n"/>
      <c r="ASC22" s="51" t="n"/>
      <c r="ASD22" s="51" t="n"/>
      <c r="ASE22" s="51" t="n"/>
      <c r="ASF22" s="51" t="n"/>
      <c r="ASG22" s="51" t="n"/>
      <c r="ASH22" s="51" t="n"/>
      <c r="ASI22" s="51" t="n"/>
      <c r="ASJ22" s="51" t="n"/>
      <c r="ASK22" s="51" t="n"/>
      <c r="ASL22" s="51" t="n"/>
      <c r="ASM22" s="51" t="n"/>
      <c r="ASN22" s="51" t="n"/>
      <c r="ASO22" s="51" t="n"/>
      <c r="ASP22" s="51" t="n"/>
      <c r="ASQ22" s="51" t="n"/>
      <c r="ASR22" s="51" t="n"/>
      <c r="ASS22" s="51" t="n"/>
      <c r="AST22" s="51" t="n"/>
      <c r="ASU22" s="51" t="n"/>
      <c r="ASV22" s="51" t="n"/>
      <c r="ASW22" s="51" t="n"/>
      <c r="ASX22" s="51" t="n"/>
      <c r="ASY22" s="51" t="n"/>
      <c r="ASZ22" s="51" t="n"/>
      <c r="ATA22" s="51" t="n"/>
      <c r="ATB22" s="51" t="n"/>
      <c r="ATC22" s="51" t="n"/>
      <c r="ATD22" s="51" t="n"/>
      <c r="ATE22" s="51" t="n"/>
      <c r="ATF22" s="51" t="n"/>
      <c r="ATG22" s="51" t="n"/>
      <c r="ATH22" s="51" t="n"/>
      <c r="ATI22" s="51" t="n"/>
      <c r="ATJ22" s="51" t="n"/>
      <c r="ATK22" s="51" t="n"/>
      <c r="ATL22" s="51" t="n"/>
      <c r="ATM22" s="51" t="n"/>
      <c r="ATN22" s="51" t="n"/>
      <c r="ATO22" s="51" t="n"/>
      <c r="ATP22" s="51" t="n"/>
      <c r="ATQ22" s="51" t="n"/>
      <c r="ATR22" s="51" t="n"/>
      <c r="ATS22" s="51" t="n"/>
      <c r="ATT22" s="51" t="n"/>
      <c r="ATU22" s="51" t="n"/>
      <c r="ATV22" s="51" t="n"/>
      <c r="ATW22" s="51" t="n"/>
      <c r="ATX22" s="51" t="n"/>
      <c r="ATY22" s="51" t="n"/>
      <c r="ATZ22" s="51" t="n"/>
      <c r="AUA22" s="51" t="n"/>
      <c r="AUB22" s="51" t="n"/>
      <c r="AUC22" s="51" t="n"/>
      <c r="AUD22" s="51" t="n"/>
      <c r="AUE22" s="51" t="n"/>
      <c r="AUF22" s="51" t="n"/>
      <c r="AUG22" s="51" t="n"/>
      <c r="AUH22" s="51" t="n"/>
      <c r="AUI22" s="51" t="n"/>
      <c r="AUJ22" s="51" t="n"/>
      <c r="AUK22" s="51" t="n"/>
      <c r="AUL22" s="51" t="n"/>
      <c r="AUM22" s="51" t="n"/>
      <c r="AUN22" s="51" t="n"/>
      <c r="AUO22" s="51" t="n"/>
      <c r="AUP22" s="51" t="n"/>
      <c r="AUQ22" s="51" t="n"/>
      <c r="AUR22" s="51" t="n"/>
      <c r="AUS22" s="51" t="n"/>
      <c r="AUT22" s="51" t="n"/>
      <c r="AUU22" s="51" t="n"/>
      <c r="AUV22" s="51" t="n"/>
      <c r="AUW22" s="51" t="n"/>
      <c r="AUX22" s="51" t="n"/>
      <c r="AUY22" s="51" t="n"/>
      <c r="AUZ22" s="51" t="n"/>
      <c r="AVA22" s="51" t="n"/>
      <c r="AVB22" s="51" t="n"/>
      <c r="AVC22" s="51" t="n"/>
      <c r="AVD22" s="51" t="n"/>
      <c r="AVE22" s="51" t="n"/>
      <c r="AVF22" s="51" t="n"/>
      <c r="AVG22" s="51" t="n"/>
      <c r="AVH22" s="51" t="n"/>
      <c r="AVI22" s="51" t="n"/>
      <c r="AVJ22" s="51" t="n"/>
      <c r="AVK22" s="51" t="n"/>
      <c r="AVL22" s="51" t="n"/>
      <c r="AVM22" s="51" t="n"/>
      <c r="AVN22" s="51" t="n"/>
      <c r="AVO22" s="51" t="n"/>
      <c r="AVP22" s="51" t="n"/>
      <c r="AVQ22" s="51" t="n"/>
      <c r="AVR22" s="51" t="n"/>
      <c r="AVS22" s="51" t="n"/>
      <c r="AVT22" s="51" t="n"/>
      <c r="AVU22" s="51" t="n"/>
      <c r="AVV22" s="51" t="n"/>
      <c r="AVW22" s="51" t="n"/>
      <c r="AVX22" s="51" t="n"/>
      <c r="AVY22" s="51" t="n"/>
      <c r="AVZ22" s="51" t="n"/>
      <c r="AWA22" s="51" t="n"/>
      <c r="AWB22" s="51" t="n"/>
      <c r="AWC22" s="51" t="n"/>
      <c r="AWD22" s="51" t="n"/>
      <c r="AWE22" s="51" t="n"/>
      <c r="AWF22" s="51" t="n"/>
      <c r="AWG22" s="51" t="n"/>
      <c r="AWH22" s="51" t="n"/>
      <c r="AWI22" s="51" t="n"/>
      <c r="AWJ22" s="51" t="n"/>
      <c r="AWK22" s="51" t="n"/>
      <c r="AWL22" s="51" t="n"/>
      <c r="AWM22" s="51" t="n"/>
      <c r="AWN22" s="51" t="n"/>
      <c r="AWO22" s="51" t="n"/>
      <c r="AWP22" s="51" t="n"/>
      <c r="AWQ22" s="51" t="n"/>
      <c r="AWR22" s="51" t="n"/>
      <c r="AWS22" s="51" t="n"/>
      <c r="AWT22" s="51" t="n"/>
      <c r="AWU22" s="51" t="n"/>
      <c r="AWV22" s="51" t="n"/>
      <c r="AWW22" s="51" t="n"/>
      <c r="AWX22" s="51" t="n"/>
      <c r="AWY22" s="51" t="n"/>
      <c r="AWZ22" s="51" t="n"/>
      <c r="AXA22" s="51" t="n"/>
      <c r="AXB22" s="51" t="n"/>
      <c r="AXC22" s="51" t="n"/>
      <c r="AXD22" s="51" t="n"/>
      <c r="AXE22" s="51" t="n"/>
      <c r="AXF22" s="51" t="n"/>
      <c r="AXG22" s="51" t="n"/>
      <c r="AXH22" s="51" t="n"/>
      <c r="AXI22" s="51" t="n"/>
      <c r="AXJ22" s="51" t="n"/>
      <c r="AXK22" s="51" t="n"/>
      <c r="AXL22" s="51" t="n"/>
      <c r="AXM22" s="51" t="n"/>
      <c r="AXN22" s="51" t="n"/>
      <c r="AXO22" s="51" t="n"/>
      <c r="AXP22" s="51" t="n"/>
      <c r="AXQ22" s="51" t="n"/>
      <c r="AXR22" s="51" t="n"/>
      <c r="AXS22" s="51" t="n"/>
      <c r="AXT22" s="51" t="n"/>
      <c r="AXU22" s="51" t="n"/>
      <c r="AXV22" s="51" t="n"/>
      <c r="AXW22" s="51" t="n"/>
      <c r="AXX22" s="51" t="n"/>
      <c r="AXY22" s="51" t="n"/>
      <c r="AXZ22" s="51" t="n"/>
      <c r="AYA22" s="51" t="n"/>
      <c r="AYB22" s="51" t="n"/>
      <c r="AYC22" s="51" t="n"/>
      <c r="AYD22" s="51" t="n"/>
      <c r="AYE22" s="51" t="n"/>
      <c r="AYF22" s="51" t="n"/>
      <c r="AYG22" s="51" t="n"/>
      <c r="AYH22" s="51" t="n"/>
      <c r="AYI22" s="51" t="n"/>
      <c r="AYJ22" s="51" t="n"/>
      <c r="AYK22" s="51" t="n"/>
      <c r="AYL22" s="51" t="n"/>
      <c r="AYM22" s="51" t="n"/>
      <c r="AYN22" s="51" t="n"/>
      <c r="AYO22" s="51" t="n"/>
      <c r="AYP22" s="51" t="n"/>
      <c r="AYQ22" s="51" t="n"/>
      <c r="AYR22" s="51" t="n"/>
      <c r="AYS22" s="51" t="n"/>
      <c r="AYT22" s="51" t="n"/>
      <c r="AYU22" s="51" t="n"/>
      <c r="AYV22" s="51" t="n"/>
      <c r="AYW22" s="51" t="n"/>
      <c r="AYX22" s="51" t="n"/>
      <c r="AYY22" s="51" t="n"/>
      <c r="AYZ22" s="51" t="n"/>
      <c r="AZA22" s="51" t="n"/>
      <c r="AZB22" s="51" t="n"/>
      <c r="AZC22" s="51" t="n"/>
      <c r="AZD22" s="51" t="n"/>
      <c r="AZE22" s="51" t="n"/>
      <c r="AZF22" s="51" t="n"/>
      <c r="AZG22" s="51" t="n"/>
      <c r="AZH22" s="51" t="n"/>
      <c r="AZI22" s="51" t="n"/>
      <c r="AZJ22" s="51" t="n"/>
      <c r="AZK22" s="51" t="n"/>
      <c r="AZL22" s="51" t="n"/>
      <c r="AZM22" s="51" t="n"/>
      <c r="AZN22" s="51" t="n"/>
      <c r="AZO22" s="51" t="n"/>
      <c r="AZP22" s="51" t="n"/>
      <c r="AZQ22" s="51" t="n"/>
      <c r="AZR22" s="51" t="n"/>
      <c r="AZS22" s="51" t="n"/>
      <c r="AZT22" s="51" t="n"/>
      <c r="AZU22" s="51" t="n"/>
      <c r="AZV22" s="51" t="n"/>
      <c r="AZW22" s="51" t="n"/>
      <c r="AZX22" s="51" t="n"/>
      <c r="AZY22" s="51" t="n"/>
      <c r="AZZ22" s="51" t="n"/>
      <c r="BAA22" s="51" t="n"/>
      <c r="BAB22" s="51" t="n"/>
      <c r="BAC22" s="51" t="n"/>
      <c r="BAD22" s="51" t="n"/>
      <c r="BAE22" s="51" t="n"/>
      <c r="BAF22" s="51" t="n"/>
      <c r="BAG22" s="51" t="n"/>
      <c r="BAH22" s="51" t="n"/>
      <c r="BAI22" s="51" t="n"/>
      <c r="BAJ22" s="51" t="n"/>
      <c r="BAK22" s="51" t="n"/>
      <c r="BAL22" s="51" t="n"/>
      <c r="BAM22" s="51" t="n"/>
      <c r="BAN22" s="51" t="n"/>
      <c r="BAO22" s="51" t="n"/>
      <c r="BAP22" s="51" t="n"/>
      <c r="BAQ22" s="51" t="n"/>
      <c r="BAR22" s="51" t="n"/>
      <c r="BAS22" s="51" t="n"/>
      <c r="BAT22" s="51" t="n"/>
      <c r="BAU22" s="51" t="n"/>
      <c r="BAV22" s="51" t="n"/>
      <c r="BAW22" s="51" t="n"/>
      <c r="BAX22" s="51" t="n"/>
      <c r="BAY22" s="51" t="n"/>
      <c r="BAZ22" s="51" t="n"/>
      <c r="BBA22" s="51" t="n"/>
      <c r="BBB22" s="51" t="n"/>
      <c r="BBC22" s="51" t="n"/>
      <c r="BBD22" s="51" t="n"/>
      <c r="BBE22" s="51" t="n"/>
      <c r="BBF22" s="51" t="n"/>
      <c r="BBG22" s="51" t="n"/>
      <c r="BBH22" s="51" t="n"/>
      <c r="BBI22" s="51" t="n"/>
      <c r="BBJ22" s="51" t="n"/>
      <c r="BBK22" s="51" t="n"/>
      <c r="BBL22" s="51" t="n"/>
      <c r="BBM22" s="51" t="n"/>
      <c r="BBN22" s="51" t="n"/>
      <c r="BBO22" s="51" t="n"/>
      <c r="BBP22" s="51" t="n"/>
    </row>
    <row r="23" ht="13.5" customFormat="1" customHeight="1" s="32">
      <c r="A23" s="22">
        <f>A22+1</f>
        <v/>
      </c>
      <c r="B23" s="122" t="inlineStr">
        <is>
          <t>Baut Dipan</t>
        </is>
      </c>
      <c r="C23" s="123" t="inlineStr">
        <is>
          <t>PCS</t>
        </is>
      </c>
      <c r="D23" s="26">
        <f>'[1]Week  (4)'!U23</f>
        <v/>
      </c>
      <c r="E23" s="124" t="n"/>
      <c r="F23" s="62" t="n"/>
      <c r="G23" s="25" t="n"/>
      <c r="H23" s="56" t="n"/>
      <c r="I23" s="19" t="n"/>
      <c r="J23" s="64" t="n"/>
      <c r="K23" s="25" t="n"/>
      <c r="L23" s="56" t="n"/>
      <c r="M23" s="73" t="n"/>
      <c r="N23" s="73" t="n"/>
      <c r="O23" s="19" t="n"/>
      <c r="P23" s="18" t="n"/>
      <c r="Q23" s="18" t="n"/>
      <c r="R23" s="73" t="n"/>
      <c r="S23" s="18" t="n"/>
      <c r="T23" s="18" t="n"/>
      <c r="U23" s="26">
        <f>D23+F23+-(H23+J23+L23+N23+P23+R23+T23)</f>
        <v/>
      </c>
      <c r="V23" s="51" t="inlineStr">
        <is>
          <t>CIVIL</t>
        </is>
      </c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  <c r="FX23" s="51" t="n"/>
      <c r="FY23" s="51" t="n"/>
      <c r="FZ23" s="51" t="n"/>
      <c r="GA23" s="51" t="n"/>
      <c r="GB23" s="51" t="n"/>
      <c r="GC23" s="51" t="n"/>
      <c r="GD23" s="51" t="n"/>
      <c r="GE23" s="51" t="n"/>
      <c r="GF23" s="51" t="n"/>
      <c r="GG23" s="51" t="n"/>
      <c r="GH23" s="51" t="n"/>
      <c r="GI23" s="51" t="n"/>
      <c r="GJ23" s="51" t="n"/>
      <c r="GK23" s="51" t="n"/>
      <c r="GL23" s="51" t="n"/>
      <c r="GM23" s="51" t="n"/>
      <c r="GN23" s="51" t="n"/>
      <c r="GO23" s="51" t="n"/>
      <c r="GP23" s="51" t="n"/>
      <c r="GQ23" s="51" t="n"/>
      <c r="GR23" s="51" t="n"/>
      <c r="GS23" s="51" t="n"/>
      <c r="GT23" s="51" t="n"/>
      <c r="GU23" s="51" t="n"/>
      <c r="GV23" s="51" t="n"/>
      <c r="GW23" s="51" t="n"/>
      <c r="GX23" s="51" t="n"/>
      <c r="GY23" s="51" t="n"/>
      <c r="GZ23" s="51" t="n"/>
      <c r="HA23" s="51" t="n"/>
      <c r="HB23" s="51" t="n"/>
      <c r="HC23" s="51" t="n"/>
      <c r="HD23" s="51" t="n"/>
      <c r="HE23" s="51" t="n"/>
      <c r="HF23" s="51" t="n"/>
      <c r="HG23" s="51" t="n"/>
      <c r="HH23" s="51" t="n"/>
      <c r="HI23" s="51" t="n"/>
      <c r="HJ23" s="51" t="n"/>
      <c r="HK23" s="51" t="n"/>
      <c r="HL23" s="51" t="n"/>
      <c r="HM23" s="51" t="n"/>
      <c r="HN23" s="51" t="n"/>
      <c r="HO23" s="51" t="n"/>
      <c r="HP23" s="51" t="n"/>
      <c r="HQ23" s="51" t="n"/>
      <c r="HR23" s="51" t="n"/>
      <c r="HS23" s="51" t="n"/>
      <c r="HT23" s="51" t="n"/>
      <c r="HU23" s="51" t="n"/>
      <c r="HV23" s="51" t="n"/>
      <c r="HW23" s="51" t="n"/>
      <c r="HX23" s="51" t="n"/>
      <c r="HY23" s="51" t="n"/>
      <c r="HZ23" s="51" t="n"/>
      <c r="IA23" s="51" t="n"/>
      <c r="IB23" s="51" t="n"/>
      <c r="IC23" s="51" t="n"/>
      <c r="ID23" s="51" t="n"/>
      <c r="IE23" s="51" t="n"/>
      <c r="IF23" s="51" t="n"/>
      <c r="IG23" s="51" t="n"/>
      <c r="IH23" s="51" t="n"/>
      <c r="II23" s="51" t="n"/>
      <c r="IJ23" s="51" t="n"/>
      <c r="IK23" s="51" t="n"/>
      <c r="IL23" s="51" t="n"/>
      <c r="IM23" s="51" t="n"/>
      <c r="IN23" s="51" t="n"/>
      <c r="IO23" s="51" t="n"/>
      <c r="IP23" s="51" t="n"/>
      <c r="IQ23" s="51" t="n"/>
      <c r="IR23" s="51" t="n"/>
      <c r="IS23" s="51" t="n"/>
      <c r="IT23" s="51" t="n"/>
      <c r="IU23" s="51" t="n"/>
      <c r="IV23" s="51" t="n"/>
      <c r="IW23" s="51" t="n"/>
      <c r="IX23" s="51" t="n"/>
      <c r="IY23" s="51" t="n"/>
      <c r="IZ23" s="51" t="n"/>
      <c r="JA23" s="51" t="n"/>
      <c r="JB23" s="51" t="n"/>
      <c r="JC23" s="51" t="n"/>
      <c r="JD23" s="51" t="n"/>
      <c r="JE23" s="51" t="n"/>
      <c r="JF23" s="51" t="n"/>
      <c r="JG23" s="51" t="n"/>
      <c r="JH23" s="51" t="n"/>
      <c r="JI23" s="51" t="n"/>
      <c r="JJ23" s="51" t="n"/>
      <c r="JK23" s="51" t="n"/>
      <c r="JL23" s="51" t="n"/>
      <c r="JM23" s="51" t="n"/>
      <c r="JN23" s="51" t="n"/>
      <c r="JO23" s="51" t="n"/>
      <c r="JP23" s="51" t="n"/>
      <c r="JQ23" s="51" t="n"/>
      <c r="JR23" s="51" t="n"/>
      <c r="JS23" s="51" t="n"/>
      <c r="JT23" s="51" t="n"/>
      <c r="JU23" s="51" t="n"/>
      <c r="JV23" s="51" t="n"/>
      <c r="JW23" s="51" t="n"/>
      <c r="JX23" s="51" t="n"/>
      <c r="JY23" s="51" t="n"/>
      <c r="JZ23" s="51" t="n"/>
      <c r="KA23" s="51" t="n"/>
      <c r="KB23" s="51" t="n"/>
      <c r="KC23" s="51" t="n"/>
      <c r="KD23" s="51" t="n"/>
      <c r="KE23" s="51" t="n"/>
      <c r="KF23" s="51" t="n"/>
      <c r="KG23" s="51" t="n"/>
      <c r="KH23" s="51" t="n"/>
      <c r="KI23" s="51" t="n"/>
      <c r="KJ23" s="51" t="n"/>
      <c r="KK23" s="51" t="n"/>
      <c r="KL23" s="51" t="n"/>
      <c r="KM23" s="51" t="n"/>
      <c r="KN23" s="51" t="n"/>
      <c r="KO23" s="51" t="n"/>
      <c r="KP23" s="51" t="n"/>
      <c r="KQ23" s="51" t="n"/>
      <c r="KR23" s="51" t="n"/>
      <c r="KS23" s="51" t="n"/>
      <c r="KT23" s="51" t="n"/>
      <c r="KU23" s="51" t="n"/>
      <c r="KV23" s="51" t="n"/>
      <c r="KW23" s="51" t="n"/>
      <c r="KX23" s="51" t="n"/>
      <c r="KY23" s="51" t="n"/>
      <c r="KZ23" s="51" t="n"/>
      <c r="LA23" s="51" t="n"/>
      <c r="LB23" s="51" t="n"/>
      <c r="LC23" s="51" t="n"/>
      <c r="LD23" s="51" t="n"/>
      <c r="LE23" s="51" t="n"/>
      <c r="LF23" s="51" t="n"/>
      <c r="LG23" s="51" t="n"/>
      <c r="LH23" s="51" t="n"/>
      <c r="LI23" s="51" t="n"/>
      <c r="LJ23" s="51" t="n"/>
      <c r="LK23" s="51" t="n"/>
      <c r="LL23" s="51" t="n"/>
      <c r="LM23" s="51" t="n"/>
      <c r="LN23" s="51" t="n"/>
      <c r="LO23" s="51" t="n"/>
      <c r="LP23" s="51" t="n"/>
      <c r="LQ23" s="51" t="n"/>
      <c r="LR23" s="51" t="n"/>
      <c r="LS23" s="51" t="n"/>
      <c r="LT23" s="51" t="n"/>
      <c r="LU23" s="51" t="n"/>
      <c r="LV23" s="51" t="n"/>
      <c r="LW23" s="51" t="n"/>
      <c r="LX23" s="51" t="n"/>
      <c r="LY23" s="51" t="n"/>
      <c r="LZ23" s="51" t="n"/>
      <c r="MA23" s="51" t="n"/>
      <c r="MB23" s="51" t="n"/>
      <c r="MC23" s="51" t="n"/>
      <c r="MD23" s="51" t="n"/>
      <c r="ME23" s="51" t="n"/>
      <c r="MF23" s="51" t="n"/>
      <c r="MG23" s="51" t="n"/>
      <c r="MH23" s="51" t="n"/>
      <c r="MI23" s="51" t="n"/>
      <c r="MJ23" s="51" t="n"/>
      <c r="MK23" s="51" t="n"/>
      <c r="ML23" s="51" t="n"/>
      <c r="MM23" s="51" t="n"/>
      <c r="MN23" s="51" t="n"/>
      <c r="MO23" s="51" t="n"/>
      <c r="MP23" s="51" t="n"/>
      <c r="MQ23" s="51" t="n"/>
      <c r="MR23" s="51" t="n"/>
      <c r="MS23" s="51" t="n"/>
      <c r="MT23" s="51" t="n"/>
      <c r="MU23" s="51" t="n"/>
      <c r="MV23" s="51" t="n"/>
      <c r="MW23" s="51" t="n"/>
      <c r="MX23" s="51" t="n"/>
      <c r="MY23" s="51" t="n"/>
      <c r="MZ23" s="51" t="n"/>
      <c r="NA23" s="51" t="n"/>
      <c r="NB23" s="51" t="n"/>
      <c r="NC23" s="51" t="n"/>
      <c r="ND23" s="51" t="n"/>
      <c r="NE23" s="51" t="n"/>
      <c r="NF23" s="51" t="n"/>
      <c r="NG23" s="51" t="n"/>
      <c r="NH23" s="51" t="n"/>
      <c r="NI23" s="51" t="n"/>
      <c r="NJ23" s="51" t="n"/>
      <c r="NK23" s="51" t="n"/>
      <c r="NL23" s="51" t="n"/>
      <c r="NM23" s="51" t="n"/>
      <c r="NN23" s="51" t="n"/>
      <c r="NO23" s="51" t="n"/>
      <c r="NP23" s="51" t="n"/>
      <c r="NQ23" s="51" t="n"/>
      <c r="NR23" s="51" t="n"/>
      <c r="NS23" s="51" t="n"/>
      <c r="NT23" s="51" t="n"/>
      <c r="NU23" s="51" t="n"/>
      <c r="NV23" s="51" t="n"/>
      <c r="NW23" s="51" t="n"/>
      <c r="NX23" s="51" t="n"/>
      <c r="NY23" s="51" t="n"/>
      <c r="NZ23" s="51" t="n"/>
      <c r="OA23" s="51" t="n"/>
      <c r="OB23" s="51" t="n"/>
      <c r="OC23" s="51" t="n"/>
      <c r="OD23" s="51" t="n"/>
      <c r="OE23" s="51" t="n"/>
      <c r="OF23" s="51" t="n"/>
      <c r="OG23" s="51" t="n"/>
      <c r="OH23" s="51" t="n"/>
      <c r="OI23" s="51" t="n"/>
      <c r="OJ23" s="51" t="n"/>
      <c r="OK23" s="51" t="n"/>
      <c r="OL23" s="51" t="n"/>
      <c r="OM23" s="51" t="n"/>
      <c r="ON23" s="51" t="n"/>
      <c r="OO23" s="51" t="n"/>
      <c r="OP23" s="51" t="n"/>
      <c r="OQ23" s="51" t="n"/>
      <c r="OR23" s="51" t="n"/>
      <c r="OS23" s="51" t="n"/>
      <c r="OT23" s="51" t="n"/>
      <c r="OU23" s="51" t="n"/>
      <c r="OV23" s="51" t="n"/>
      <c r="OW23" s="51" t="n"/>
      <c r="OX23" s="51" t="n"/>
      <c r="OY23" s="51" t="n"/>
      <c r="OZ23" s="51" t="n"/>
      <c r="PA23" s="51" t="n"/>
      <c r="PB23" s="51" t="n"/>
      <c r="PC23" s="51" t="n"/>
      <c r="PD23" s="51" t="n"/>
      <c r="PE23" s="51" t="n"/>
      <c r="PF23" s="51" t="n"/>
      <c r="PG23" s="51" t="n"/>
      <c r="PH23" s="51" t="n"/>
      <c r="PI23" s="51" t="n"/>
      <c r="PJ23" s="51" t="n"/>
      <c r="PK23" s="51" t="n"/>
      <c r="PL23" s="51" t="n"/>
      <c r="PM23" s="51" t="n"/>
      <c r="PN23" s="51" t="n"/>
      <c r="PO23" s="51" t="n"/>
      <c r="PP23" s="51" t="n"/>
      <c r="PQ23" s="51" t="n"/>
      <c r="PR23" s="51" t="n"/>
      <c r="PS23" s="51" t="n"/>
      <c r="PT23" s="51" t="n"/>
      <c r="PU23" s="51" t="n"/>
      <c r="PV23" s="51" t="n"/>
      <c r="PW23" s="51" t="n"/>
      <c r="PX23" s="51" t="n"/>
      <c r="PY23" s="51" t="n"/>
      <c r="PZ23" s="51" t="n"/>
      <c r="QA23" s="51" t="n"/>
      <c r="QB23" s="51" t="n"/>
      <c r="QC23" s="51" t="n"/>
      <c r="QD23" s="51" t="n"/>
      <c r="QE23" s="51" t="n"/>
      <c r="QF23" s="51" t="n"/>
      <c r="QG23" s="51" t="n"/>
      <c r="QH23" s="51" t="n"/>
      <c r="QI23" s="51" t="n"/>
      <c r="QJ23" s="51" t="n"/>
      <c r="QK23" s="51" t="n"/>
      <c r="QL23" s="51" t="n"/>
      <c r="QM23" s="51" t="n"/>
      <c r="QN23" s="51" t="n"/>
      <c r="QO23" s="51" t="n"/>
      <c r="QP23" s="51" t="n"/>
      <c r="QQ23" s="51" t="n"/>
      <c r="QR23" s="51" t="n"/>
      <c r="QS23" s="51" t="n"/>
      <c r="QT23" s="51" t="n"/>
      <c r="QU23" s="51" t="n"/>
      <c r="QV23" s="51" t="n"/>
      <c r="QW23" s="51" t="n"/>
      <c r="QX23" s="51" t="n"/>
      <c r="QY23" s="51" t="n"/>
      <c r="QZ23" s="51" t="n"/>
      <c r="RA23" s="51" t="n"/>
      <c r="RB23" s="51" t="n"/>
      <c r="RC23" s="51" t="n"/>
      <c r="RD23" s="51" t="n"/>
      <c r="RE23" s="51" t="n"/>
      <c r="RF23" s="51" t="n"/>
      <c r="RG23" s="51" t="n"/>
      <c r="RH23" s="51" t="n"/>
      <c r="RI23" s="51" t="n"/>
      <c r="RJ23" s="51" t="n"/>
      <c r="RK23" s="51" t="n"/>
      <c r="RL23" s="51" t="n"/>
      <c r="RM23" s="51" t="n"/>
      <c r="RN23" s="51" t="n"/>
      <c r="RO23" s="51" t="n"/>
      <c r="RP23" s="51" t="n"/>
      <c r="RQ23" s="51" t="n"/>
      <c r="RR23" s="51" t="n"/>
      <c r="RS23" s="51" t="n"/>
      <c r="RT23" s="51" t="n"/>
      <c r="RU23" s="51" t="n"/>
      <c r="RV23" s="51" t="n"/>
      <c r="RW23" s="51" t="n"/>
      <c r="RX23" s="51" t="n"/>
      <c r="RY23" s="51" t="n"/>
      <c r="RZ23" s="51" t="n"/>
      <c r="SA23" s="51" t="n"/>
      <c r="SB23" s="51" t="n"/>
      <c r="SC23" s="51" t="n"/>
      <c r="SD23" s="51" t="n"/>
      <c r="SE23" s="51" t="n"/>
      <c r="SF23" s="51" t="n"/>
      <c r="SG23" s="51" t="n"/>
      <c r="SH23" s="51" t="n"/>
      <c r="SI23" s="51" t="n"/>
      <c r="SJ23" s="51" t="n"/>
      <c r="SK23" s="51" t="n"/>
      <c r="SL23" s="51" t="n"/>
      <c r="SM23" s="51" t="n"/>
      <c r="SN23" s="51" t="n"/>
      <c r="SO23" s="51" t="n"/>
      <c r="SP23" s="51" t="n"/>
      <c r="SQ23" s="51" t="n"/>
      <c r="SR23" s="51" t="n"/>
      <c r="SS23" s="51" t="n"/>
      <c r="ST23" s="51" t="n"/>
      <c r="SU23" s="51" t="n"/>
      <c r="SV23" s="51" t="n"/>
      <c r="SW23" s="51" t="n"/>
      <c r="SX23" s="51" t="n"/>
      <c r="SY23" s="51" t="n"/>
      <c r="SZ23" s="51" t="n"/>
      <c r="TA23" s="51" t="n"/>
      <c r="TB23" s="51" t="n"/>
      <c r="TC23" s="51" t="n"/>
      <c r="TD23" s="51" t="n"/>
      <c r="TE23" s="51" t="n"/>
      <c r="TF23" s="51" t="n"/>
      <c r="TG23" s="51" t="n"/>
      <c r="TH23" s="51" t="n"/>
      <c r="TI23" s="51" t="n"/>
      <c r="TJ23" s="51" t="n"/>
      <c r="TK23" s="51" t="n"/>
      <c r="TL23" s="51" t="n"/>
      <c r="TM23" s="51" t="n"/>
      <c r="TN23" s="51" t="n"/>
      <c r="TO23" s="51" t="n"/>
      <c r="TP23" s="51" t="n"/>
      <c r="TQ23" s="51" t="n"/>
      <c r="TR23" s="51" t="n"/>
      <c r="TS23" s="51" t="n"/>
      <c r="TT23" s="51" t="n"/>
      <c r="TU23" s="51" t="n"/>
      <c r="TV23" s="51" t="n"/>
      <c r="TW23" s="51" t="n"/>
      <c r="TX23" s="51" t="n"/>
      <c r="TY23" s="51" t="n"/>
      <c r="TZ23" s="51" t="n"/>
      <c r="UA23" s="51" t="n"/>
      <c r="UB23" s="51" t="n"/>
      <c r="UC23" s="51" t="n"/>
      <c r="UD23" s="51" t="n"/>
      <c r="UE23" s="51" t="n"/>
      <c r="UF23" s="51" t="n"/>
      <c r="UG23" s="51" t="n"/>
      <c r="UH23" s="51" t="n"/>
      <c r="UI23" s="51" t="n"/>
      <c r="UJ23" s="51" t="n"/>
      <c r="UK23" s="51" t="n"/>
      <c r="UL23" s="51" t="n"/>
      <c r="UM23" s="51" t="n"/>
      <c r="UN23" s="51" t="n"/>
      <c r="UO23" s="51" t="n"/>
      <c r="UP23" s="51" t="n"/>
      <c r="UQ23" s="51" t="n"/>
      <c r="UR23" s="51" t="n"/>
      <c r="US23" s="51" t="n"/>
      <c r="UT23" s="51" t="n"/>
      <c r="UU23" s="51" t="n"/>
      <c r="UV23" s="51" t="n"/>
      <c r="UW23" s="51" t="n"/>
      <c r="UX23" s="51" t="n"/>
      <c r="UY23" s="51" t="n"/>
      <c r="UZ23" s="51" t="n"/>
      <c r="VA23" s="51" t="n"/>
      <c r="VB23" s="51" t="n"/>
      <c r="VC23" s="51" t="n"/>
      <c r="VD23" s="51" t="n"/>
      <c r="VE23" s="51" t="n"/>
      <c r="VF23" s="51" t="n"/>
      <c r="VG23" s="51" t="n"/>
      <c r="VH23" s="51" t="n"/>
      <c r="VI23" s="51" t="n"/>
      <c r="VJ23" s="51" t="n"/>
      <c r="VK23" s="51" t="n"/>
      <c r="VL23" s="51" t="n"/>
      <c r="VM23" s="51" t="n"/>
      <c r="VN23" s="51" t="n"/>
      <c r="VO23" s="51" t="n"/>
      <c r="VP23" s="51" t="n"/>
      <c r="VQ23" s="51" t="n"/>
      <c r="VR23" s="51" t="n"/>
      <c r="VS23" s="51" t="n"/>
      <c r="VT23" s="51" t="n"/>
      <c r="VU23" s="51" t="n"/>
      <c r="VV23" s="51" t="n"/>
      <c r="VW23" s="51" t="n"/>
      <c r="VX23" s="51" t="n"/>
      <c r="VY23" s="51" t="n"/>
      <c r="VZ23" s="51" t="n"/>
      <c r="WA23" s="51" t="n"/>
      <c r="WB23" s="51" t="n"/>
      <c r="WC23" s="51" t="n"/>
      <c r="WD23" s="51" t="n"/>
      <c r="WE23" s="51" t="n"/>
      <c r="WF23" s="51" t="n"/>
      <c r="WG23" s="51" t="n"/>
      <c r="WH23" s="51" t="n"/>
      <c r="WI23" s="51" t="n"/>
      <c r="WJ23" s="51" t="n"/>
      <c r="WK23" s="51" t="n"/>
      <c r="WL23" s="51" t="n"/>
      <c r="WM23" s="51" t="n"/>
      <c r="WN23" s="51" t="n"/>
      <c r="WO23" s="51" t="n"/>
      <c r="WP23" s="51" t="n"/>
      <c r="WQ23" s="51" t="n"/>
      <c r="WR23" s="51" t="n"/>
      <c r="WS23" s="51" t="n"/>
      <c r="WT23" s="51" t="n"/>
      <c r="WU23" s="51" t="n"/>
      <c r="WV23" s="51" t="n"/>
      <c r="WW23" s="51" t="n"/>
      <c r="WX23" s="51" t="n"/>
      <c r="WY23" s="51" t="n"/>
      <c r="WZ23" s="51" t="n"/>
      <c r="XA23" s="51" t="n"/>
      <c r="XB23" s="51" t="n"/>
      <c r="XC23" s="51" t="n"/>
      <c r="XD23" s="51" t="n"/>
      <c r="XE23" s="51" t="n"/>
      <c r="XF23" s="51" t="n"/>
      <c r="XG23" s="51" t="n"/>
      <c r="XH23" s="51" t="n"/>
      <c r="XI23" s="51" t="n"/>
      <c r="XJ23" s="51" t="n"/>
      <c r="XK23" s="51" t="n"/>
      <c r="XL23" s="51" t="n"/>
      <c r="XM23" s="51" t="n"/>
      <c r="XN23" s="51" t="n"/>
      <c r="XO23" s="51" t="n"/>
      <c r="XP23" s="51" t="n"/>
      <c r="XQ23" s="51" t="n"/>
      <c r="XR23" s="51" t="n"/>
      <c r="XS23" s="51" t="n"/>
      <c r="XT23" s="51" t="n"/>
      <c r="XU23" s="51" t="n"/>
      <c r="XV23" s="51" t="n"/>
      <c r="XW23" s="51" t="n"/>
      <c r="XX23" s="51" t="n"/>
      <c r="XY23" s="51" t="n"/>
      <c r="XZ23" s="51" t="n"/>
      <c r="YA23" s="51" t="n"/>
      <c r="YB23" s="51" t="n"/>
      <c r="YC23" s="51" t="n"/>
      <c r="YD23" s="51" t="n"/>
      <c r="YE23" s="51" t="n"/>
      <c r="YF23" s="51" t="n"/>
      <c r="YG23" s="51" t="n"/>
      <c r="YH23" s="51" t="n"/>
      <c r="YI23" s="51" t="n"/>
      <c r="YJ23" s="51" t="n"/>
      <c r="YK23" s="51" t="n"/>
      <c r="YL23" s="51" t="n"/>
      <c r="YM23" s="51" t="n"/>
      <c r="YN23" s="51" t="n"/>
      <c r="YO23" s="51" t="n"/>
      <c r="YP23" s="51" t="n"/>
      <c r="YQ23" s="51" t="n"/>
      <c r="YR23" s="51" t="n"/>
      <c r="YS23" s="51" t="n"/>
      <c r="YT23" s="51" t="n"/>
      <c r="YU23" s="51" t="n"/>
      <c r="YV23" s="51" t="n"/>
      <c r="YW23" s="51" t="n"/>
      <c r="YX23" s="51" t="n"/>
      <c r="YY23" s="51" t="n"/>
      <c r="YZ23" s="51" t="n"/>
      <c r="ZA23" s="51" t="n"/>
      <c r="ZB23" s="51" t="n"/>
      <c r="ZC23" s="51" t="n"/>
      <c r="ZD23" s="51" t="n"/>
      <c r="ZE23" s="51" t="n"/>
      <c r="ZF23" s="51" t="n"/>
      <c r="ZG23" s="51" t="n"/>
      <c r="ZH23" s="51" t="n"/>
      <c r="ZI23" s="51" t="n"/>
      <c r="ZJ23" s="51" t="n"/>
      <c r="ZK23" s="51" t="n"/>
      <c r="ZL23" s="51" t="n"/>
      <c r="ZM23" s="51" t="n"/>
      <c r="ZN23" s="51" t="n"/>
      <c r="ZO23" s="51" t="n"/>
      <c r="ZP23" s="51" t="n"/>
      <c r="ZQ23" s="51" t="n"/>
      <c r="ZR23" s="51" t="n"/>
      <c r="ZS23" s="51" t="n"/>
      <c r="ZT23" s="51" t="n"/>
      <c r="ZU23" s="51" t="n"/>
      <c r="ZV23" s="51" t="n"/>
      <c r="ZW23" s="51" t="n"/>
      <c r="ZX23" s="51" t="n"/>
      <c r="ZY23" s="51" t="n"/>
      <c r="ZZ23" s="51" t="n"/>
      <c r="AAA23" s="51" t="n"/>
      <c r="AAB23" s="51" t="n"/>
      <c r="AAC23" s="51" t="n"/>
      <c r="AAD23" s="51" t="n"/>
      <c r="AAE23" s="51" t="n"/>
      <c r="AAF23" s="51" t="n"/>
      <c r="AAG23" s="51" t="n"/>
      <c r="AAH23" s="51" t="n"/>
      <c r="AAI23" s="51" t="n"/>
      <c r="AAJ23" s="51" t="n"/>
      <c r="AAK23" s="51" t="n"/>
      <c r="AAL23" s="51" t="n"/>
      <c r="AAM23" s="51" t="n"/>
      <c r="AAN23" s="51" t="n"/>
      <c r="AAO23" s="51" t="n"/>
      <c r="AAP23" s="51" t="n"/>
      <c r="AAQ23" s="51" t="n"/>
      <c r="AAR23" s="51" t="n"/>
      <c r="AAS23" s="51" t="n"/>
      <c r="AAT23" s="51" t="n"/>
      <c r="AAU23" s="51" t="n"/>
      <c r="AAV23" s="51" t="n"/>
      <c r="AAW23" s="51" t="n"/>
      <c r="AAX23" s="51" t="n"/>
      <c r="AAY23" s="51" t="n"/>
      <c r="AAZ23" s="51" t="n"/>
      <c r="ABA23" s="51" t="n"/>
      <c r="ABB23" s="51" t="n"/>
      <c r="ABC23" s="51" t="n"/>
      <c r="ABD23" s="51" t="n"/>
      <c r="ABE23" s="51" t="n"/>
      <c r="ABF23" s="51" t="n"/>
      <c r="ABG23" s="51" t="n"/>
      <c r="ABH23" s="51" t="n"/>
      <c r="ABI23" s="51" t="n"/>
      <c r="ABJ23" s="51" t="n"/>
      <c r="ABK23" s="51" t="n"/>
      <c r="ABL23" s="51" t="n"/>
      <c r="ABM23" s="51" t="n"/>
      <c r="ABN23" s="51" t="n"/>
      <c r="ABO23" s="51" t="n"/>
      <c r="ABP23" s="51" t="n"/>
      <c r="ABQ23" s="51" t="n"/>
      <c r="ABR23" s="51" t="n"/>
      <c r="ABS23" s="51" t="n"/>
      <c r="ABT23" s="51" t="n"/>
      <c r="ABU23" s="51" t="n"/>
      <c r="ABV23" s="51" t="n"/>
      <c r="ABW23" s="51" t="n"/>
      <c r="ABX23" s="51" t="n"/>
      <c r="ABY23" s="51" t="n"/>
      <c r="ABZ23" s="51" t="n"/>
      <c r="ACA23" s="51" t="n"/>
      <c r="ACB23" s="51" t="n"/>
      <c r="ACC23" s="51" t="n"/>
      <c r="ACD23" s="51" t="n"/>
      <c r="ACE23" s="51" t="n"/>
      <c r="ACF23" s="51" t="n"/>
      <c r="ACG23" s="51" t="n"/>
      <c r="ACH23" s="51" t="n"/>
      <c r="ACI23" s="51" t="n"/>
      <c r="ACJ23" s="51" t="n"/>
      <c r="ACK23" s="51" t="n"/>
      <c r="ACL23" s="51" t="n"/>
      <c r="ACM23" s="51" t="n"/>
      <c r="ACN23" s="51" t="n"/>
      <c r="ACO23" s="51" t="n"/>
      <c r="ACP23" s="51" t="n"/>
      <c r="ACQ23" s="51" t="n"/>
      <c r="ACR23" s="51" t="n"/>
      <c r="ACS23" s="51" t="n"/>
      <c r="ACT23" s="51" t="n"/>
      <c r="ACU23" s="51" t="n"/>
      <c r="ACV23" s="51" t="n"/>
      <c r="ACW23" s="51" t="n"/>
      <c r="ACX23" s="51" t="n"/>
      <c r="ACY23" s="51" t="n"/>
      <c r="ACZ23" s="51" t="n"/>
      <c r="ADA23" s="51" t="n"/>
      <c r="ADB23" s="51" t="n"/>
      <c r="ADC23" s="51" t="n"/>
      <c r="ADD23" s="51" t="n"/>
      <c r="ADE23" s="51" t="n"/>
      <c r="ADF23" s="51" t="n"/>
      <c r="ADG23" s="51" t="n"/>
      <c r="ADH23" s="51" t="n"/>
      <c r="ADI23" s="51" t="n"/>
      <c r="ADJ23" s="51" t="n"/>
      <c r="ADK23" s="51" t="n"/>
      <c r="ADL23" s="51" t="n"/>
      <c r="ADM23" s="51" t="n"/>
      <c r="ADN23" s="51" t="n"/>
      <c r="ADO23" s="51" t="n"/>
      <c r="ADP23" s="51" t="n"/>
      <c r="ADQ23" s="51" t="n"/>
      <c r="ADR23" s="51" t="n"/>
      <c r="ADS23" s="51" t="n"/>
      <c r="ADT23" s="51" t="n"/>
      <c r="ADU23" s="51" t="n"/>
      <c r="ADV23" s="51" t="n"/>
      <c r="ADW23" s="51" t="n"/>
      <c r="ADX23" s="51" t="n"/>
      <c r="ADY23" s="51" t="n"/>
      <c r="ADZ23" s="51" t="n"/>
      <c r="AEA23" s="51" t="n"/>
      <c r="AEB23" s="51" t="n"/>
      <c r="AEC23" s="51" t="n"/>
      <c r="AED23" s="51" t="n"/>
      <c r="AEE23" s="51" t="n"/>
      <c r="AEF23" s="51" t="n"/>
      <c r="AEG23" s="51" t="n"/>
      <c r="AEH23" s="51" t="n"/>
      <c r="AEI23" s="51" t="n"/>
      <c r="AEJ23" s="51" t="n"/>
      <c r="AEK23" s="51" t="n"/>
      <c r="AEL23" s="51" t="n"/>
      <c r="AEM23" s="51" t="n"/>
      <c r="AEN23" s="51" t="n"/>
      <c r="AEO23" s="51" t="n"/>
      <c r="AEP23" s="51" t="n"/>
      <c r="AEQ23" s="51" t="n"/>
      <c r="AER23" s="51" t="n"/>
      <c r="AES23" s="51" t="n"/>
      <c r="AET23" s="51" t="n"/>
      <c r="AEU23" s="51" t="n"/>
      <c r="AEV23" s="51" t="n"/>
      <c r="AEW23" s="51" t="n"/>
      <c r="AEX23" s="51" t="n"/>
      <c r="AEY23" s="51" t="n"/>
      <c r="AEZ23" s="51" t="n"/>
      <c r="AFA23" s="51" t="n"/>
      <c r="AFB23" s="51" t="n"/>
      <c r="AFC23" s="51" t="n"/>
      <c r="AFD23" s="51" t="n"/>
      <c r="AFE23" s="51" t="n"/>
      <c r="AFF23" s="51" t="n"/>
      <c r="AFG23" s="51" t="n"/>
      <c r="AFH23" s="51" t="n"/>
      <c r="AFI23" s="51" t="n"/>
      <c r="AFJ23" s="51" t="n"/>
      <c r="AFK23" s="51" t="n"/>
      <c r="AFL23" s="51" t="n"/>
      <c r="AFM23" s="51" t="n"/>
      <c r="AFN23" s="51" t="n"/>
      <c r="AFO23" s="51" t="n"/>
      <c r="AFP23" s="51" t="n"/>
      <c r="AFQ23" s="51" t="n"/>
      <c r="AFR23" s="51" t="n"/>
      <c r="AFS23" s="51" t="n"/>
      <c r="AFT23" s="51" t="n"/>
      <c r="AFU23" s="51" t="n"/>
      <c r="AFV23" s="51" t="n"/>
      <c r="AFW23" s="51" t="n"/>
      <c r="AFX23" s="51" t="n"/>
      <c r="AFY23" s="51" t="n"/>
      <c r="AFZ23" s="51" t="n"/>
      <c r="AGA23" s="51" t="n"/>
      <c r="AGB23" s="51" t="n"/>
      <c r="AGC23" s="51" t="n"/>
      <c r="AGD23" s="51" t="n"/>
      <c r="AGE23" s="51" t="n"/>
      <c r="AGF23" s="51" t="n"/>
      <c r="AGG23" s="51" t="n"/>
      <c r="AGH23" s="51" t="n"/>
      <c r="AGI23" s="51" t="n"/>
      <c r="AGJ23" s="51" t="n"/>
      <c r="AGK23" s="51" t="n"/>
      <c r="AGL23" s="51" t="n"/>
      <c r="AGM23" s="51" t="n"/>
      <c r="AGN23" s="51" t="n"/>
      <c r="AGO23" s="51" t="n"/>
      <c r="AGP23" s="51" t="n"/>
      <c r="AGQ23" s="51" t="n"/>
      <c r="AGR23" s="51" t="n"/>
      <c r="AGS23" s="51" t="n"/>
      <c r="AGT23" s="51" t="n"/>
      <c r="AGU23" s="51" t="n"/>
      <c r="AGV23" s="51" t="n"/>
      <c r="AGW23" s="51" t="n"/>
      <c r="AGX23" s="51" t="n"/>
      <c r="AGY23" s="51" t="n"/>
      <c r="AGZ23" s="51" t="n"/>
      <c r="AHA23" s="51" t="n"/>
      <c r="AHB23" s="51" t="n"/>
      <c r="AHC23" s="51" t="n"/>
      <c r="AHD23" s="51" t="n"/>
      <c r="AHE23" s="51" t="n"/>
      <c r="AHF23" s="51" t="n"/>
      <c r="AHG23" s="51" t="n"/>
      <c r="AHH23" s="51" t="n"/>
      <c r="AHI23" s="51" t="n"/>
      <c r="AHJ23" s="51" t="n"/>
      <c r="AHK23" s="51" t="n"/>
      <c r="AHL23" s="51" t="n"/>
      <c r="AHM23" s="51" t="n"/>
      <c r="AHN23" s="51" t="n"/>
      <c r="AHO23" s="51" t="n"/>
      <c r="AHP23" s="51" t="n"/>
      <c r="AHQ23" s="51" t="n"/>
      <c r="AHR23" s="51" t="n"/>
      <c r="AHS23" s="51" t="n"/>
      <c r="AHT23" s="51" t="n"/>
      <c r="AHU23" s="51" t="n"/>
      <c r="AHV23" s="51" t="n"/>
      <c r="AHW23" s="51" t="n"/>
      <c r="AHX23" s="51" t="n"/>
      <c r="AHY23" s="51" t="n"/>
      <c r="AHZ23" s="51" t="n"/>
      <c r="AIA23" s="51" t="n"/>
      <c r="AIB23" s="51" t="n"/>
      <c r="AIC23" s="51" t="n"/>
      <c r="AID23" s="51" t="n"/>
      <c r="AIE23" s="51" t="n"/>
      <c r="AIF23" s="51" t="n"/>
      <c r="AIG23" s="51" t="n"/>
      <c r="AIH23" s="51" t="n"/>
      <c r="AII23" s="51" t="n"/>
      <c r="AIJ23" s="51" t="n"/>
      <c r="AIK23" s="51" t="n"/>
      <c r="AIL23" s="51" t="n"/>
      <c r="AIM23" s="51" t="n"/>
      <c r="AIN23" s="51" t="n"/>
      <c r="AIO23" s="51" t="n"/>
      <c r="AIP23" s="51" t="n"/>
      <c r="AIQ23" s="51" t="n"/>
      <c r="AIR23" s="51" t="n"/>
      <c r="AIS23" s="51" t="n"/>
      <c r="AIT23" s="51" t="n"/>
      <c r="AIU23" s="51" t="n"/>
      <c r="AIV23" s="51" t="n"/>
      <c r="AIW23" s="51" t="n"/>
      <c r="AIX23" s="51" t="n"/>
      <c r="AIY23" s="51" t="n"/>
      <c r="AIZ23" s="51" t="n"/>
      <c r="AJA23" s="51" t="n"/>
      <c r="AJB23" s="51" t="n"/>
      <c r="AJC23" s="51" t="n"/>
      <c r="AJD23" s="51" t="n"/>
      <c r="AJE23" s="51" t="n"/>
      <c r="AJF23" s="51" t="n"/>
      <c r="AJG23" s="51" t="n"/>
      <c r="AJH23" s="51" t="n"/>
      <c r="AJI23" s="51" t="n"/>
      <c r="AJJ23" s="51" t="n"/>
      <c r="AJK23" s="51" t="n"/>
      <c r="AJL23" s="51" t="n"/>
      <c r="AJM23" s="51" t="n"/>
      <c r="AJN23" s="51" t="n"/>
      <c r="AJO23" s="51" t="n"/>
      <c r="AJP23" s="51" t="n"/>
      <c r="AJQ23" s="51" t="n"/>
      <c r="AJR23" s="51" t="n"/>
      <c r="AJS23" s="51" t="n"/>
      <c r="AJT23" s="51" t="n"/>
      <c r="AJU23" s="51" t="n"/>
      <c r="AJV23" s="51" t="n"/>
      <c r="AJW23" s="51" t="n"/>
      <c r="AJX23" s="51" t="n"/>
      <c r="AJY23" s="51" t="n"/>
      <c r="AJZ23" s="51" t="n"/>
      <c r="AKA23" s="51" t="n"/>
      <c r="AKB23" s="51" t="n"/>
      <c r="AKC23" s="51" t="n"/>
      <c r="AKD23" s="51" t="n"/>
      <c r="AKE23" s="51" t="n"/>
      <c r="AKF23" s="51" t="n"/>
      <c r="AKG23" s="51" t="n"/>
      <c r="AKH23" s="51" t="n"/>
      <c r="AKI23" s="51" t="n"/>
      <c r="AKJ23" s="51" t="n"/>
      <c r="AKK23" s="51" t="n"/>
      <c r="AKL23" s="51" t="n"/>
      <c r="AKM23" s="51" t="n"/>
      <c r="AKN23" s="51" t="n"/>
      <c r="AKO23" s="51" t="n"/>
      <c r="AKP23" s="51" t="n"/>
      <c r="AKQ23" s="51" t="n"/>
      <c r="AKR23" s="51" t="n"/>
      <c r="AKS23" s="51" t="n"/>
      <c r="AKT23" s="51" t="n"/>
      <c r="AKU23" s="51" t="n"/>
      <c r="AKV23" s="51" t="n"/>
      <c r="AKW23" s="51" t="n"/>
      <c r="AKX23" s="51" t="n"/>
      <c r="AKY23" s="51" t="n"/>
      <c r="AKZ23" s="51" t="n"/>
      <c r="ALA23" s="51" t="n"/>
      <c r="ALB23" s="51" t="n"/>
      <c r="ALC23" s="51" t="n"/>
      <c r="ALD23" s="51" t="n"/>
      <c r="ALE23" s="51" t="n"/>
      <c r="ALF23" s="51" t="n"/>
      <c r="ALG23" s="51" t="n"/>
      <c r="ALH23" s="51" t="n"/>
      <c r="ALI23" s="51" t="n"/>
      <c r="ALJ23" s="51" t="n"/>
      <c r="ALK23" s="51" t="n"/>
      <c r="ALL23" s="51" t="n"/>
      <c r="ALM23" s="51" t="n"/>
      <c r="ALN23" s="51" t="n"/>
      <c r="ALO23" s="51" t="n"/>
      <c r="ALP23" s="51" t="n"/>
      <c r="ALQ23" s="51" t="n"/>
      <c r="ALR23" s="51" t="n"/>
      <c r="ALS23" s="51" t="n"/>
      <c r="ALT23" s="51" t="n"/>
      <c r="ALU23" s="51" t="n"/>
      <c r="ALV23" s="51" t="n"/>
      <c r="ALW23" s="51" t="n"/>
      <c r="ALX23" s="51" t="n"/>
      <c r="ALY23" s="51" t="n"/>
      <c r="ALZ23" s="51" t="n"/>
      <c r="AMA23" s="51" t="n"/>
      <c r="AMB23" s="51" t="n"/>
      <c r="AMC23" s="51" t="n"/>
      <c r="AMD23" s="51" t="n"/>
      <c r="AME23" s="51" t="n"/>
      <c r="AMF23" s="51" t="n"/>
      <c r="AMG23" s="51" t="n"/>
      <c r="AMH23" s="51" t="n"/>
      <c r="AMI23" s="51" t="n"/>
      <c r="AMJ23" s="51" t="n"/>
      <c r="AMK23" s="51" t="n"/>
      <c r="AML23" s="51" t="n"/>
      <c r="AMM23" s="51" t="n"/>
      <c r="AMN23" s="51" t="n"/>
      <c r="AMO23" s="51" t="n"/>
      <c r="AMP23" s="51" t="n"/>
      <c r="AMQ23" s="51" t="n"/>
      <c r="AMR23" s="51" t="n"/>
      <c r="AMS23" s="51" t="n"/>
      <c r="AMT23" s="51" t="n"/>
      <c r="AMU23" s="51" t="n"/>
      <c r="AMV23" s="51" t="n"/>
      <c r="AMW23" s="51" t="n"/>
      <c r="AMX23" s="51" t="n"/>
      <c r="AMY23" s="51" t="n"/>
      <c r="AMZ23" s="51" t="n"/>
      <c r="ANA23" s="51" t="n"/>
      <c r="ANB23" s="51" t="n"/>
      <c r="ANC23" s="51" t="n"/>
      <c r="AND23" s="51" t="n"/>
      <c r="ANE23" s="51" t="n"/>
      <c r="ANF23" s="51" t="n"/>
      <c r="ANG23" s="51" t="n"/>
      <c r="ANH23" s="51" t="n"/>
      <c r="ANI23" s="51" t="n"/>
      <c r="ANJ23" s="51" t="n"/>
      <c r="ANK23" s="51" t="n"/>
      <c r="ANL23" s="51" t="n"/>
      <c r="ANM23" s="51" t="n"/>
      <c r="ANN23" s="51" t="n"/>
      <c r="ANO23" s="51" t="n"/>
      <c r="ANP23" s="51" t="n"/>
      <c r="ANQ23" s="51" t="n"/>
      <c r="ANR23" s="51" t="n"/>
      <c r="ANS23" s="51" t="n"/>
      <c r="ANT23" s="51" t="n"/>
      <c r="ANU23" s="51" t="n"/>
      <c r="ANV23" s="51" t="n"/>
      <c r="ANW23" s="51" t="n"/>
      <c r="ANX23" s="51" t="n"/>
      <c r="ANY23" s="51" t="n"/>
      <c r="ANZ23" s="51" t="n"/>
      <c r="AOA23" s="51" t="n"/>
      <c r="AOB23" s="51" t="n"/>
      <c r="AOC23" s="51" t="n"/>
      <c r="AOD23" s="51" t="n"/>
      <c r="AOE23" s="51" t="n"/>
      <c r="AOF23" s="51" t="n"/>
      <c r="AOG23" s="51" t="n"/>
      <c r="AOH23" s="51" t="n"/>
      <c r="AOI23" s="51" t="n"/>
      <c r="AOJ23" s="51" t="n"/>
      <c r="AOK23" s="51" t="n"/>
      <c r="AOL23" s="51" t="n"/>
      <c r="AOM23" s="51" t="n"/>
      <c r="AON23" s="51" t="n"/>
      <c r="AOO23" s="51" t="n"/>
      <c r="AOP23" s="51" t="n"/>
      <c r="AOQ23" s="51" t="n"/>
      <c r="AOR23" s="51" t="n"/>
      <c r="AOS23" s="51" t="n"/>
      <c r="AOT23" s="51" t="n"/>
      <c r="AOU23" s="51" t="n"/>
      <c r="AOV23" s="51" t="n"/>
      <c r="AOW23" s="51" t="n"/>
      <c r="AOX23" s="51" t="n"/>
      <c r="AOY23" s="51" t="n"/>
      <c r="AOZ23" s="51" t="n"/>
      <c r="APA23" s="51" t="n"/>
      <c r="APB23" s="51" t="n"/>
      <c r="APC23" s="51" t="n"/>
      <c r="APD23" s="51" t="n"/>
      <c r="APE23" s="51" t="n"/>
      <c r="APF23" s="51" t="n"/>
      <c r="APG23" s="51" t="n"/>
      <c r="APH23" s="51" t="n"/>
      <c r="API23" s="51" t="n"/>
      <c r="APJ23" s="51" t="n"/>
      <c r="APK23" s="51" t="n"/>
      <c r="APL23" s="51" t="n"/>
      <c r="APM23" s="51" t="n"/>
      <c r="APN23" s="51" t="n"/>
      <c r="APO23" s="51" t="n"/>
      <c r="APP23" s="51" t="n"/>
      <c r="APQ23" s="51" t="n"/>
      <c r="APR23" s="51" t="n"/>
      <c r="APS23" s="51" t="n"/>
      <c r="APT23" s="51" t="n"/>
      <c r="APU23" s="51" t="n"/>
      <c r="APV23" s="51" t="n"/>
      <c r="APW23" s="51" t="n"/>
      <c r="APX23" s="51" t="n"/>
      <c r="APY23" s="51" t="n"/>
      <c r="APZ23" s="51" t="n"/>
      <c r="AQA23" s="51" t="n"/>
      <c r="AQB23" s="51" t="n"/>
      <c r="AQC23" s="51" t="n"/>
      <c r="AQD23" s="51" t="n"/>
      <c r="AQE23" s="51" t="n"/>
      <c r="AQF23" s="51" t="n"/>
      <c r="AQG23" s="51" t="n"/>
      <c r="AQH23" s="51" t="n"/>
      <c r="AQI23" s="51" t="n"/>
      <c r="AQJ23" s="51" t="n"/>
      <c r="AQK23" s="51" t="n"/>
      <c r="AQL23" s="51" t="n"/>
      <c r="AQM23" s="51" t="n"/>
      <c r="AQN23" s="51" t="n"/>
      <c r="AQO23" s="51" t="n"/>
      <c r="AQP23" s="51" t="n"/>
      <c r="AQQ23" s="51" t="n"/>
      <c r="AQR23" s="51" t="n"/>
      <c r="AQS23" s="51" t="n"/>
      <c r="AQT23" s="51" t="n"/>
      <c r="AQU23" s="51" t="n"/>
      <c r="AQV23" s="51" t="n"/>
      <c r="AQW23" s="51" t="n"/>
      <c r="AQX23" s="51" t="n"/>
      <c r="AQY23" s="51" t="n"/>
      <c r="AQZ23" s="51" t="n"/>
      <c r="ARA23" s="51" t="n"/>
      <c r="ARB23" s="51" t="n"/>
      <c r="ARC23" s="51" t="n"/>
      <c r="ARD23" s="51" t="n"/>
      <c r="ARE23" s="51" t="n"/>
      <c r="ARF23" s="51" t="n"/>
      <c r="ARG23" s="51" t="n"/>
      <c r="ARH23" s="51" t="n"/>
      <c r="ARI23" s="51" t="n"/>
      <c r="ARJ23" s="51" t="n"/>
      <c r="ARK23" s="51" t="n"/>
      <c r="ARL23" s="51" t="n"/>
      <c r="ARM23" s="51" t="n"/>
      <c r="ARN23" s="51" t="n"/>
      <c r="ARO23" s="51" t="n"/>
      <c r="ARP23" s="51" t="n"/>
      <c r="ARQ23" s="51" t="n"/>
      <c r="ARR23" s="51" t="n"/>
      <c r="ARS23" s="51" t="n"/>
      <c r="ART23" s="51" t="n"/>
      <c r="ARU23" s="51" t="n"/>
      <c r="ARV23" s="51" t="n"/>
      <c r="ARW23" s="51" t="n"/>
      <c r="ARX23" s="51" t="n"/>
      <c r="ARY23" s="51" t="n"/>
      <c r="ARZ23" s="51" t="n"/>
      <c r="ASA23" s="51" t="n"/>
      <c r="ASB23" s="51" t="n"/>
      <c r="ASC23" s="51" t="n"/>
      <c r="ASD23" s="51" t="n"/>
      <c r="ASE23" s="51" t="n"/>
      <c r="ASF23" s="51" t="n"/>
      <c r="ASG23" s="51" t="n"/>
      <c r="ASH23" s="51" t="n"/>
      <c r="ASI23" s="51" t="n"/>
      <c r="ASJ23" s="51" t="n"/>
      <c r="ASK23" s="51" t="n"/>
      <c r="ASL23" s="51" t="n"/>
      <c r="ASM23" s="51" t="n"/>
      <c r="ASN23" s="51" t="n"/>
      <c r="ASO23" s="51" t="n"/>
      <c r="ASP23" s="51" t="n"/>
      <c r="ASQ23" s="51" t="n"/>
      <c r="ASR23" s="51" t="n"/>
      <c r="ASS23" s="51" t="n"/>
      <c r="AST23" s="51" t="n"/>
      <c r="ASU23" s="51" t="n"/>
      <c r="ASV23" s="51" t="n"/>
      <c r="ASW23" s="51" t="n"/>
      <c r="ASX23" s="51" t="n"/>
      <c r="ASY23" s="51" t="n"/>
      <c r="ASZ23" s="51" t="n"/>
      <c r="ATA23" s="51" t="n"/>
      <c r="ATB23" s="51" t="n"/>
      <c r="ATC23" s="51" t="n"/>
      <c r="ATD23" s="51" t="n"/>
      <c r="ATE23" s="51" t="n"/>
      <c r="ATF23" s="51" t="n"/>
      <c r="ATG23" s="51" t="n"/>
      <c r="ATH23" s="51" t="n"/>
      <c r="ATI23" s="51" t="n"/>
      <c r="ATJ23" s="51" t="n"/>
      <c r="ATK23" s="51" t="n"/>
      <c r="ATL23" s="51" t="n"/>
      <c r="ATM23" s="51" t="n"/>
      <c r="ATN23" s="51" t="n"/>
      <c r="ATO23" s="51" t="n"/>
      <c r="ATP23" s="51" t="n"/>
      <c r="ATQ23" s="51" t="n"/>
      <c r="ATR23" s="51" t="n"/>
      <c r="ATS23" s="51" t="n"/>
      <c r="ATT23" s="51" t="n"/>
      <c r="ATU23" s="51" t="n"/>
      <c r="ATV23" s="51" t="n"/>
      <c r="ATW23" s="51" t="n"/>
      <c r="ATX23" s="51" t="n"/>
      <c r="ATY23" s="51" t="n"/>
      <c r="ATZ23" s="51" t="n"/>
      <c r="AUA23" s="51" t="n"/>
      <c r="AUB23" s="51" t="n"/>
      <c r="AUC23" s="51" t="n"/>
      <c r="AUD23" s="51" t="n"/>
      <c r="AUE23" s="51" t="n"/>
      <c r="AUF23" s="51" t="n"/>
      <c r="AUG23" s="51" t="n"/>
      <c r="AUH23" s="51" t="n"/>
      <c r="AUI23" s="51" t="n"/>
      <c r="AUJ23" s="51" t="n"/>
      <c r="AUK23" s="51" t="n"/>
      <c r="AUL23" s="51" t="n"/>
      <c r="AUM23" s="51" t="n"/>
      <c r="AUN23" s="51" t="n"/>
      <c r="AUO23" s="51" t="n"/>
      <c r="AUP23" s="51" t="n"/>
      <c r="AUQ23" s="51" t="n"/>
      <c r="AUR23" s="51" t="n"/>
      <c r="AUS23" s="51" t="n"/>
      <c r="AUT23" s="51" t="n"/>
      <c r="AUU23" s="51" t="n"/>
      <c r="AUV23" s="51" t="n"/>
      <c r="AUW23" s="51" t="n"/>
      <c r="AUX23" s="51" t="n"/>
      <c r="AUY23" s="51" t="n"/>
      <c r="AUZ23" s="51" t="n"/>
      <c r="AVA23" s="51" t="n"/>
      <c r="AVB23" s="51" t="n"/>
      <c r="AVC23" s="51" t="n"/>
      <c r="AVD23" s="51" t="n"/>
      <c r="AVE23" s="51" t="n"/>
      <c r="AVF23" s="51" t="n"/>
      <c r="AVG23" s="51" t="n"/>
      <c r="AVH23" s="51" t="n"/>
      <c r="AVI23" s="51" t="n"/>
      <c r="AVJ23" s="51" t="n"/>
      <c r="AVK23" s="51" t="n"/>
      <c r="AVL23" s="51" t="n"/>
      <c r="AVM23" s="51" t="n"/>
      <c r="AVN23" s="51" t="n"/>
      <c r="AVO23" s="51" t="n"/>
      <c r="AVP23" s="51" t="n"/>
      <c r="AVQ23" s="51" t="n"/>
      <c r="AVR23" s="51" t="n"/>
      <c r="AVS23" s="51" t="n"/>
      <c r="AVT23" s="51" t="n"/>
      <c r="AVU23" s="51" t="n"/>
      <c r="AVV23" s="51" t="n"/>
      <c r="AVW23" s="51" t="n"/>
      <c r="AVX23" s="51" t="n"/>
      <c r="AVY23" s="51" t="n"/>
      <c r="AVZ23" s="51" t="n"/>
      <c r="AWA23" s="51" t="n"/>
      <c r="AWB23" s="51" t="n"/>
      <c r="AWC23" s="51" t="n"/>
      <c r="AWD23" s="51" t="n"/>
      <c r="AWE23" s="51" t="n"/>
      <c r="AWF23" s="51" t="n"/>
      <c r="AWG23" s="51" t="n"/>
      <c r="AWH23" s="51" t="n"/>
      <c r="AWI23" s="51" t="n"/>
      <c r="AWJ23" s="51" t="n"/>
      <c r="AWK23" s="51" t="n"/>
      <c r="AWL23" s="51" t="n"/>
      <c r="AWM23" s="51" t="n"/>
      <c r="AWN23" s="51" t="n"/>
      <c r="AWO23" s="51" t="n"/>
      <c r="AWP23" s="51" t="n"/>
      <c r="AWQ23" s="51" t="n"/>
      <c r="AWR23" s="51" t="n"/>
      <c r="AWS23" s="51" t="n"/>
      <c r="AWT23" s="51" t="n"/>
      <c r="AWU23" s="51" t="n"/>
      <c r="AWV23" s="51" t="n"/>
      <c r="AWW23" s="51" t="n"/>
      <c r="AWX23" s="51" t="n"/>
      <c r="AWY23" s="51" t="n"/>
      <c r="AWZ23" s="51" t="n"/>
      <c r="AXA23" s="51" t="n"/>
      <c r="AXB23" s="51" t="n"/>
      <c r="AXC23" s="51" t="n"/>
      <c r="AXD23" s="51" t="n"/>
      <c r="AXE23" s="51" t="n"/>
      <c r="AXF23" s="51" t="n"/>
      <c r="AXG23" s="51" t="n"/>
      <c r="AXH23" s="51" t="n"/>
      <c r="AXI23" s="51" t="n"/>
      <c r="AXJ23" s="51" t="n"/>
      <c r="AXK23" s="51" t="n"/>
      <c r="AXL23" s="51" t="n"/>
      <c r="AXM23" s="51" t="n"/>
      <c r="AXN23" s="51" t="n"/>
      <c r="AXO23" s="51" t="n"/>
      <c r="AXP23" s="51" t="n"/>
      <c r="AXQ23" s="51" t="n"/>
      <c r="AXR23" s="51" t="n"/>
      <c r="AXS23" s="51" t="n"/>
      <c r="AXT23" s="51" t="n"/>
      <c r="AXU23" s="51" t="n"/>
      <c r="AXV23" s="51" t="n"/>
      <c r="AXW23" s="51" t="n"/>
      <c r="AXX23" s="51" t="n"/>
      <c r="AXY23" s="51" t="n"/>
      <c r="AXZ23" s="51" t="n"/>
      <c r="AYA23" s="51" t="n"/>
      <c r="AYB23" s="51" t="n"/>
      <c r="AYC23" s="51" t="n"/>
      <c r="AYD23" s="51" t="n"/>
      <c r="AYE23" s="51" t="n"/>
      <c r="AYF23" s="51" t="n"/>
      <c r="AYG23" s="51" t="n"/>
      <c r="AYH23" s="51" t="n"/>
      <c r="AYI23" s="51" t="n"/>
      <c r="AYJ23" s="51" t="n"/>
      <c r="AYK23" s="51" t="n"/>
      <c r="AYL23" s="51" t="n"/>
      <c r="AYM23" s="51" t="n"/>
      <c r="AYN23" s="51" t="n"/>
      <c r="AYO23" s="51" t="n"/>
      <c r="AYP23" s="51" t="n"/>
      <c r="AYQ23" s="51" t="n"/>
      <c r="AYR23" s="51" t="n"/>
      <c r="AYS23" s="51" t="n"/>
      <c r="AYT23" s="51" t="n"/>
      <c r="AYU23" s="51" t="n"/>
      <c r="AYV23" s="51" t="n"/>
      <c r="AYW23" s="51" t="n"/>
      <c r="AYX23" s="51" t="n"/>
      <c r="AYY23" s="51" t="n"/>
      <c r="AYZ23" s="51" t="n"/>
      <c r="AZA23" s="51" t="n"/>
      <c r="AZB23" s="51" t="n"/>
      <c r="AZC23" s="51" t="n"/>
      <c r="AZD23" s="51" t="n"/>
      <c r="AZE23" s="51" t="n"/>
      <c r="AZF23" s="51" t="n"/>
      <c r="AZG23" s="51" t="n"/>
      <c r="AZH23" s="51" t="n"/>
      <c r="AZI23" s="51" t="n"/>
      <c r="AZJ23" s="51" t="n"/>
      <c r="AZK23" s="51" t="n"/>
      <c r="AZL23" s="51" t="n"/>
      <c r="AZM23" s="51" t="n"/>
      <c r="AZN23" s="51" t="n"/>
      <c r="AZO23" s="51" t="n"/>
      <c r="AZP23" s="51" t="n"/>
      <c r="AZQ23" s="51" t="n"/>
      <c r="AZR23" s="51" t="n"/>
      <c r="AZS23" s="51" t="n"/>
      <c r="AZT23" s="51" t="n"/>
      <c r="AZU23" s="51" t="n"/>
      <c r="AZV23" s="51" t="n"/>
      <c r="AZW23" s="51" t="n"/>
      <c r="AZX23" s="51" t="n"/>
      <c r="AZY23" s="51" t="n"/>
      <c r="AZZ23" s="51" t="n"/>
      <c r="BAA23" s="51" t="n"/>
      <c r="BAB23" s="51" t="n"/>
      <c r="BAC23" s="51" t="n"/>
      <c r="BAD23" s="51" t="n"/>
      <c r="BAE23" s="51" t="n"/>
      <c r="BAF23" s="51" t="n"/>
      <c r="BAG23" s="51" t="n"/>
      <c r="BAH23" s="51" t="n"/>
      <c r="BAI23" s="51" t="n"/>
      <c r="BAJ23" s="51" t="n"/>
      <c r="BAK23" s="51" t="n"/>
      <c r="BAL23" s="51" t="n"/>
      <c r="BAM23" s="51" t="n"/>
      <c r="BAN23" s="51" t="n"/>
      <c r="BAO23" s="51" t="n"/>
      <c r="BAP23" s="51" t="n"/>
      <c r="BAQ23" s="51" t="n"/>
      <c r="BAR23" s="51" t="n"/>
      <c r="BAS23" s="51" t="n"/>
      <c r="BAT23" s="51" t="n"/>
      <c r="BAU23" s="51" t="n"/>
      <c r="BAV23" s="51" t="n"/>
      <c r="BAW23" s="51" t="n"/>
      <c r="BAX23" s="51" t="n"/>
      <c r="BAY23" s="51" t="n"/>
      <c r="BAZ23" s="51" t="n"/>
      <c r="BBA23" s="51" t="n"/>
      <c r="BBB23" s="51" t="n"/>
      <c r="BBC23" s="51" t="n"/>
      <c r="BBD23" s="51" t="n"/>
      <c r="BBE23" s="51" t="n"/>
      <c r="BBF23" s="51" t="n"/>
      <c r="BBG23" s="51" t="n"/>
      <c r="BBH23" s="51" t="n"/>
      <c r="BBI23" s="51" t="n"/>
      <c r="BBJ23" s="51" t="n"/>
      <c r="BBK23" s="51" t="n"/>
      <c r="BBL23" s="51" t="n"/>
      <c r="BBM23" s="51" t="n"/>
      <c r="BBN23" s="51" t="n"/>
      <c r="BBO23" s="51" t="n"/>
      <c r="BBP23" s="51" t="n"/>
    </row>
    <row r="24" ht="13.5" customHeight="1">
      <c r="A24" s="22">
        <f>A23+1</f>
        <v/>
      </c>
      <c r="B24" s="30" t="inlineStr">
        <is>
          <t>BATTERY ABC BESAR</t>
        </is>
      </c>
      <c r="C24" s="126" t="inlineStr">
        <is>
          <t>PCS</t>
        </is>
      </c>
      <c r="D24" s="26">
        <f>'[1]Week  (4)'!U24</f>
        <v/>
      </c>
      <c r="E24" s="125" t="n"/>
      <c r="F24" s="55" t="n"/>
      <c r="G24" s="52" t="n"/>
      <c r="H24" s="55" t="n"/>
      <c r="I24" s="71" t="n"/>
      <c r="J24" s="55" t="n"/>
      <c r="K24" s="18" t="n"/>
      <c r="L24" s="73" t="n"/>
      <c r="M24" s="73" t="n"/>
      <c r="N24" s="73" t="n"/>
      <c r="O24" s="19" t="n"/>
      <c r="P24" s="18" t="n"/>
      <c r="Q24" s="18" t="n"/>
      <c r="R24" s="73" t="n"/>
      <c r="S24" s="18" t="n"/>
      <c r="T24" s="18" t="n"/>
      <c r="U24" s="26">
        <f>D24+F24+-(H24+J24+L24+N24+P24+R24+T24)</f>
        <v/>
      </c>
      <c r="V24" s="51" t="inlineStr">
        <is>
          <t>CONSUMABLE</t>
        </is>
      </c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  <c r="GB24" s="51" t="n"/>
      <c r="GC24" s="51" t="n"/>
      <c r="GD24" s="51" t="n"/>
      <c r="GE24" s="51" t="n"/>
      <c r="GF24" s="51" t="n"/>
      <c r="GG24" s="51" t="n"/>
      <c r="GH24" s="51" t="n"/>
      <c r="GI24" s="51" t="n"/>
      <c r="GJ24" s="51" t="n"/>
      <c r="GK24" s="51" t="n"/>
      <c r="GL24" s="51" t="n"/>
      <c r="GM24" s="51" t="n"/>
      <c r="GN24" s="51" t="n"/>
      <c r="GO24" s="51" t="n"/>
      <c r="GP24" s="51" t="n"/>
      <c r="GQ24" s="51" t="n"/>
      <c r="GR24" s="51" t="n"/>
      <c r="GS24" s="51" t="n"/>
      <c r="GT24" s="51" t="n"/>
      <c r="GU24" s="51" t="n"/>
      <c r="GV24" s="51" t="n"/>
      <c r="GW24" s="51" t="n"/>
      <c r="GX24" s="51" t="n"/>
      <c r="GY24" s="51" t="n"/>
      <c r="GZ24" s="51" t="n"/>
      <c r="HA24" s="51" t="n"/>
      <c r="HB24" s="51" t="n"/>
      <c r="HC24" s="51" t="n"/>
      <c r="HD24" s="51" t="n"/>
      <c r="HE24" s="51" t="n"/>
      <c r="HF24" s="51" t="n"/>
      <c r="HG24" s="51" t="n"/>
      <c r="HH24" s="51" t="n"/>
      <c r="HI24" s="51" t="n"/>
      <c r="HJ24" s="51" t="n"/>
      <c r="HK24" s="51" t="n"/>
      <c r="HL24" s="51" t="n"/>
      <c r="HM24" s="51" t="n"/>
      <c r="HN24" s="51" t="n"/>
      <c r="HO24" s="51" t="n"/>
      <c r="HP24" s="51" t="n"/>
      <c r="HQ24" s="51" t="n"/>
      <c r="HR24" s="51" t="n"/>
      <c r="HS24" s="51" t="n"/>
      <c r="HT24" s="51" t="n"/>
      <c r="HU24" s="51" t="n"/>
      <c r="HV24" s="51" t="n"/>
      <c r="HW24" s="51" t="n"/>
      <c r="HX24" s="51" t="n"/>
      <c r="HY24" s="51" t="n"/>
      <c r="HZ24" s="51" t="n"/>
      <c r="IA24" s="51" t="n"/>
      <c r="IB24" s="51" t="n"/>
      <c r="IC24" s="51" t="n"/>
      <c r="ID24" s="51" t="n"/>
      <c r="IE24" s="51" t="n"/>
      <c r="IF24" s="51" t="n"/>
      <c r="IG24" s="51" t="n"/>
      <c r="IH24" s="51" t="n"/>
      <c r="II24" s="51" t="n"/>
      <c r="IJ24" s="51" t="n"/>
      <c r="IK24" s="51" t="n"/>
      <c r="IL24" s="51" t="n"/>
      <c r="IM24" s="51" t="n"/>
      <c r="IN24" s="51" t="n"/>
      <c r="IO24" s="51" t="n"/>
      <c r="IP24" s="51" t="n"/>
      <c r="IQ24" s="51" t="n"/>
      <c r="IR24" s="51" t="n"/>
      <c r="IS24" s="51" t="n"/>
      <c r="IT24" s="51" t="n"/>
      <c r="IU24" s="51" t="n"/>
      <c r="IV24" s="51" t="n"/>
      <c r="IW24" s="51" t="n"/>
      <c r="IX24" s="51" t="n"/>
      <c r="IY24" s="51" t="n"/>
      <c r="IZ24" s="51" t="n"/>
      <c r="JA24" s="51" t="n"/>
      <c r="JB24" s="51" t="n"/>
      <c r="JC24" s="51" t="n"/>
      <c r="JD24" s="51" t="n"/>
      <c r="JE24" s="51" t="n"/>
      <c r="JF24" s="51" t="n"/>
      <c r="JG24" s="51" t="n"/>
      <c r="JH24" s="51" t="n"/>
      <c r="JI24" s="51" t="n"/>
      <c r="JJ24" s="51" t="n"/>
      <c r="JK24" s="51" t="n"/>
      <c r="JL24" s="51" t="n"/>
      <c r="JM24" s="51" t="n"/>
      <c r="JN24" s="51" t="n"/>
      <c r="JO24" s="51" t="n"/>
      <c r="JP24" s="51" t="n"/>
      <c r="JQ24" s="51" t="n"/>
      <c r="JR24" s="51" t="n"/>
      <c r="JS24" s="51" t="n"/>
      <c r="JT24" s="51" t="n"/>
      <c r="JU24" s="51" t="n"/>
      <c r="JV24" s="51" t="n"/>
      <c r="JW24" s="51" t="n"/>
      <c r="JX24" s="51" t="n"/>
      <c r="JY24" s="51" t="n"/>
      <c r="JZ24" s="51" t="n"/>
      <c r="KA24" s="51" t="n"/>
      <c r="KB24" s="51" t="n"/>
      <c r="KC24" s="51" t="n"/>
      <c r="KD24" s="51" t="n"/>
      <c r="KE24" s="51" t="n"/>
      <c r="KF24" s="51" t="n"/>
      <c r="KG24" s="51" t="n"/>
      <c r="KH24" s="51" t="n"/>
      <c r="KI24" s="51" t="n"/>
      <c r="KJ24" s="51" t="n"/>
      <c r="KK24" s="51" t="n"/>
      <c r="KL24" s="51" t="n"/>
      <c r="KM24" s="51" t="n"/>
      <c r="KN24" s="51" t="n"/>
      <c r="KO24" s="51" t="n"/>
      <c r="KP24" s="51" t="n"/>
      <c r="KQ24" s="51" t="n"/>
      <c r="KR24" s="51" t="n"/>
      <c r="KS24" s="51" t="n"/>
      <c r="KT24" s="51" t="n"/>
      <c r="KU24" s="51" t="n"/>
      <c r="KV24" s="51" t="n"/>
      <c r="KW24" s="51" t="n"/>
      <c r="KX24" s="51" t="n"/>
      <c r="KY24" s="51" t="n"/>
      <c r="KZ24" s="51" t="n"/>
      <c r="LA24" s="51" t="n"/>
      <c r="LB24" s="51" t="n"/>
      <c r="LC24" s="51" t="n"/>
      <c r="LD24" s="51" t="n"/>
      <c r="LE24" s="51" t="n"/>
      <c r="LF24" s="51" t="n"/>
      <c r="LG24" s="51" t="n"/>
      <c r="LH24" s="51" t="n"/>
      <c r="LI24" s="51" t="n"/>
      <c r="LJ24" s="51" t="n"/>
      <c r="LK24" s="51" t="n"/>
      <c r="LL24" s="51" t="n"/>
      <c r="LM24" s="51" t="n"/>
      <c r="LN24" s="51" t="n"/>
      <c r="LO24" s="51" t="n"/>
      <c r="LP24" s="51" t="n"/>
      <c r="LQ24" s="51" t="n"/>
      <c r="LR24" s="51" t="n"/>
      <c r="LS24" s="51" t="n"/>
      <c r="LT24" s="51" t="n"/>
      <c r="LU24" s="51" t="n"/>
      <c r="LV24" s="51" t="n"/>
      <c r="LW24" s="51" t="n"/>
      <c r="LX24" s="51" t="n"/>
      <c r="LY24" s="51" t="n"/>
      <c r="LZ24" s="51" t="n"/>
      <c r="MA24" s="51" t="n"/>
      <c r="MB24" s="51" t="n"/>
      <c r="MC24" s="51" t="n"/>
      <c r="MD24" s="51" t="n"/>
      <c r="ME24" s="51" t="n"/>
      <c r="MF24" s="51" t="n"/>
      <c r="MG24" s="51" t="n"/>
      <c r="MH24" s="51" t="n"/>
      <c r="MI24" s="51" t="n"/>
      <c r="MJ24" s="51" t="n"/>
      <c r="MK24" s="51" t="n"/>
      <c r="ML24" s="51" t="n"/>
      <c r="MM24" s="51" t="n"/>
      <c r="MN24" s="51" t="n"/>
      <c r="MO24" s="51" t="n"/>
      <c r="MP24" s="51" t="n"/>
      <c r="MQ24" s="51" t="n"/>
      <c r="MR24" s="51" t="n"/>
      <c r="MS24" s="51" t="n"/>
      <c r="MT24" s="51" t="n"/>
      <c r="MU24" s="51" t="n"/>
      <c r="MV24" s="51" t="n"/>
      <c r="MW24" s="51" t="n"/>
      <c r="MX24" s="51" t="n"/>
      <c r="MY24" s="51" t="n"/>
      <c r="MZ24" s="51" t="n"/>
      <c r="NA24" s="51" t="n"/>
      <c r="NB24" s="51" t="n"/>
      <c r="NC24" s="51" t="n"/>
      <c r="ND24" s="51" t="n"/>
      <c r="NE24" s="51" t="n"/>
      <c r="NF24" s="51" t="n"/>
      <c r="NG24" s="51" t="n"/>
      <c r="NH24" s="51" t="n"/>
      <c r="NI24" s="51" t="n"/>
      <c r="NJ24" s="51" t="n"/>
      <c r="NK24" s="51" t="n"/>
      <c r="NL24" s="51" t="n"/>
      <c r="NM24" s="51" t="n"/>
      <c r="NN24" s="51" t="n"/>
      <c r="NO24" s="51" t="n"/>
      <c r="NP24" s="51" t="n"/>
      <c r="NQ24" s="51" t="n"/>
      <c r="NR24" s="51" t="n"/>
      <c r="NS24" s="51" t="n"/>
      <c r="NT24" s="51" t="n"/>
      <c r="NU24" s="51" t="n"/>
      <c r="NV24" s="51" t="n"/>
      <c r="NW24" s="51" t="n"/>
      <c r="NX24" s="51" t="n"/>
      <c r="NY24" s="51" t="n"/>
      <c r="NZ24" s="51" t="n"/>
      <c r="OA24" s="51" t="n"/>
      <c r="OB24" s="51" t="n"/>
      <c r="OC24" s="51" t="n"/>
      <c r="OD24" s="51" t="n"/>
      <c r="OE24" s="51" t="n"/>
      <c r="OF24" s="51" t="n"/>
      <c r="OG24" s="51" t="n"/>
      <c r="OH24" s="51" t="n"/>
      <c r="OI24" s="51" t="n"/>
      <c r="OJ24" s="51" t="n"/>
      <c r="OK24" s="51" t="n"/>
      <c r="OL24" s="51" t="n"/>
      <c r="OM24" s="51" t="n"/>
      <c r="ON24" s="51" t="n"/>
      <c r="OO24" s="51" t="n"/>
      <c r="OP24" s="51" t="n"/>
      <c r="OQ24" s="51" t="n"/>
      <c r="OR24" s="51" t="n"/>
      <c r="OS24" s="51" t="n"/>
      <c r="OT24" s="51" t="n"/>
      <c r="OU24" s="51" t="n"/>
      <c r="OV24" s="51" t="n"/>
      <c r="OW24" s="51" t="n"/>
      <c r="OX24" s="51" t="n"/>
      <c r="OY24" s="51" t="n"/>
      <c r="OZ24" s="51" t="n"/>
      <c r="PA24" s="51" t="n"/>
      <c r="PB24" s="51" t="n"/>
      <c r="PC24" s="51" t="n"/>
      <c r="PD24" s="51" t="n"/>
      <c r="PE24" s="51" t="n"/>
      <c r="PF24" s="51" t="n"/>
      <c r="PG24" s="51" t="n"/>
      <c r="PH24" s="51" t="n"/>
      <c r="PI24" s="51" t="n"/>
      <c r="PJ24" s="51" t="n"/>
      <c r="PK24" s="51" t="n"/>
      <c r="PL24" s="51" t="n"/>
      <c r="PM24" s="51" t="n"/>
      <c r="PN24" s="51" t="n"/>
      <c r="PO24" s="51" t="n"/>
      <c r="PP24" s="51" t="n"/>
      <c r="PQ24" s="51" t="n"/>
      <c r="PR24" s="51" t="n"/>
      <c r="PS24" s="51" t="n"/>
      <c r="PT24" s="51" t="n"/>
      <c r="PU24" s="51" t="n"/>
      <c r="PV24" s="51" t="n"/>
      <c r="PW24" s="51" t="n"/>
      <c r="PX24" s="51" t="n"/>
      <c r="PY24" s="51" t="n"/>
      <c r="PZ24" s="51" t="n"/>
      <c r="QA24" s="51" t="n"/>
      <c r="QB24" s="51" t="n"/>
      <c r="QC24" s="51" t="n"/>
      <c r="QD24" s="51" t="n"/>
      <c r="QE24" s="51" t="n"/>
      <c r="QF24" s="51" t="n"/>
      <c r="QG24" s="51" t="n"/>
      <c r="QH24" s="51" t="n"/>
      <c r="QI24" s="51" t="n"/>
      <c r="QJ24" s="51" t="n"/>
      <c r="QK24" s="51" t="n"/>
      <c r="QL24" s="51" t="n"/>
      <c r="QM24" s="51" t="n"/>
      <c r="QN24" s="51" t="n"/>
      <c r="QO24" s="51" t="n"/>
      <c r="QP24" s="51" t="n"/>
      <c r="QQ24" s="51" t="n"/>
      <c r="QR24" s="51" t="n"/>
      <c r="QS24" s="51" t="n"/>
      <c r="QT24" s="51" t="n"/>
      <c r="QU24" s="51" t="n"/>
      <c r="QV24" s="51" t="n"/>
      <c r="QW24" s="51" t="n"/>
      <c r="QX24" s="51" t="n"/>
      <c r="QY24" s="51" t="n"/>
      <c r="QZ24" s="51" t="n"/>
      <c r="RA24" s="51" t="n"/>
      <c r="RB24" s="51" t="n"/>
      <c r="RC24" s="51" t="n"/>
      <c r="RD24" s="51" t="n"/>
      <c r="RE24" s="51" t="n"/>
      <c r="RF24" s="51" t="n"/>
      <c r="RG24" s="51" t="n"/>
      <c r="RH24" s="51" t="n"/>
      <c r="RI24" s="51" t="n"/>
      <c r="RJ24" s="51" t="n"/>
      <c r="RK24" s="51" t="n"/>
      <c r="RL24" s="51" t="n"/>
      <c r="RM24" s="51" t="n"/>
      <c r="RN24" s="51" t="n"/>
      <c r="RO24" s="51" t="n"/>
      <c r="RP24" s="51" t="n"/>
      <c r="RQ24" s="51" t="n"/>
      <c r="RR24" s="51" t="n"/>
      <c r="RS24" s="51" t="n"/>
      <c r="RT24" s="51" t="n"/>
      <c r="RU24" s="51" t="n"/>
      <c r="RV24" s="51" t="n"/>
      <c r="RW24" s="51" t="n"/>
      <c r="RX24" s="51" t="n"/>
      <c r="RY24" s="51" t="n"/>
      <c r="RZ24" s="51" t="n"/>
      <c r="SA24" s="51" t="n"/>
      <c r="SB24" s="51" t="n"/>
      <c r="SC24" s="51" t="n"/>
      <c r="SD24" s="51" t="n"/>
      <c r="SE24" s="51" t="n"/>
      <c r="SF24" s="51" t="n"/>
      <c r="SG24" s="51" t="n"/>
      <c r="SH24" s="51" t="n"/>
      <c r="SI24" s="51" t="n"/>
      <c r="SJ24" s="51" t="n"/>
      <c r="SK24" s="51" t="n"/>
      <c r="SL24" s="51" t="n"/>
      <c r="SM24" s="51" t="n"/>
      <c r="SN24" s="51" t="n"/>
      <c r="SO24" s="51" t="n"/>
      <c r="SP24" s="51" t="n"/>
      <c r="SQ24" s="51" t="n"/>
      <c r="SR24" s="51" t="n"/>
      <c r="SS24" s="51" t="n"/>
      <c r="ST24" s="51" t="n"/>
      <c r="SU24" s="51" t="n"/>
      <c r="SV24" s="51" t="n"/>
      <c r="SW24" s="51" t="n"/>
      <c r="SX24" s="51" t="n"/>
      <c r="SY24" s="51" t="n"/>
      <c r="SZ24" s="51" t="n"/>
      <c r="TA24" s="51" t="n"/>
      <c r="TB24" s="51" t="n"/>
      <c r="TC24" s="51" t="n"/>
      <c r="TD24" s="51" t="n"/>
      <c r="TE24" s="51" t="n"/>
      <c r="TF24" s="51" t="n"/>
      <c r="TG24" s="51" t="n"/>
      <c r="TH24" s="51" t="n"/>
      <c r="TI24" s="51" t="n"/>
      <c r="TJ24" s="51" t="n"/>
      <c r="TK24" s="51" t="n"/>
      <c r="TL24" s="51" t="n"/>
      <c r="TM24" s="51" t="n"/>
      <c r="TN24" s="51" t="n"/>
      <c r="TO24" s="51" t="n"/>
      <c r="TP24" s="51" t="n"/>
      <c r="TQ24" s="51" t="n"/>
      <c r="TR24" s="51" t="n"/>
      <c r="TS24" s="51" t="n"/>
      <c r="TT24" s="51" t="n"/>
      <c r="TU24" s="51" t="n"/>
      <c r="TV24" s="51" t="n"/>
      <c r="TW24" s="51" t="n"/>
      <c r="TX24" s="51" t="n"/>
      <c r="TY24" s="51" t="n"/>
      <c r="TZ24" s="51" t="n"/>
      <c r="UA24" s="51" t="n"/>
      <c r="UB24" s="51" t="n"/>
      <c r="UC24" s="51" t="n"/>
      <c r="UD24" s="51" t="n"/>
      <c r="UE24" s="51" t="n"/>
      <c r="UF24" s="51" t="n"/>
      <c r="UG24" s="51" t="n"/>
      <c r="UH24" s="51" t="n"/>
      <c r="UI24" s="51" t="n"/>
      <c r="UJ24" s="51" t="n"/>
      <c r="UK24" s="51" t="n"/>
      <c r="UL24" s="51" t="n"/>
      <c r="UM24" s="51" t="n"/>
      <c r="UN24" s="51" t="n"/>
      <c r="UO24" s="51" t="n"/>
      <c r="UP24" s="51" t="n"/>
      <c r="UQ24" s="51" t="n"/>
      <c r="UR24" s="51" t="n"/>
      <c r="US24" s="51" t="n"/>
      <c r="UT24" s="51" t="n"/>
      <c r="UU24" s="51" t="n"/>
      <c r="UV24" s="51" t="n"/>
      <c r="UW24" s="51" t="n"/>
      <c r="UX24" s="51" t="n"/>
      <c r="UY24" s="51" t="n"/>
      <c r="UZ24" s="51" t="n"/>
      <c r="VA24" s="51" t="n"/>
      <c r="VB24" s="51" t="n"/>
      <c r="VC24" s="51" t="n"/>
      <c r="VD24" s="51" t="n"/>
      <c r="VE24" s="51" t="n"/>
      <c r="VF24" s="51" t="n"/>
      <c r="VG24" s="51" t="n"/>
      <c r="VH24" s="51" t="n"/>
      <c r="VI24" s="51" t="n"/>
      <c r="VJ24" s="51" t="n"/>
      <c r="VK24" s="51" t="n"/>
      <c r="VL24" s="51" t="n"/>
      <c r="VM24" s="51" t="n"/>
      <c r="VN24" s="51" t="n"/>
      <c r="VO24" s="51" t="n"/>
      <c r="VP24" s="51" t="n"/>
      <c r="VQ24" s="51" t="n"/>
      <c r="VR24" s="51" t="n"/>
      <c r="VS24" s="51" t="n"/>
      <c r="VT24" s="51" t="n"/>
      <c r="VU24" s="51" t="n"/>
      <c r="VV24" s="51" t="n"/>
      <c r="VW24" s="51" t="n"/>
      <c r="VX24" s="51" t="n"/>
      <c r="VY24" s="51" t="n"/>
      <c r="VZ24" s="51" t="n"/>
      <c r="WA24" s="51" t="n"/>
      <c r="WB24" s="51" t="n"/>
      <c r="WC24" s="51" t="n"/>
      <c r="WD24" s="51" t="n"/>
      <c r="WE24" s="51" t="n"/>
      <c r="WF24" s="51" t="n"/>
      <c r="WG24" s="51" t="n"/>
      <c r="WH24" s="51" t="n"/>
      <c r="WI24" s="51" t="n"/>
      <c r="WJ24" s="51" t="n"/>
      <c r="WK24" s="51" t="n"/>
      <c r="WL24" s="51" t="n"/>
      <c r="WM24" s="51" t="n"/>
      <c r="WN24" s="51" t="n"/>
      <c r="WO24" s="51" t="n"/>
      <c r="WP24" s="51" t="n"/>
      <c r="WQ24" s="51" t="n"/>
      <c r="WR24" s="51" t="n"/>
      <c r="WS24" s="51" t="n"/>
      <c r="WT24" s="51" t="n"/>
      <c r="WU24" s="51" t="n"/>
      <c r="WV24" s="51" t="n"/>
      <c r="WW24" s="51" t="n"/>
      <c r="WX24" s="51" t="n"/>
      <c r="WY24" s="51" t="n"/>
      <c r="WZ24" s="51" t="n"/>
      <c r="XA24" s="51" t="n"/>
      <c r="XB24" s="51" t="n"/>
      <c r="XC24" s="51" t="n"/>
      <c r="XD24" s="51" t="n"/>
      <c r="XE24" s="51" t="n"/>
      <c r="XF24" s="51" t="n"/>
      <c r="XG24" s="51" t="n"/>
      <c r="XH24" s="51" t="n"/>
      <c r="XI24" s="51" t="n"/>
      <c r="XJ24" s="51" t="n"/>
      <c r="XK24" s="51" t="n"/>
      <c r="XL24" s="51" t="n"/>
      <c r="XM24" s="51" t="n"/>
      <c r="XN24" s="51" t="n"/>
      <c r="XO24" s="51" t="n"/>
      <c r="XP24" s="51" t="n"/>
      <c r="XQ24" s="51" t="n"/>
      <c r="XR24" s="51" t="n"/>
      <c r="XS24" s="51" t="n"/>
      <c r="XT24" s="51" t="n"/>
      <c r="XU24" s="51" t="n"/>
      <c r="XV24" s="51" t="n"/>
      <c r="XW24" s="51" t="n"/>
      <c r="XX24" s="51" t="n"/>
      <c r="XY24" s="51" t="n"/>
      <c r="XZ24" s="51" t="n"/>
      <c r="YA24" s="51" t="n"/>
      <c r="YB24" s="51" t="n"/>
      <c r="YC24" s="51" t="n"/>
      <c r="YD24" s="51" t="n"/>
      <c r="YE24" s="51" t="n"/>
      <c r="YF24" s="51" t="n"/>
      <c r="YG24" s="51" t="n"/>
      <c r="YH24" s="51" t="n"/>
      <c r="YI24" s="51" t="n"/>
      <c r="YJ24" s="51" t="n"/>
      <c r="YK24" s="51" t="n"/>
      <c r="YL24" s="51" t="n"/>
      <c r="YM24" s="51" t="n"/>
      <c r="YN24" s="51" t="n"/>
      <c r="YO24" s="51" t="n"/>
      <c r="YP24" s="51" t="n"/>
      <c r="YQ24" s="51" t="n"/>
      <c r="YR24" s="51" t="n"/>
      <c r="YS24" s="51" t="n"/>
      <c r="YT24" s="51" t="n"/>
      <c r="YU24" s="51" t="n"/>
      <c r="YV24" s="51" t="n"/>
      <c r="YW24" s="51" t="n"/>
      <c r="YX24" s="51" t="n"/>
      <c r="YY24" s="51" t="n"/>
      <c r="YZ24" s="51" t="n"/>
      <c r="ZA24" s="51" t="n"/>
      <c r="ZB24" s="51" t="n"/>
      <c r="ZC24" s="51" t="n"/>
      <c r="ZD24" s="51" t="n"/>
      <c r="ZE24" s="51" t="n"/>
      <c r="ZF24" s="51" t="n"/>
      <c r="ZG24" s="51" t="n"/>
      <c r="ZH24" s="51" t="n"/>
      <c r="ZI24" s="51" t="n"/>
      <c r="ZJ24" s="51" t="n"/>
      <c r="ZK24" s="51" t="n"/>
      <c r="ZL24" s="51" t="n"/>
      <c r="ZM24" s="51" t="n"/>
      <c r="ZN24" s="51" t="n"/>
      <c r="ZO24" s="51" t="n"/>
      <c r="ZP24" s="51" t="n"/>
      <c r="ZQ24" s="51" t="n"/>
      <c r="ZR24" s="51" t="n"/>
      <c r="ZS24" s="51" t="n"/>
      <c r="ZT24" s="51" t="n"/>
      <c r="ZU24" s="51" t="n"/>
      <c r="ZV24" s="51" t="n"/>
      <c r="ZW24" s="51" t="n"/>
      <c r="ZX24" s="51" t="n"/>
      <c r="ZY24" s="51" t="n"/>
      <c r="ZZ24" s="51" t="n"/>
      <c r="AAA24" s="51" t="n"/>
      <c r="AAB24" s="51" t="n"/>
      <c r="AAC24" s="51" t="n"/>
      <c r="AAD24" s="51" t="n"/>
      <c r="AAE24" s="51" t="n"/>
      <c r="AAF24" s="51" t="n"/>
      <c r="AAG24" s="51" t="n"/>
      <c r="AAH24" s="51" t="n"/>
      <c r="AAI24" s="51" t="n"/>
      <c r="AAJ24" s="51" t="n"/>
      <c r="AAK24" s="51" t="n"/>
      <c r="AAL24" s="51" t="n"/>
      <c r="AAM24" s="51" t="n"/>
      <c r="AAN24" s="51" t="n"/>
      <c r="AAO24" s="51" t="n"/>
      <c r="AAP24" s="51" t="n"/>
      <c r="AAQ24" s="51" t="n"/>
      <c r="AAR24" s="51" t="n"/>
      <c r="AAS24" s="51" t="n"/>
      <c r="AAT24" s="51" t="n"/>
      <c r="AAU24" s="51" t="n"/>
      <c r="AAV24" s="51" t="n"/>
      <c r="AAW24" s="51" t="n"/>
      <c r="AAX24" s="51" t="n"/>
      <c r="AAY24" s="51" t="n"/>
      <c r="AAZ24" s="51" t="n"/>
      <c r="ABA24" s="51" t="n"/>
      <c r="ABB24" s="51" t="n"/>
      <c r="ABC24" s="51" t="n"/>
      <c r="ABD24" s="51" t="n"/>
      <c r="ABE24" s="51" t="n"/>
      <c r="ABF24" s="51" t="n"/>
      <c r="ABG24" s="51" t="n"/>
      <c r="ABH24" s="51" t="n"/>
      <c r="ABI24" s="51" t="n"/>
      <c r="ABJ24" s="51" t="n"/>
      <c r="ABK24" s="51" t="n"/>
      <c r="ABL24" s="51" t="n"/>
      <c r="ABM24" s="51" t="n"/>
      <c r="ABN24" s="51" t="n"/>
      <c r="ABO24" s="51" t="n"/>
      <c r="ABP24" s="51" t="n"/>
      <c r="ABQ24" s="51" t="n"/>
      <c r="ABR24" s="51" t="n"/>
      <c r="ABS24" s="51" t="n"/>
      <c r="ABT24" s="51" t="n"/>
      <c r="ABU24" s="51" t="n"/>
      <c r="ABV24" s="51" t="n"/>
      <c r="ABW24" s="51" t="n"/>
      <c r="ABX24" s="51" t="n"/>
      <c r="ABY24" s="51" t="n"/>
      <c r="ABZ24" s="51" t="n"/>
      <c r="ACA24" s="51" t="n"/>
      <c r="ACB24" s="51" t="n"/>
      <c r="ACC24" s="51" t="n"/>
      <c r="ACD24" s="51" t="n"/>
      <c r="ACE24" s="51" t="n"/>
      <c r="ACF24" s="51" t="n"/>
      <c r="ACG24" s="51" t="n"/>
      <c r="ACH24" s="51" t="n"/>
      <c r="ACI24" s="51" t="n"/>
      <c r="ACJ24" s="51" t="n"/>
      <c r="ACK24" s="51" t="n"/>
      <c r="ACL24" s="51" t="n"/>
      <c r="ACM24" s="51" t="n"/>
      <c r="ACN24" s="51" t="n"/>
      <c r="ACO24" s="51" t="n"/>
      <c r="ACP24" s="51" t="n"/>
      <c r="ACQ24" s="51" t="n"/>
      <c r="ACR24" s="51" t="n"/>
      <c r="ACS24" s="51" t="n"/>
      <c r="ACT24" s="51" t="n"/>
      <c r="ACU24" s="51" t="n"/>
      <c r="ACV24" s="51" t="n"/>
      <c r="ACW24" s="51" t="n"/>
      <c r="ACX24" s="51" t="n"/>
      <c r="ACY24" s="51" t="n"/>
      <c r="ACZ24" s="51" t="n"/>
      <c r="ADA24" s="51" t="n"/>
      <c r="ADB24" s="51" t="n"/>
      <c r="ADC24" s="51" t="n"/>
      <c r="ADD24" s="51" t="n"/>
      <c r="ADE24" s="51" t="n"/>
      <c r="ADF24" s="51" t="n"/>
      <c r="ADG24" s="51" t="n"/>
      <c r="ADH24" s="51" t="n"/>
      <c r="ADI24" s="51" t="n"/>
      <c r="ADJ24" s="51" t="n"/>
      <c r="ADK24" s="51" t="n"/>
      <c r="ADL24" s="51" t="n"/>
      <c r="ADM24" s="51" t="n"/>
      <c r="ADN24" s="51" t="n"/>
      <c r="ADO24" s="51" t="n"/>
      <c r="ADP24" s="51" t="n"/>
      <c r="ADQ24" s="51" t="n"/>
      <c r="ADR24" s="51" t="n"/>
      <c r="ADS24" s="51" t="n"/>
      <c r="ADT24" s="51" t="n"/>
      <c r="ADU24" s="51" t="n"/>
      <c r="ADV24" s="51" t="n"/>
      <c r="ADW24" s="51" t="n"/>
      <c r="ADX24" s="51" t="n"/>
      <c r="ADY24" s="51" t="n"/>
      <c r="ADZ24" s="51" t="n"/>
      <c r="AEA24" s="51" t="n"/>
      <c r="AEB24" s="51" t="n"/>
      <c r="AEC24" s="51" t="n"/>
      <c r="AED24" s="51" t="n"/>
      <c r="AEE24" s="51" t="n"/>
      <c r="AEF24" s="51" t="n"/>
      <c r="AEG24" s="51" t="n"/>
      <c r="AEH24" s="51" t="n"/>
      <c r="AEI24" s="51" t="n"/>
      <c r="AEJ24" s="51" t="n"/>
      <c r="AEK24" s="51" t="n"/>
      <c r="AEL24" s="51" t="n"/>
      <c r="AEM24" s="51" t="n"/>
      <c r="AEN24" s="51" t="n"/>
      <c r="AEO24" s="51" t="n"/>
      <c r="AEP24" s="51" t="n"/>
      <c r="AEQ24" s="51" t="n"/>
      <c r="AER24" s="51" t="n"/>
      <c r="AES24" s="51" t="n"/>
      <c r="AET24" s="51" t="n"/>
      <c r="AEU24" s="51" t="n"/>
      <c r="AEV24" s="51" t="n"/>
      <c r="AEW24" s="51" t="n"/>
      <c r="AEX24" s="51" t="n"/>
      <c r="AEY24" s="51" t="n"/>
      <c r="AEZ24" s="51" t="n"/>
      <c r="AFA24" s="51" t="n"/>
      <c r="AFB24" s="51" t="n"/>
      <c r="AFC24" s="51" t="n"/>
      <c r="AFD24" s="51" t="n"/>
      <c r="AFE24" s="51" t="n"/>
      <c r="AFF24" s="51" t="n"/>
      <c r="AFG24" s="51" t="n"/>
      <c r="AFH24" s="51" t="n"/>
      <c r="AFI24" s="51" t="n"/>
      <c r="AFJ24" s="51" t="n"/>
      <c r="AFK24" s="51" t="n"/>
      <c r="AFL24" s="51" t="n"/>
      <c r="AFM24" s="51" t="n"/>
      <c r="AFN24" s="51" t="n"/>
      <c r="AFO24" s="51" t="n"/>
      <c r="AFP24" s="51" t="n"/>
      <c r="AFQ24" s="51" t="n"/>
      <c r="AFR24" s="51" t="n"/>
      <c r="AFS24" s="51" t="n"/>
      <c r="AFT24" s="51" t="n"/>
      <c r="AFU24" s="51" t="n"/>
      <c r="AFV24" s="51" t="n"/>
      <c r="AFW24" s="51" t="n"/>
      <c r="AFX24" s="51" t="n"/>
      <c r="AFY24" s="51" t="n"/>
      <c r="AFZ24" s="51" t="n"/>
      <c r="AGA24" s="51" t="n"/>
      <c r="AGB24" s="51" t="n"/>
      <c r="AGC24" s="51" t="n"/>
      <c r="AGD24" s="51" t="n"/>
      <c r="AGE24" s="51" t="n"/>
      <c r="AGF24" s="51" t="n"/>
      <c r="AGG24" s="51" t="n"/>
      <c r="AGH24" s="51" t="n"/>
      <c r="AGI24" s="51" t="n"/>
      <c r="AGJ24" s="51" t="n"/>
      <c r="AGK24" s="51" t="n"/>
      <c r="AGL24" s="51" t="n"/>
      <c r="AGM24" s="51" t="n"/>
      <c r="AGN24" s="51" t="n"/>
      <c r="AGO24" s="51" t="n"/>
      <c r="AGP24" s="51" t="n"/>
      <c r="AGQ24" s="51" t="n"/>
      <c r="AGR24" s="51" t="n"/>
      <c r="AGS24" s="51" t="n"/>
      <c r="AGT24" s="51" t="n"/>
      <c r="AGU24" s="51" t="n"/>
      <c r="AGV24" s="51" t="n"/>
      <c r="AGW24" s="51" t="n"/>
      <c r="AGX24" s="51" t="n"/>
      <c r="AGY24" s="51" t="n"/>
      <c r="AGZ24" s="51" t="n"/>
      <c r="AHA24" s="51" t="n"/>
      <c r="AHB24" s="51" t="n"/>
      <c r="AHC24" s="51" t="n"/>
      <c r="AHD24" s="51" t="n"/>
      <c r="AHE24" s="51" t="n"/>
      <c r="AHF24" s="51" t="n"/>
      <c r="AHG24" s="51" t="n"/>
      <c r="AHH24" s="51" t="n"/>
      <c r="AHI24" s="51" t="n"/>
      <c r="AHJ24" s="51" t="n"/>
      <c r="AHK24" s="51" t="n"/>
      <c r="AHL24" s="51" t="n"/>
      <c r="AHM24" s="51" t="n"/>
      <c r="AHN24" s="51" t="n"/>
      <c r="AHO24" s="51" t="n"/>
      <c r="AHP24" s="51" t="n"/>
      <c r="AHQ24" s="51" t="n"/>
      <c r="AHR24" s="51" t="n"/>
      <c r="AHS24" s="51" t="n"/>
      <c r="AHT24" s="51" t="n"/>
      <c r="AHU24" s="51" t="n"/>
      <c r="AHV24" s="51" t="n"/>
      <c r="AHW24" s="51" t="n"/>
      <c r="AHX24" s="51" t="n"/>
      <c r="AHY24" s="51" t="n"/>
      <c r="AHZ24" s="51" t="n"/>
      <c r="AIA24" s="51" t="n"/>
      <c r="AIB24" s="51" t="n"/>
      <c r="AIC24" s="51" t="n"/>
      <c r="AID24" s="51" t="n"/>
      <c r="AIE24" s="51" t="n"/>
      <c r="AIF24" s="51" t="n"/>
      <c r="AIG24" s="51" t="n"/>
      <c r="AIH24" s="51" t="n"/>
      <c r="AII24" s="51" t="n"/>
      <c r="AIJ24" s="51" t="n"/>
      <c r="AIK24" s="51" t="n"/>
      <c r="AIL24" s="51" t="n"/>
      <c r="AIM24" s="51" t="n"/>
      <c r="AIN24" s="51" t="n"/>
      <c r="AIO24" s="51" t="n"/>
      <c r="AIP24" s="51" t="n"/>
      <c r="AIQ24" s="51" t="n"/>
      <c r="AIR24" s="51" t="n"/>
      <c r="AIS24" s="51" t="n"/>
      <c r="AIT24" s="51" t="n"/>
      <c r="AIU24" s="51" t="n"/>
      <c r="AIV24" s="51" t="n"/>
      <c r="AIW24" s="51" t="n"/>
      <c r="AIX24" s="51" t="n"/>
      <c r="AIY24" s="51" t="n"/>
      <c r="AIZ24" s="51" t="n"/>
      <c r="AJA24" s="51" t="n"/>
      <c r="AJB24" s="51" t="n"/>
      <c r="AJC24" s="51" t="n"/>
      <c r="AJD24" s="51" t="n"/>
      <c r="AJE24" s="51" t="n"/>
      <c r="AJF24" s="51" t="n"/>
      <c r="AJG24" s="51" t="n"/>
      <c r="AJH24" s="51" t="n"/>
      <c r="AJI24" s="51" t="n"/>
      <c r="AJJ24" s="51" t="n"/>
      <c r="AJK24" s="51" t="n"/>
      <c r="AJL24" s="51" t="n"/>
      <c r="AJM24" s="51" t="n"/>
      <c r="AJN24" s="51" t="n"/>
      <c r="AJO24" s="51" t="n"/>
      <c r="AJP24" s="51" t="n"/>
      <c r="AJQ24" s="51" t="n"/>
      <c r="AJR24" s="51" t="n"/>
      <c r="AJS24" s="51" t="n"/>
      <c r="AJT24" s="51" t="n"/>
      <c r="AJU24" s="51" t="n"/>
      <c r="AJV24" s="51" t="n"/>
      <c r="AJW24" s="51" t="n"/>
      <c r="AJX24" s="51" t="n"/>
      <c r="AJY24" s="51" t="n"/>
      <c r="AJZ24" s="51" t="n"/>
      <c r="AKA24" s="51" t="n"/>
      <c r="AKB24" s="51" t="n"/>
      <c r="AKC24" s="51" t="n"/>
      <c r="AKD24" s="51" t="n"/>
      <c r="AKE24" s="51" t="n"/>
      <c r="AKF24" s="51" t="n"/>
      <c r="AKG24" s="51" t="n"/>
      <c r="AKH24" s="51" t="n"/>
      <c r="AKI24" s="51" t="n"/>
      <c r="AKJ24" s="51" t="n"/>
      <c r="AKK24" s="51" t="n"/>
      <c r="AKL24" s="51" t="n"/>
      <c r="AKM24" s="51" t="n"/>
      <c r="AKN24" s="51" t="n"/>
      <c r="AKO24" s="51" t="n"/>
      <c r="AKP24" s="51" t="n"/>
      <c r="AKQ24" s="51" t="n"/>
      <c r="AKR24" s="51" t="n"/>
      <c r="AKS24" s="51" t="n"/>
      <c r="AKT24" s="51" t="n"/>
      <c r="AKU24" s="51" t="n"/>
      <c r="AKV24" s="51" t="n"/>
      <c r="AKW24" s="51" t="n"/>
      <c r="AKX24" s="51" t="n"/>
      <c r="AKY24" s="51" t="n"/>
      <c r="AKZ24" s="51" t="n"/>
      <c r="ALA24" s="51" t="n"/>
      <c r="ALB24" s="51" t="n"/>
      <c r="ALC24" s="51" t="n"/>
      <c r="ALD24" s="51" t="n"/>
      <c r="ALE24" s="51" t="n"/>
      <c r="ALF24" s="51" t="n"/>
      <c r="ALG24" s="51" t="n"/>
      <c r="ALH24" s="51" t="n"/>
      <c r="ALI24" s="51" t="n"/>
      <c r="ALJ24" s="51" t="n"/>
      <c r="ALK24" s="51" t="n"/>
      <c r="ALL24" s="51" t="n"/>
      <c r="ALM24" s="51" t="n"/>
      <c r="ALN24" s="51" t="n"/>
      <c r="ALO24" s="51" t="n"/>
      <c r="ALP24" s="51" t="n"/>
      <c r="ALQ24" s="51" t="n"/>
      <c r="ALR24" s="51" t="n"/>
      <c r="ALS24" s="51" t="n"/>
      <c r="ALT24" s="51" t="n"/>
      <c r="ALU24" s="51" t="n"/>
      <c r="ALV24" s="51" t="n"/>
      <c r="ALW24" s="51" t="n"/>
      <c r="ALX24" s="51" t="n"/>
      <c r="ALY24" s="51" t="n"/>
      <c r="ALZ24" s="51" t="n"/>
      <c r="AMA24" s="51" t="n"/>
      <c r="AMB24" s="51" t="n"/>
      <c r="AMC24" s="51" t="n"/>
      <c r="AMD24" s="51" t="n"/>
      <c r="AME24" s="51" t="n"/>
      <c r="AMF24" s="51" t="n"/>
      <c r="AMG24" s="51" t="n"/>
      <c r="AMH24" s="51" t="n"/>
      <c r="AMI24" s="51" t="n"/>
      <c r="AMJ24" s="51" t="n"/>
      <c r="AMK24" s="51" t="n"/>
      <c r="AML24" s="51" t="n"/>
      <c r="AMM24" s="51" t="n"/>
      <c r="AMN24" s="51" t="n"/>
      <c r="AMO24" s="51" t="n"/>
      <c r="AMP24" s="51" t="n"/>
      <c r="AMQ24" s="51" t="n"/>
      <c r="AMR24" s="51" t="n"/>
      <c r="AMS24" s="51" t="n"/>
      <c r="AMT24" s="51" t="n"/>
      <c r="AMU24" s="51" t="n"/>
      <c r="AMV24" s="51" t="n"/>
      <c r="AMW24" s="51" t="n"/>
      <c r="AMX24" s="51" t="n"/>
      <c r="AMY24" s="51" t="n"/>
      <c r="AMZ24" s="51" t="n"/>
      <c r="ANA24" s="51" t="n"/>
      <c r="ANB24" s="51" t="n"/>
      <c r="ANC24" s="51" t="n"/>
      <c r="AND24" s="51" t="n"/>
      <c r="ANE24" s="51" t="n"/>
      <c r="ANF24" s="51" t="n"/>
      <c r="ANG24" s="51" t="n"/>
      <c r="ANH24" s="51" t="n"/>
      <c r="ANI24" s="51" t="n"/>
      <c r="ANJ24" s="51" t="n"/>
      <c r="ANK24" s="51" t="n"/>
      <c r="ANL24" s="51" t="n"/>
      <c r="ANM24" s="51" t="n"/>
      <c r="ANN24" s="51" t="n"/>
      <c r="ANO24" s="51" t="n"/>
      <c r="ANP24" s="51" t="n"/>
      <c r="ANQ24" s="51" t="n"/>
      <c r="ANR24" s="51" t="n"/>
      <c r="ANS24" s="51" t="n"/>
      <c r="ANT24" s="51" t="n"/>
      <c r="ANU24" s="51" t="n"/>
      <c r="ANV24" s="51" t="n"/>
      <c r="ANW24" s="51" t="n"/>
      <c r="ANX24" s="51" t="n"/>
      <c r="ANY24" s="51" t="n"/>
      <c r="ANZ24" s="51" t="n"/>
      <c r="AOA24" s="51" t="n"/>
      <c r="AOB24" s="51" t="n"/>
      <c r="AOC24" s="51" t="n"/>
      <c r="AOD24" s="51" t="n"/>
      <c r="AOE24" s="51" t="n"/>
      <c r="AOF24" s="51" t="n"/>
      <c r="AOG24" s="51" t="n"/>
      <c r="AOH24" s="51" t="n"/>
      <c r="AOI24" s="51" t="n"/>
      <c r="AOJ24" s="51" t="n"/>
      <c r="AOK24" s="51" t="n"/>
      <c r="AOL24" s="51" t="n"/>
      <c r="AOM24" s="51" t="n"/>
      <c r="AON24" s="51" t="n"/>
      <c r="AOO24" s="51" t="n"/>
      <c r="AOP24" s="51" t="n"/>
      <c r="AOQ24" s="51" t="n"/>
      <c r="AOR24" s="51" t="n"/>
      <c r="AOS24" s="51" t="n"/>
      <c r="AOT24" s="51" t="n"/>
      <c r="AOU24" s="51" t="n"/>
      <c r="AOV24" s="51" t="n"/>
      <c r="AOW24" s="51" t="n"/>
      <c r="AOX24" s="51" t="n"/>
      <c r="AOY24" s="51" t="n"/>
      <c r="AOZ24" s="51" t="n"/>
      <c r="APA24" s="51" t="n"/>
      <c r="APB24" s="51" t="n"/>
      <c r="APC24" s="51" t="n"/>
      <c r="APD24" s="51" t="n"/>
      <c r="APE24" s="51" t="n"/>
      <c r="APF24" s="51" t="n"/>
      <c r="APG24" s="51" t="n"/>
      <c r="APH24" s="51" t="n"/>
      <c r="API24" s="51" t="n"/>
      <c r="APJ24" s="51" t="n"/>
      <c r="APK24" s="51" t="n"/>
      <c r="APL24" s="51" t="n"/>
      <c r="APM24" s="51" t="n"/>
      <c r="APN24" s="51" t="n"/>
      <c r="APO24" s="51" t="n"/>
      <c r="APP24" s="51" t="n"/>
      <c r="APQ24" s="51" t="n"/>
      <c r="APR24" s="51" t="n"/>
      <c r="APS24" s="51" t="n"/>
      <c r="APT24" s="51" t="n"/>
      <c r="APU24" s="51" t="n"/>
      <c r="APV24" s="51" t="n"/>
      <c r="APW24" s="51" t="n"/>
      <c r="APX24" s="51" t="n"/>
      <c r="APY24" s="51" t="n"/>
      <c r="APZ24" s="51" t="n"/>
      <c r="AQA24" s="51" t="n"/>
      <c r="AQB24" s="51" t="n"/>
      <c r="AQC24" s="51" t="n"/>
      <c r="AQD24" s="51" t="n"/>
      <c r="AQE24" s="51" t="n"/>
      <c r="AQF24" s="51" t="n"/>
      <c r="AQG24" s="51" t="n"/>
      <c r="AQH24" s="51" t="n"/>
      <c r="AQI24" s="51" t="n"/>
      <c r="AQJ24" s="51" t="n"/>
      <c r="AQK24" s="51" t="n"/>
      <c r="AQL24" s="51" t="n"/>
      <c r="AQM24" s="51" t="n"/>
      <c r="AQN24" s="51" t="n"/>
      <c r="AQO24" s="51" t="n"/>
      <c r="AQP24" s="51" t="n"/>
      <c r="AQQ24" s="51" t="n"/>
      <c r="AQR24" s="51" t="n"/>
      <c r="AQS24" s="51" t="n"/>
      <c r="AQT24" s="51" t="n"/>
      <c r="AQU24" s="51" t="n"/>
      <c r="AQV24" s="51" t="n"/>
      <c r="AQW24" s="51" t="n"/>
      <c r="AQX24" s="51" t="n"/>
      <c r="AQY24" s="51" t="n"/>
      <c r="AQZ24" s="51" t="n"/>
      <c r="ARA24" s="51" t="n"/>
      <c r="ARB24" s="51" t="n"/>
      <c r="ARC24" s="51" t="n"/>
      <c r="ARD24" s="51" t="n"/>
      <c r="ARE24" s="51" t="n"/>
      <c r="ARF24" s="51" t="n"/>
      <c r="ARG24" s="51" t="n"/>
      <c r="ARH24" s="51" t="n"/>
      <c r="ARI24" s="51" t="n"/>
      <c r="ARJ24" s="51" t="n"/>
      <c r="ARK24" s="51" t="n"/>
      <c r="ARL24" s="51" t="n"/>
      <c r="ARM24" s="51" t="n"/>
      <c r="ARN24" s="51" t="n"/>
      <c r="ARO24" s="51" t="n"/>
      <c r="ARP24" s="51" t="n"/>
      <c r="ARQ24" s="51" t="n"/>
      <c r="ARR24" s="51" t="n"/>
      <c r="ARS24" s="51" t="n"/>
      <c r="ART24" s="51" t="n"/>
      <c r="ARU24" s="51" t="n"/>
      <c r="ARV24" s="51" t="n"/>
      <c r="ARW24" s="51" t="n"/>
      <c r="ARX24" s="51" t="n"/>
      <c r="ARY24" s="51" t="n"/>
      <c r="ARZ24" s="51" t="n"/>
      <c r="ASA24" s="51" t="n"/>
      <c r="ASB24" s="51" t="n"/>
      <c r="ASC24" s="51" t="n"/>
      <c r="ASD24" s="51" t="n"/>
      <c r="ASE24" s="51" t="n"/>
      <c r="ASF24" s="51" t="n"/>
      <c r="ASG24" s="51" t="n"/>
      <c r="ASH24" s="51" t="n"/>
      <c r="ASI24" s="51" t="n"/>
      <c r="ASJ24" s="51" t="n"/>
      <c r="ASK24" s="51" t="n"/>
      <c r="ASL24" s="51" t="n"/>
      <c r="ASM24" s="51" t="n"/>
      <c r="ASN24" s="51" t="n"/>
      <c r="ASO24" s="51" t="n"/>
      <c r="ASP24" s="51" t="n"/>
      <c r="ASQ24" s="51" t="n"/>
      <c r="ASR24" s="51" t="n"/>
      <c r="ASS24" s="51" t="n"/>
      <c r="AST24" s="51" t="n"/>
      <c r="ASU24" s="51" t="n"/>
      <c r="ASV24" s="51" t="n"/>
      <c r="ASW24" s="51" t="n"/>
      <c r="ASX24" s="51" t="n"/>
      <c r="ASY24" s="51" t="n"/>
      <c r="ASZ24" s="51" t="n"/>
      <c r="ATA24" s="51" t="n"/>
      <c r="ATB24" s="51" t="n"/>
      <c r="ATC24" s="51" t="n"/>
      <c r="ATD24" s="51" t="n"/>
      <c r="ATE24" s="51" t="n"/>
      <c r="ATF24" s="51" t="n"/>
      <c r="ATG24" s="51" t="n"/>
      <c r="ATH24" s="51" t="n"/>
      <c r="ATI24" s="51" t="n"/>
      <c r="ATJ24" s="51" t="n"/>
      <c r="ATK24" s="51" t="n"/>
      <c r="ATL24" s="51" t="n"/>
      <c r="ATM24" s="51" t="n"/>
      <c r="ATN24" s="51" t="n"/>
      <c r="ATO24" s="51" t="n"/>
      <c r="ATP24" s="51" t="n"/>
      <c r="ATQ24" s="51" t="n"/>
      <c r="ATR24" s="51" t="n"/>
      <c r="ATS24" s="51" t="n"/>
      <c r="ATT24" s="51" t="n"/>
      <c r="ATU24" s="51" t="n"/>
      <c r="ATV24" s="51" t="n"/>
      <c r="ATW24" s="51" t="n"/>
      <c r="ATX24" s="51" t="n"/>
      <c r="ATY24" s="51" t="n"/>
      <c r="ATZ24" s="51" t="n"/>
      <c r="AUA24" s="51" t="n"/>
      <c r="AUB24" s="51" t="n"/>
      <c r="AUC24" s="51" t="n"/>
      <c r="AUD24" s="51" t="n"/>
      <c r="AUE24" s="51" t="n"/>
      <c r="AUF24" s="51" t="n"/>
      <c r="AUG24" s="51" t="n"/>
      <c r="AUH24" s="51" t="n"/>
      <c r="AUI24" s="51" t="n"/>
      <c r="AUJ24" s="51" t="n"/>
      <c r="AUK24" s="51" t="n"/>
      <c r="AUL24" s="51" t="n"/>
      <c r="AUM24" s="51" t="n"/>
      <c r="AUN24" s="51" t="n"/>
      <c r="AUO24" s="51" t="n"/>
      <c r="AUP24" s="51" t="n"/>
      <c r="AUQ24" s="51" t="n"/>
      <c r="AUR24" s="51" t="n"/>
      <c r="AUS24" s="51" t="n"/>
      <c r="AUT24" s="51" t="n"/>
      <c r="AUU24" s="51" t="n"/>
      <c r="AUV24" s="51" t="n"/>
      <c r="AUW24" s="51" t="n"/>
      <c r="AUX24" s="51" t="n"/>
      <c r="AUY24" s="51" t="n"/>
      <c r="AUZ24" s="51" t="n"/>
      <c r="AVA24" s="51" t="n"/>
      <c r="AVB24" s="51" t="n"/>
      <c r="AVC24" s="51" t="n"/>
      <c r="AVD24" s="51" t="n"/>
      <c r="AVE24" s="51" t="n"/>
      <c r="AVF24" s="51" t="n"/>
      <c r="AVG24" s="51" t="n"/>
      <c r="AVH24" s="51" t="n"/>
      <c r="AVI24" s="51" t="n"/>
      <c r="AVJ24" s="51" t="n"/>
      <c r="AVK24" s="51" t="n"/>
      <c r="AVL24" s="51" t="n"/>
      <c r="AVM24" s="51" t="n"/>
      <c r="AVN24" s="51" t="n"/>
      <c r="AVO24" s="51" t="n"/>
      <c r="AVP24" s="51" t="n"/>
      <c r="AVQ24" s="51" t="n"/>
      <c r="AVR24" s="51" t="n"/>
      <c r="AVS24" s="51" t="n"/>
      <c r="AVT24" s="51" t="n"/>
      <c r="AVU24" s="51" t="n"/>
      <c r="AVV24" s="51" t="n"/>
      <c r="AVW24" s="51" t="n"/>
      <c r="AVX24" s="51" t="n"/>
      <c r="AVY24" s="51" t="n"/>
      <c r="AVZ24" s="51" t="n"/>
      <c r="AWA24" s="51" t="n"/>
      <c r="AWB24" s="51" t="n"/>
      <c r="AWC24" s="51" t="n"/>
      <c r="AWD24" s="51" t="n"/>
      <c r="AWE24" s="51" t="n"/>
      <c r="AWF24" s="51" t="n"/>
      <c r="AWG24" s="51" t="n"/>
      <c r="AWH24" s="51" t="n"/>
      <c r="AWI24" s="51" t="n"/>
      <c r="AWJ24" s="51" t="n"/>
      <c r="AWK24" s="51" t="n"/>
      <c r="AWL24" s="51" t="n"/>
      <c r="AWM24" s="51" t="n"/>
      <c r="AWN24" s="51" t="n"/>
      <c r="AWO24" s="51" t="n"/>
      <c r="AWP24" s="51" t="n"/>
      <c r="AWQ24" s="51" t="n"/>
      <c r="AWR24" s="51" t="n"/>
      <c r="AWS24" s="51" t="n"/>
      <c r="AWT24" s="51" t="n"/>
      <c r="AWU24" s="51" t="n"/>
      <c r="AWV24" s="51" t="n"/>
      <c r="AWW24" s="51" t="n"/>
      <c r="AWX24" s="51" t="n"/>
      <c r="AWY24" s="51" t="n"/>
      <c r="AWZ24" s="51" t="n"/>
      <c r="AXA24" s="51" t="n"/>
      <c r="AXB24" s="51" t="n"/>
      <c r="AXC24" s="51" t="n"/>
      <c r="AXD24" s="51" t="n"/>
      <c r="AXE24" s="51" t="n"/>
      <c r="AXF24" s="51" t="n"/>
      <c r="AXG24" s="51" t="n"/>
      <c r="AXH24" s="51" t="n"/>
      <c r="AXI24" s="51" t="n"/>
      <c r="AXJ24" s="51" t="n"/>
      <c r="AXK24" s="51" t="n"/>
      <c r="AXL24" s="51" t="n"/>
      <c r="AXM24" s="51" t="n"/>
      <c r="AXN24" s="51" t="n"/>
      <c r="AXO24" s="51" t="n"/>
      <c r="AXP24" s="51" t="n"/>
      <c r="AXQ24" s="51" t="n"/>
      <c r="AXR24" s="51" t="n"/>
      <c r="AXS24" s="51" t="n"/>
      <c r="AXT24" s="51" t="n"/>
      <c r="AXU24" s="51" t="n"/>
      <c r="AXV24" s="51" t="n"/>
      <c r="AXW24" s="51" t="n"/>
      <c r="AXX24" s="51" t="n"/>
      <c r="AXY24" s="51" t="n"/>
      <c r="AXZ24" s="51" t="n"/>
      <c r="AYA24" s="51" t="n"/>
      <c r="AYB24" s="51" t="n"/>
      <c r="AYC24" s="51" t="n"/>
      <c r="AYD24" s="51" t="n"/>
      <c r="AYE24" s="51" t="n"/>
      <c r="AYF24" s="51" t="n"/>
      <c r="AYG24" s="51" t="n"/>
      <c r="AYH24" s="51" t="n"/>
      <c r="AYI24" s="51" t="n"/>
      <c r="AYJ24" s="51" t="n"/>
      <c r="AYK24" s="51" t="n"/>
      <c r="AYL24" s="51" t="n"/>
      <c r="AYM24" s="51" t="n"/>
      <c r="AYN24" s="51" t="n"/>
      <c r="AYO24" s="51" t="n"/>
      <c r="AYP24" s="51" t="n"/>
      <c r="AYQ24" s="51" t="n"/>
      <c r="AYR24" s="51" t="n"/>
      <c r="AYS24" s="51" t="n"/>
      <c r="AYT24" s="51" t="n"/>
      <c r="AYU24" s="51" t="n"/>
      <c r="AYV24" s="51" t="n"/>
      <c r="AYW24" s="51" t="n"/>
      <c r="AYX24" s="51" t="n"/>
      <c r="AYY24" s="51" t="n"/>
      <c r="AYZ24" s="51" t="n"/>
      <c r="AZA24" s="51" t="n"/>
      <c r="AZB24" s="51" t="n"/>
      <c r="AZC24" s="51" t="n"/>
      <c r="AZD24" s="51" t="n"/>
      <c r="AZE24" s="51" t="n"/>
      <c r="AZF24" s="51" t="n"/>
      <c r="AZG24" s="51" t="n"/>
      <c r="AZH24" s="51" t="n"/>
      <c r="AZI24" s="51" t="n"/>
      <c r="AZJ24" s="51" t="n"/>
      <c r="AZK24" s="51" t="n"/>
      <c r="AZL24" s="51" t="n"/>
      <c r="AZM24" s="51" t="n"/>
      <c r="AZN24" s="51" t="n"/>
      <c r="AZO24" s="51" t="n"/>
      <c r="AZP24" s="51" t="n"/>
      <c r="AZQ24" s="51" t="n"/>
      <c r="AZR24" s="51" t="n"/>
      <c r="AZS24" s="51" t="n"/>
      <c r="AZT24" s="51" t="n"/>
      <c r="AZU24" s="51" t="n"/>
      <c r="AZV24" s="51" t="n"/>
      <c r="AZW24" s="51" t="n"/>
      <c r="AZX24" s="51" t="n"/>
      <c r="AZY24" s="51" t="n"/>
      <c r="AZZ24" s="51" t="n"/>
      <c r="BAA24" s="51" t="n"/>
      <c r="BAB24" s="51" t="n"/>
      <c r="BAC24" s="51" t="n"/>
      <c r="BAD24" s="51" t="n"/>
      <c r="BAE24" s="51" t="n"/>
      <c r="BAF24" s="51" t="n"/>
      <c r="BAG24" s="51" t="n"/>
      <c r="BAH24" s="51" t="n"/>
      <c r="BAI24" s="51" t="n"/>
      <c r="BAJ24" s="51" t="n"/>
      <c r="BAK24" s="51" t="n"/>
      <c r="BAL24" s="51" t="n"/>
      <c r="BAM24" s="51" t="n"/>
      <c r="BAN24" s="51" t="n"/>
      <c r="BAO24" s="51" t="n"/>
      <c r="BAP24" s="51" t="n"/>
      <c r="BAQ24" s="51" t="n"/>
      <c r="BAR24" s="51" t="n"/>
      <c r="BAS24" s="51" t="n"/>
      <c r="BAT24" s="51" t="n"/>
      <c r="BAU24" s="51" t="n"/>
      <c r="BAV24" s="51" t="n"/>
      <c r="BAW24" s="51" t="n"/>
      <c r="BAX24" s="51" t="n"/>
      <c r="BAY24" s="51" t="n"/>
      <c r="BAZ24" s="51" t="n"/>
      <c r="BBA24" s="51" t="n"/>
      <c r="BBB24" s="51" t="n"/>
      <c r="BBC24" s="51" t="n"/>
      <c r="BBD24" s="51" t="n"/>
      <c r="BBE24" s="51" t="n"/>
      <c r="BBF24" s="51" t="n"/>
      <c r="BBG24" s="51" t="n"/>
      <c r="BBH24" s="51" t="n"/>
      <c r="BBI24" s="51" t="n"/>
      <c r="BBJ24" s="51" t="n"/>
      <c r="BBK24" s="51" t="n"/>
      <c r="BBL24" s="51" t="n"/>
      <c r="BBM24" s="51" t="n"/>
      <c r="BBN24" s="51" t="n"/>
      <c r="BBO24" s="51" t="n"/>
      <c r="BBP24" s="51" t="n"/>
    </row>
    <row r="25" ht="14.25" customHeight="1">
      <c r="A25" s="22">
        <f>A24+1</f>
        <v/>
      </c>
      <c r="B25" s="103" t="inlineStr">
        <is>
          <t>BEARING 608  ZZ</t>
        </is>
      </c>
      <c r="C25" s="29" t="inlineStr">
        <is>
          <t>Pcs</t>
        </is>
      </c>
      <c r="D25" s="26">
        <f>'[1]Week  (4)'!U25</f>
        <v/>
      </c>
      <c r="E25" s="124" t="n"/>
      <c r="F25" s="62" t="n"/>
      <c r="G25" s="25" t="n"/>
      <c r="H25" s="56" t="n"/>
      <c r="I25" s="19" t="n"/>
      <c r="J25" s="64" t="n"/>
      <c r="K25" s="18" t="n"/>
      <c r="L25" s="73" t="n"/>
      <c r="M25" s="73" t="n"/>
      <c r="N25" s="73" t="n"/>
      <c r="O25" s="19" t="n"/>
      <c r="P25" s="18" t="n"/>
      <c r="Q25" s="18" t="n"/>
      <c r="R25" s="73" t="n"/>
      <c r="S25" s="18" t="n"/>
      <c r="T25" s="18" t="n"/>
      <c r="U25" s="26">
        <f>D25+F25+-(H25+J25+L25+N25+P25+R25+T25)</f>
        <v/>
      </c>
      <c r="V25" t="inlineStr">
        <is>
          <t>MECHANICAL</t>
        </is>
      </c>
    </row>
    <row r="26" ht="15" customHeight="1">
      <c r="A26" s="22">
        <f>A25+1</f>
        <v/>
      </c>
      <c r="B26" s="127" t="inlineStr">
        <is>
          <t>Bearing 6202-2Z, SKF</t>
        </is>
      </c>
      <c r="C26" s="123" t="inlineStr">
        <is>
          <t>PCS</t>
        </is>
      </c>
      <c r="D26" s="26">
        <f>'[1]Week  (4)'!U26</f>
        <v/>
      </c>
      <c r="E26" s="125" t="n"/>
      <c r="F26" s="55" t="n"/>
      <c r="G26" s="52" t="n"/>
      <c r="H26" s="55" t="n"/>
      <c r="I26" s="71" t="n"/>
      <c r="J26" s="55" t="n"/>
      <c r="K26" s="18" t="n"/>
      <c r="L26" s="73" t="n"/>
      <c r="M26" s="73" t="n"/>
      <c r="N26" s="73" t="n"/>
      <c r="O26" s="19" t="n"/>
      <c r="P26" s="18" t="n"/>
      <c r="Q26" s="18" t="n"/>
      <c r="R26" s="73" t="n"/>
      <c r="S26" s="18" t="n"/>
      <c r="T26" s="18" t="n"/>
      <c r="U26" s="26">
        <f>D26+F26+-(H26+J26+L26+N26+P26+R26+T26)</f>
        <v/>
      </c>
      <c r="V26" t="inlineStr">
        <is>
          <t>MECHANICAL</t>
        </is>
      </c>
    </row>
    <row r="27" ht="14.25" customHeight="1">
      <c r="A27" s="22">
        <f>A26+1</f>
        <v/>
      </c>
      <c r="B27" s="79" t="inlineStr">
        <is>
          <t>BEARING 6203 ZZ</t>
        </is>
      </c>
      <c r="C27" s="29" t="inlineStr">
        <is>
          <t>Pcs</t>
        </is>
      </c>
      <c r="D27" s="26">
        <f>'[1]Week  (4)'!U27</f>
        <v/>
      </c>
      <c r="E27" s="124" t="n"/>
      <c r="F27" s="62" t="n"/>
      <c r="G27" s="25" t="n"/>
      <c r="H27" s="56" t="n"/>
      <c r="I27" s="19" t="n"/>
      <c r="J27" s="64" t="n"/>
      <c r="K27" s="18" t="n"/>
      <c r="L27" s="73" t="n"/>
      <c r="M27" s="73" t="n"/>
      <c r="N27" s="73" t="n"/>
      <c r="O27" s="19" t="n"/>
      <c r="P27" s="18" t="n"/>
      <c r="Q27" s="18" t="n"/>
      <c r="R27" s="73" t="n"/>
      <c r="S27" s="18" t="n"/>
      <c r="T27" s="18" t="n"/>
      <c r="U27" s="26">
        <f>D27+F27+-(H27+J27+L27+N27+P27+R27+T27)</f>
        <v/>
      </c>
      <c r="V27" t="inlineStr">
        <is>
          <t>MECHANICAL</t>
        </is>
      </c>
    </row>
    <row r="28" ht="14.25" customHeight="1">
      <c r="A28" s="22">
        <f>A27+1</f>
        <v/>
      </c>
      <c r="B28" s="79" t="inlineStr">
        <is>
          <t>Bearing 6303</t>
        </is>
      </c>
      <c r="C28" s="29" t="inlineStr">
        <is>
          <t>Pcs</t>
        </is>
      </c>
      <c r="D28" s="26">
        <f>'[1]Week  (4)'!U28</f>
        <v/>
      </c>
      <c r="E28" s="125" t="n"/>
      <c r="F28" s="55" t="n"/>
      <c r="G28" s="52" t="n"/>
      <c r="H28" s="55" t="n"/>
      <c r="I28" s="71" t="n"/>
      <c r="J28" s="55" t="n"/>
      <c r="K28" s="18" t="n"/>
      <c r="L28" s="73" t="n"/>
      <c r="M28" s="73" t="n"/>
      <c r="N28" s="73" t="n"/>
      <c r="O28" s="19" t="n"/>
      <c r="P28" s="18" t="n"/>
      <c r="Q28" s="18" t="n"/>
      <c r="R28" s="73" t="n"/>
      <c r="S28" s="18" t="n"/>
      <c r="T28" s="18" t="n"/>
      <c r="U28" s="26">
        <f>D28+F28+-(H28+J28+L28+N28+P28+R28+T28)</f>
        <v/>
      </c>
      <c r="V28" t="inlineStr">
        <is>
          <t>MECHANICAL</t>
        </is>
      </c>
    </row>
    <row r="29" ht="15" customHeight="1">
      <c r="A29" s="22">
        <f>A28+1</f>
        <v/>
      </c>
      <c r="B29" s="122" t="inlineStr">
        <is>
          <t>Bearing 6304 ZZ</t>
        </is>
      </c>
      <c r="C29" s="123" t="inlineStr">
        <is>
          <t>PCS</t>
        </is>
      </c>
      <c r="D29" s="26">
        <f>'[1]Week  (4)'!U29</f>
        <v/>
      </c>
      <c r="E29" s="124" t="n"/>
      <c r="F29" s="62" t="n"/>
      <c r="G29" s="25" t="n"/>
      <c r="H29" s="56" t="n"/>
      <c r="I29" s="19" t="n"/>
      <c r="J29" s="64" t="n"/>
      <c r="K29" s="18" t="n"/>
      <c r="L29" s="73" t="n"/>
      <c r="M29" s="73" t="n"/>
      <c r="N29" s="73" t="n"/>
      <c r="O29" s="19" t="n"/>
      <c r="P29" s="18" t="n"/>
      <c r="Q29" s="18" t="n"/>
      <c r="R29" s="73" t="n"/>
      <c r="S29" s="18" t="n"/>
      <c r="T29" s="18" t="n"/>
      <c r="U29" s="26">
        <f>D29+F29+-(H29+J29+L29+N29+P29+R29+T29)</f>
        <v/>
      </c>
      <c r="V29" t="inlineStr">
        <is>
          <t>MECHANICAL</t>
        </is>
      </c>
    </row>
    <row r="30" ht="15" customHeight="1">
      <c r="A30" s="22">
        <f>A29+1</f>
        <v/>
      </c>
      <c r="B30" s="128" t="inlineStr">
        <is>
          <t>Bearing 6305 SKF</t>
        </is>
      </c>
      <c r="C30" s="123" t="inlineStr">
        <is>
          <t>PCS</t>
        </is>
      </c>
      <c r="D30" s="26">
        <f>'[1]Week  (4)'!U30</f>
        <v/>
      </c>
      <c r="E30" s="125" t="n"/>
      <c r="F30" s="55" t="n"/>
      <c r="G30" s="52" t="n"/>
      <c r="H30" s="55" t="n"/>
      <c r="I30" s="71" t="n"/>
      <c r="J30" s="55" t="n"/>
      <c r="K30" s="18" t="n"/>
      <c r="L30" s="73" t="n"/>
      <c r="M30" s="73" t="n"/>
      <c r="N30" s="73" t="n"/>
      <c r="O30" s="19" t="n"/>
      <c r="P30" s="18" t="n"/>
      <c r="Q30" s="18" t="n"/>
      <c r="R30" s="73" t="n"/>
      <c r="S30" s="18" t="n"/>
      <c r="T30" s="18" t="n"/>
      <c r="U30" s="26">
        <f>D30+F30+-(H30+J30+L30+N30+P30+R30+T30)</f>
        <v/>
      </c>
      <c r="V30" t="inlineStr">
        <is>
          <t>MECHANICAL</t>
        </is>
      </c>
    </row>
    <row r="31" ht="15" customHeight="1">
      <c r="A31" s="22">
        <f>A30+1</f>
        <v/>
      </c>
      <c r="B31" s="30" t="inlineStr">
        <is>
          <t>Bearing SKF 6306 ZZ</t>
        </is>
      </c>
      <c r="C31" s="123" t="inlineStr">
        <is>
          <t>PCS</t>
        </is>
      </c>
      <c r="D31" s="26">
        <f>'[1]Week  (4)'!U31</f>
        <v/>
      </c>
      <c r="E31" s="124" t="n"/>
      <c r="F31" s="62" t="n"/>
      <c r="G31" s="25" t="n"/>
      <c r="H31" s="56" t="n"/>
      <c r="I31" s="19" t="n"/>
      <c r="J31" s="64" t="n"/>
      <c r="K31" s="18" t="n"/>
      <c r="L31" s="73" t="n"/>
      <c r="M31" s="73" t="n"/>
      <c r="N31" s="73" t="n"/>
      <c r="O31" s="19" t="n"/>
      <c r="P31" s="18" t="n"/>
      <c r="Q31" s="18" t="n"/>
      <c r="R31" s="73" t="n"/>
      <c r="S31" s="18" t="n"/>
      <c r="T31" s="18" t="n"/>
      <c r="U31" s="26">
        <f>D31+F31+-(H31+J31+L31+N31+P31+R31+T31)</f>
        <v/>
      </c>
      <c r="V31" t="inlineStr">
        <is>
          <t>MECHANICAL</t>
        </is>
      </c>
    </row>
    <row r="32" ht="15" customHeight="1">
      <c r="A32" s="22">
        <f>A31+1</f>
        <v/>
      </c>
      <c r="B32" s="30" t="inlineStr">
        <is>
          <t>Bearing SKF 6307 ZZ</t>
        </is>
      </c>
      <c r="C32" s="123" t="inlineStr">
        <is>
          <t>PCS</t>
        </is>
      </c>
      <c r="D32" s="26">
        <f>'[1]Week  (4)'!U32</f>
        <v/>
      </c>
      <c r="E32" s="125" t="n"/>
      <c r="F32" s="55" t="n"/>
      <c r="G32" s="25" t="n"/>
      <c r="H32" s="56" t="n"/>
      <c r="I32" s="71" t="n"/>
      <c r="J32" s="55" t="n"/>
      <c r="K32" s="18" t="n"/>
      <c r="L32" s="73" t="n"/>
      <c r="M32" s="73" t="n"/>
      <c r="N32" s="73" t="n"/>
      <c r="O32" s="19" t="n"/>
      <c r="P32" s="18" t="n"/>
      <c r="Q32" s="18" t="n"/>
      <c r="R32" s="73" t="n"/>
      <c r="S32" s="18" t="n"/>
      <c r="T32" s="18" t="n"/>
      <c r="U32" s="26">
        <f>D32+F32+-(H32+J32+L32+N32+P32+R32+T32)</f>
        <v/>
      </c>
      <c r="V32" t="inlineStr">
        <is>
          <t>MECHANICAL</t>
        </is>
      </c>
    </row>
    <row r="33" ht="15" customHeight="1">
      <c r="A33" s="22">
        <f>A32+1</f>
        <v/>
      </c>
      <c r="B33" s="30" t="inlineStr">
        <is>
          <t>Bearing SKF 6309 / C3</t>
        </is>
      </c>
      <c r="C33" s="123" t="inlineStr">
        <is>
          <t>PCS</t>
        </is>
      </c>
      <c r="D33" s="26">
        <f>'[1]Week  (4)'!U33</f>
        <v/>
      </c>
      <c r="E33" s="124" t="n"/>
      <c r="F33" s="62" t="n"/>
      <c r="G33" s="25" t="n"/>
      <c r="H33" s="56" t="n"/>
      <c r="I33" s="19" t="n"/>
      <c r="J33" s="64" t="n"/>
      <c r="K33" s="18" t="n"/>
      <c r="L33" s="73" t="n"/>
      <c r="M33" s="73" t="n"/>
      <c r="N33" s="73" t="n"/>
      <c r="O33" s="19" t="n"/>
      <c r="P33" s="18" t="n"/>
      <c r="Q33" s="18" t="n"/>
      <c r="R33" s="73" t="n"/>
      <c r="S33" s="18" t="n"/>
      <c r="T33" s="18" t="n"/>
      <c r="U33" s="26">
        <f>D33+F33+-(H33+J33+L33+N33+P33+R33+T33)</f>
        <v/>
      </c>
      <c r="V33" t="inlineStr">
        <is>
          <t>MECHANICAL</t>
        </is>
      </c>
    </row>
    <row r="34" ht="15" customHeight="1">
      <c r="A34" s="22">
        <f>A33+1</f>
        <v/>
      </c>
      <c r="B34" s="122" t="inlineStr">
        <is>
          <t>Bearing SKF 63305 ZZ</t>
        </is>
      </c>
      <c r="C34" s="123" t="inlineStr">
        <is>
          <t>PCS</t>
        </is>
      </c>
      <c r="D34" s="26">
        <f>'[1]Week  (4)'!U34</f>
        <v/>
      </c>
      <c r="E34" s="125" t="n"/>
      <c r="F34" s="55" t="n"/>
      <c r="G34" s="52" t="n"/>
      <c r="H34" s="55" t="n"/>
      <c r="I34" s="71" t="n"/>
      <c r="J34" s="55" t="n"/>
      <c r="K34" s="18" t="n"/>
      <c r="L34" s="73" t="n"/>
      <c r="M34" s="73" t="n"/>
      <c r="N34" s="73" t="n"/>
      <c r="O34" s="19" t="n"/>
      <c r="P34" s="18" t="n"/>
      <c r="Q34" s="18" t="n"/>
      <c r="R34" s="73" t="n"/>
      <c r="S34" s="18" t="n"/>
      <c r="T34" s="18" t="n"/>
      <c r="U34" s="26">
        <f>D34+F34+-(H34+J34+L34+N34+P34+R34+T34)</f>
        <v/>
      </c>
      <c r="V34" t="inlineStr">
        <is>
          <t>MECHANICAL</t>
        </is>
      </c>
    </row>
    <row r="35" ht="15" customHeight="1">
      <c r="A35" s="22">
        <f>A34+1</f>
        <v/>
      </c>
      <c r="B35" s="122" t="inlineStr">
        <is>
          <t>Bearing SKF 6309 C3</t>
        </is>
      </c>
      <c r="C35" s="123" t="inlineStr">
        <is>
          <t>PCS</t>
        </is>
      </c>
      <c r="D35" s="26">
        <f>'[1]Week  (4)'!U35</f>
        <v/>
      </c>
      <c r="E35" s="124" t="n"/>
      <c r="F35" s="62" t="n"/>
      <c r="G35" s="25" t="n"/>
      <c r="H35" s="56" t="n"/>
      <c r="I35" s="19" t="n"/>
      <c r="J35" s="64" t="n"/>
      <c r="K35" s="18" t="n"/>
      <c r="L35" s="73" t="n"/>
      <c r="M35" s="73" t="n"/>
      <c r="N35" s="73" t="n"/>
      <c r="O35" s="19" t="n"/>
      <c r="P35" s="18" t="n"/>
      <c r="Q35" s="18" t="n"/>
      <c r="R35" s="73" t="n"/>
      <c r="S35" s="18" t="n"/>
      <c r="T35" s="18" t="n"/>
      <c r="U35" s="26">
        <f>D35+F35+-(H35+J35+L35+N35+P35+R35+T35)</f>
        <v/>
      </c>
      <c r="V35" t="inlineStr">
        <is>
          <t>MECHANICAL</t>
        </is>
      </c>
    </row>
    <row r="36" ht="30" customHeight="1">
      <c r="A36" s="22">
        <f>A35+1</f>
        <v/>
      </c>
      <c r="B36" s="122" t="inlineStr">
        <is>
          <t xml:space="preserve">Bulb Lamp 25 W, A 35  Clear Philips,  </t>
        </is>
      </c>
      <c r="C36" s="123" t="inlineStr">
        <is>
          <t>PCS</t>
        </is>
      </c>
      <c r="D36" s="26">
        <f>'[1]Week  (4)'!U36</f>
        <v/>
      </c>
      <c r="E36" s="125" t="n"/>
      <c r="F36" s="55" t="n"/>
      <c r="G36" s="52" t="n"/>
      <c r="H36" s="55" t="n"/>
      <c r="I36" s="71" t="n"/>
      <c r="J36" s="55" t="n"/>
      <c r="K36" s="18" t="n"/>
      <c r="L36" s="73" t="n"/>
      <c r="M36" s="73" t="n"/>
      <c r="N36" s="73" t="n"/>
      <c r="O36" s="19" t="n"/>
      <c r="P36" s="18" t="n"/>
      <c r="Q36" s="18" t="n"/>
      <c r="R36" s="73" t="n"/>
      <c r="S36" s="18" t="n"/>
      <c r="T36" s="18" t="n"/>
      <c r="U36" s="26">
        <f>D36+F36+-(H36+J36+L36+N36+P36+R36+T36)</f>
        <v/>
      </c>
      <c r="V36" t="inlineStr">
        <is>
          <t>LAMP</t>
        </is>
      </c>
    </row>
    <row r="37" ht="30" customHeight="1">
      <c r="A37" s="22">
        <f>A36+1</f>
        <v/>
      </c>
      <c r="B37" s="122" t="inlineStr">
        <is>
          <t>Bulb Lamp 40 W, B 35  Clear Philips,  E 14 ( cooker hood )</t>
        </is>
      </c>
      <c r="C37" s="123" t="inlineStr">
        <is>
          <t>PCS</t>
        </is>
      </c>
      <c r="D37" s="26">
        <f>'[1]Week  (4)'!U37</f>
        <v/>
      </c>
      <c r="E37" s="124" t="n"/>
      <c r="F37" s="62" t="n"/>
      <c r="G37" s="25" t="n"/>
      <c r="H37" s="56" t="n"/>
      <c r="I37" s="19" t="n"/>
      <c r="J37" s="64" t="n"/>
      <c r="K37" s="19" t="n"/>
      <c r="L37" s="73" t="n"/>
      <c r="M37" s="73" t="n"/>
      <c r="N37" s="73" t="n"/>
      <c r="O37" s="19" t="n"/>
      <c r="P37" s="18" t="n"/>
      <c r="Q37" s="18" t="n"/>
      <c r="R37" s="73" t="n"/>
      <c r="S37" s="18" t="n"/>
      <c r="T37" s="18" t="n"/>
      <c r="U37" s="26">
        <f>D37+F37+-(H37+J37+L37+N37+P37+R37+T37)</f>
        <v/>
      </c>
      <c r="V37" t="inlineStr">
        <is>
          <t>LAMP</t>
        </is>
      </c>
    </row>
    <row r="38" ht="15" customHeight="1">
      <c r="A38" s="22">
        <f>A37+1</f>
        <v/>
      </c>
      <c r="B38" s="51" t="inlineStr">
        <is>
          <t xml:space="preserve">Capacitor 2,5µf + 2 µf </t>
        </is>
      </c>
      <c r="C38" s="123" t="inlineStr">
        <is>
          <t>PCS</t>
        </is>
      </c>
      <c r="D38" s="26">
        <f>'[1]Week  (4)'!U38</f>
        <v/>
      </c>
      <c r="E38" s="125" t="n"/>
      <c r="F38" s="55" t="n"/>
      <c r="G38" s="52" t="n"/>
      <c r="H38" s="55" t="n"/>
      <c r="I38" s="71" t="n"/>
      <c r="J38" s="55" t="n"/>
      <c r="K38" s="18" t="n"/>
      <c r="L38" s="73" t="n"/>
      <c r="M38" s="73" t="n"/>
      <c r="N38" s="73" t="n"/>
      <c r="O38" s="19" t="n"/>
      <c r="P38" s="18" t="n"/>
      <c r="Q38" s="18" t="n"/>
      <c r="R38" s="73" t="n"/>
      <c r="S38" s="18" t="n"/>
      <c r="T38" s="18" t="n"/>
      <c r="U38" s="26">
        <f>D38+F38+-(H38+J38+L38+N38+P38+R38+T38)</f>
        <v/>
      </c>
      <c r="V38" t="inlineStr">
        <is>
          <t>ELECTRICAL</t>
        </is>
      </c>
    </row>
    <row r="39" ht="15" customHeight="1">
      <c r="A39" s="22">
        <f>A38+1</f>
        <v/>
      </c>
      <c r="B39" s="122" t="inlineStr">
        <is>
          <t>Capacitor 30µf</t>
        </is>
      </c>
      <c r="C39" s="123" t="inlineStr">
        <is>
          <t>PCS</t>
        </is>
      </c>
      <c r="D39" s="26">
        <f>'[1]Week  (4)'!U39</f>
        <v/>
      </c>
      <c r="E39" s="124" t="n"/>
      <c r="F39" s="62" t="n"/>
      <c r="G39" s="25" t="n"/>
      <c r="H39" s="56" t="n"/>
      <c r="I39" s="19" t="n"/>
      <c r="J39" s="64" t="n"/>
      <c r="K39" s="18" t="n"/>
      <c r="L39" s="73" t="n"/>
      <c r="M39" s="73" t="n"/>
      <c r="N39" s="73" t="n"/>
      <c r="O39" s="19" t="n"/>
      <c r="P39" s="18" t="n"/>
      <c r="Q39" s="18" t="n"/>
      <c r="R39" s="73" t="n"/>
      <c r="S39" s="18" t="n"/>
      <c r="T39" s="18" t="n"/>
      <c r="U39" s="26">
        <f>D39+F39+-(H39+J39+L39+N39+P39+R39+T39)</f>
        <v/>
      </c>
      <c r="V39" t="inlineStr">
        <is>
          <t>AC</t>
        </is>
      </c>
    </row>
    <row r="40" ht="15" customHeight="1">
      <c r="A40" s="22">
        <f>A39+1</f>
        <v/>
      </c>
      <c r="B40" s="122" t="inlineStr">
        <is>
          <t>Capacitor 40µf</t>
        </is>
      </c>
      <c r="C40" s="123" t="inlineStr">
        <is>
          <t>PCS</t>
        </is>
      </c>
      <c r="D40" s="26">
        <f>'[1]Week  (4)'!U40</f>
        <v/>
      </c>
      <c r="E40" s="125" t="n"/>
      <c r="F40" s="55" t="n"/>
      <c r="G40" s="52" t="n"/>
      <c r="H40" s="55" t="n"/>
      <c r="I40" s="71" t="n"/>
      <c r="J40" s="55" t="n"/>
      <c r="K40" s="18" t="n"/>
      <c r="L40" s="73" t="n"/>
      <c r="M40" s="73" t="n"/>
      <c r="N40" s="73" t="n"/>
      <c r="O40" s="19" t="n"/>
      <c r="P40" s="18" t="n"/>
      <c r="Q40" s="18" t="n"/>
      <c r="R40" s="73" t="n"/>
      <c r="S40" s="18" t="n"/>
      <c r="T40" s="18" t="n"/>
      <c r="U40" s="26">
        <f>D40+F40+-(H40+J40+L40+N40+P40+R40+T40)</f>
        <v/>
      </c>
      <c r="V40" t="inlineStr">
        <is>
          <t>AC</t>
        </is>
      </c>
    </row>
    <row r="41" ht="12.75" customHeight="1">
      <c r="A41" s="22">
        <f>A40+1</f>
        <v/>
      </c>
      <c r="B41" s="122" t="inlineStr">
        <is>
          <t>Capacitor 35µf</t>
        </is>
      </c>
      <c r="C41" s="123" t="inlineStr">
        <is>
          <t>PCS</t>
        </is>
      </c>
      <c r="D41" s="26">
        <f>'[1]Week  (4)'!U41</f>
        <v/>
      </c>
      <c r="E41" s="124" t="n"/>
      <c r="F41" s="62" t="n"/>
      <c r="G41" s="25" t="n"/>
      <c r="H41" s="56" t="n"/>
      <c r="I41" s="19" t="n"/>
      <c r="J41" s="64" t="n"/>
      <c r="K41" s="18" t="inlineStr">
        <is>
          <t>Sulawesi 15</t>
        </is>
      </c>
      <c r="L41" s="73" t="n">
        <v>1</v>
      </c>
      <c r="M41" s="73" t="n"/>
      <c r="N41" s="73" t="n"/>
      <c r="O41" s="19" t="n"/>
      <c r="P41" s="18" t="n"/>
      <c r="Q41" s="18" t="n"/>
      <c r="R41" s="73" t="n"/>
      <c r="S41" s="18" t="n"/>
      <c r="T41" s="18" t="n"/>
      <c r="U41" s="26">
        <f>D41+F41+-(H41+J41+L41+N41+P41+R41+T41)</f>
        <v/>
      </c>
      <c r="V41" t="inlineStr">
        <is>
          <t>AC</t>
        </is>
      </c>
    </row>
    <row r="42" ht="15" customHeight="1">
      <c r="A42" s="22">
        <f>A41+1</f>
        <v/>
      </c>
      <c r="B42" s="122" t="inlineStr">
        <is>
          <t>Capacitor 50 µf</t>
        </is>
      </c>
      <c r="C42" s="123" t="inlineStr">
        <is>
          <t>PCS</t>
        </is>
      </c>
      <c r="D42" s="26">
        <f>'[1]Week  (4)'!U42</f>
        <v/>
      </c>
      <c r="E42" s="125" t="n"/>
      <c r="F42" s="55" t="n"/>
      <c r="G42" s="52" t="n"/>
      <c r="H42" s="55" t="n"/>
      <c r="I42" s="71" t="n"/>
      <c r="J42" s="55" t="n"/>
      <c r="K42" s="18" t="n"/>
      <c r="L42" s="73" t="n"/>
      <c r="M42" s="73" t="n"/>
      <c r="N42" s="73" t="n"/>
      <c r="O42" s="19" t="n"/>
      <c r="P42" s="18" t="n"/>
      <c r="Q42" s="18" t="n"/>
      <c r="R42" s="73" t="n"/>
      <c r="S42" s="18" t="n"/>
      <c r="T42" s="18" t="n"/>
      <c r="U42" s="26">
        <f>D42+F42+-(H42+J42+L42+N42+P42+R42+T42)</f>
        <v/>
      </c>
      <c r="V42" t="inlineStr">
        <is>
          <t>AC</t>
        </is>
      </c>
    </row>
    <row r="43" ht="15" customHeight="1">
      <c r="A43" s="22">
        <f>A42+1</f>
        <v/>
      </c>
      <c r="B43" s="122" t="inlineStr">
        <is>
          <t>Capacitor AC 25 µf</t>
        </is>
      </c>
      <c r="C43" s="123" t="inlineStr">
        <is>
          <t>PCS</t>
        </is>
      </c>
      <c r="D43" s="26">
        <f>'[1]Week  (4)'!U43</f>
        <v/>
      </c>
      <c r="E43" s="124" t="n"/>
      <c r="F43" s="62" t="n"/>
      <c r="G43" s="25" t="n"/>
      <c r="H43" s="56" t="n"/>
      <c r="I43" s="19" t="n"/>
      <c r="J43" s="64" t="n"/>
      <c r="K43" s="18" t="n"/>
      <c r="L43" s="73" t="n"/>
      <c r="M43" s="73" t="n"/>
      <c r="N43" s="73" t="n"/>
      <c r="O43" s="19" t="n"/>
      <c r="P43" s="18" t="n"/>
      <c r="Q43" s="18" t="n"/>
      <c r="R43" s="73" t="n"/>
      <c r="S43" s="18" t="n"/>
      <c r="T43" s="18" t="n"/>
      <c r="U43" s="26">
        <f>D43+F43+-(H43+J43+L43+N43+P43+R43+T43)</f>
        <v/>
      </c>
      <c r="V43" t="inlineStr">
        <is>
          <t>AC</t>
        </is>
      </c>
    </row>
    <row r="44" ht="15" customHeight="1">
      <c r="A44" s="22">
        <f>A43+1</f>
        <v/>
      </c>
      <c r="B44" s="127" t="inlineStr">
        <is>
          <t>Capacitor Ceiling Fan 5 Cable</t>
        </is>
      </c>
      <c r="C44" s="123" t="inlineStr">
        <is>
          <t>PCS</t>
        </is>
      </c>
      <c r="D44" s="26">
        <f>'[1]Week  (4)'!U44</f>
        <v/>
      </c>
      <c r="E44" s="125" t="n"/>
      <c r="F44" s="55" t="n"/>
      <c r="G44" s="52" t="n"/>
      <c r="H44" s="55" t="n"/>
      <c r="I44" s="71" t="n"/>
      <c r="J44" s="55" t="n"/>
      <c r="K44" s="18" t="n"/>
      <c r="L44" s="73" t="n"/>
      <c r="M44" s="73" t="n"/>
      <c r="N44" s="73" t="n"/>
      <c r="O44" s="19" t="n"/>
      <c r="P44" s="18" t="n"/>
      <c r="Q44" s="18" t="n"/>
      <c r="R44" s="73" t="n"/>
      <c r="S44" s="18" t="n"/>
      <c r="T44" s="18" t="n"/>
      <c r="U44" s="26">
        <f>D44+F44+-(H44+J44+L44+N44+P44+R44+T44)</f>
        <v/>
      </c>
      <c r="V44" t="inlineStr">
        <is>
          <t>ELECTRICAL</t>
        </is>
      </c>
    </row>
    <row r="45" ht="15" customHeight="1">
      <c r="A45" s="22">
        <f>A44+1</f>
        <v/>
      </c>
      <c r="B45" s="127" t="inlineStr">
        <is>
          <t>Capacitor Washing Machine 12 µf</t>
        </is>
      </c>
      <c r="C45" s="123" t="inlineStr">
        <is>
          <t>PCS</t>
        </is>
      </c>
      <c r="D45" s="26">
        <f>'[1]Week  (4)'!U45</f>
        <v/>
      </c>
      <c r="E45" s="124" t="n"/>
      <c r="F45" s="62" t="n"/>
      <c r="G45" s="25" t="n"/>
      <c r="H45" s="56" t="n"/>
      <c r="I45" s="19" t="n"/>
      <c r="J45" s="64" t="n"/>
      <c r="K45" s="18" t="n"/>
      <c r="L45" s="73" t="n"/>
      <c r="M45" s="73" t="n"/>
      <c r="N45" s="73" t="n"/>
      <c r="O45" s="19" t="n"/>
      <c r="P45" s="18" t="n"/>
      <c r="Q45" s="18" t="n"/>
      <c r="R45" s="73" t="n"/>
      <c r="S45" s="18" t="n"/>
      <c r="T45" s="18" t="n"/>
      <c r="U45" s="26">
        <f>D45+F45+-(H45+J45+L45+N45+P45+R45+T45)</f>
        <v/>
      </c>
      <c r="V45" t="inlineStr">
        <is>
          <t>ELECTRICAL</t>
        </is>
      </c>
    </row>
    <row r="46" ht="15" customHeight="1">
      <c r="A46" s="22">
        <f>A45+1</f>
        <v/>
      </c>
      <c r="B46" s="122" t="inlineStr">
        <is>
          <t>Capacitor 60 µf</t>
        </is>
      </c>
      <c r="C46" s="123" t="inlineStr">
        <is>
          <t>PCS</t>
        </is>
      </c>
      <c r="D46" s="26">
        <f>'[1]Week  (4)'!U46</f>
        <v/>
      </c>
      <c r="E46" s="125" t="n"/>
      <c r="F46" s="55" t="n"/>
      <c r="G46" s="52" t="n"/>
      <c r="H46" s="55" t="n"/>
      <c r="I46" s="71" t="n"/>
      <c r="J46" s="55" t="n"/>
      <c r="K46" s="18" t="n"/>
      <c r="L46" s="73" t="n"/>
      <c r="M46" s="73" t="n"/>
      <c r="N46" s="73" t="n"/>
      <c r="O46" s="19" t="n"/>
      <c r="P46" s="18" t="n"/>
      <c r="Q46" s="18" t="n"/>
      <c r="R46" s="73" t="n"/>
      <c r="S46" s="18" t="n"/>
      <c r="T46" s="18" t="n"/>
      <c r="U46" s="26">
        <f>D46+F46+-(H46+J46+L46+N46+P46+R46+T46)</f>
        <v/>
      </c>
      <c r="V46" t="inlineStr">
        <is>
          <t>AC</t>
        </is>
      </c>
    </row>
    <row r="47" ht="25.5" customHeight="1">
      <c r="A47" s="22">
        <f>A46+1</f>
        <v/>
      </c>
      <c r="B47" s="79" t="inlineStr">
        <is>
          <t>CAT DULUX CATYLAC INVERNES  25KG</t>
        </is>
      </c>
      <c r="C47" s="29" t="inlineStr">
        <is>
          <t>Pail</t>
        </is>
      </c>
      <c r="D47" s="26">
        <f>'[1]Week  (4)'!U47</f>
        <v/>
      </c>
      <c r="E47" s="124" t="n"/>
      <c r="F47" s="62" t="n"/>
      <c r="G47" s="25" t="n"/>
      <c r="H47" s="69" t="n"/>
      <c r="I47" s="19" t="n"/>
      <c r="J47" s="64" t="n"/>
      <c r="K47" s="18" t="n"/>
      <c r="L47" s="73" t="n"/>
      <c r="M47" s="73" t="n"/>
      <c r="N47" s="73" t="n"/>
      <c r="O47" s="19" t="n"/>
      <c r="P47" s="18" t="n"/>
      <c r="Q47" s="18" t="n"/>
      <c r="R47" s="73" t="n"/>
      <c r="S47" s="18" t="n"/>
      <c r="T47" s="18" t="n"/>
      <c r="U47" s="26">
        <f>D47+F47+-(H47+J47+L47+N47+P47+R47+T47)</f>
        <v/>
      </c>
      <c r="V47" t="inlineStr">
        <is>
          <t>CIVIL</t>
        </is>
      </c>
    </row>
    <row r="48" ht="30" customHeight="1">
      <c r="A48" s="22">
        <f>A47+1</f>
        <v/>
      </c>
      <c r="B48" s="122" t="inlineStr">
        <is>
          <t>CAT DULUX CATYLAC INVERNES 5 KG</t>
        </is>
      </c>
      <c r="C48" s="123" t="inlineStr">
        <is>
          <t>GLN</t>
        </is>
      </c>
      <c r="D48" s="26">
        <f>'[1]Week  (4)'!U48</f>
        <v/>
      </c>
      <c r="E48" s="125" t="n"/>
      <c r="F48" s="55" t="n"/>
      <c r="G48" s="52" t="n"/>
      <c r="H48" s="55" t="n"/>
      <c r="I48" s="71" t="n"/>
      <c r="J48" s="55" t="n"/>
      <c r="K48" s="18" t="n"/>
      <c r="L48" s="73" t="n"/>
      <c r="M48" s="73" t="n"/>
      <c r="N48" s="73" t="n"/>
      <c r="O48" s="19" t="n"/>
      <c r="P48" s="18" t="n"/>
      <c r="Q48" s="18" t="n"/>
      <c r="R48" s="73" t="n"/>
      <c r="S48" s="18" t="n"/>
      <c r="T48" s="18" t="n"/>
      <c r="U48" s="26">
        <f>D48+F48+-(H48+J48+L48+N48+P48+R48+T48)</f>
        <v/>
      </c>
      <c r="V48" t="inlineStr">
        <is>
          <t>CIVIL</t>
        </is>
      </c>
    </row>
    <row r="49" ht="30" customHeight="1">
      <c r="A49" s="22">
        <f>A48+1</f>
        <v/>
      </c>
      <c r="B49" s="122" t="inlineStr">
        <is>
          <t>CAT DULUX MORNING STAR 2,5 LTR</t>
        </is>
      </c>
      <c r="C49" s="123" t="inlineStr">
        <is>
          <t>GLN</t>
        </is>
      </c>
      <c r="D49" s="26">
        <f>'[1]Week  (4)'!U49</f>
        <v/>
      </c>
      <c r="E49" s="124" t="n"/>
      <c r="F49" s="62" t="n"/>
      <c r="G49" s="25" t="n"/>
      <c r="H49" s="56" t="n"/>
      <c r="I49" s="19" t="n"/>
      <c r="J49" s="64" t="n"/>
      <c r="K49" s="18" t="n"/>
      <c r="L49" s="73" t="n"/>
      <c r="M49" s="73" t="n"/>
      <c r="N49" s="73" t="n"/>
      <c r="O49" s="19" t="n"/>
      <c r="P49" s="18" t="n"/>
      <c r="Q49" s="18" t="n"/>
      <c r="R49" s="73" t="n"/>
      <c r="S49" s="18" t="n"/>
      <c r="T49" s="18" t="n"/>
      <c r="U49" s="26">
        <f>D49+F49+-(H49+J49+L49+N49+P49+R49+T49)</f>
        <v/>
      </c>
      <c r="V49" t="inlineStr">
        <is>
          <t>CIVIL</t>
        </is>
      </c>
    </row>
    <row r="50" ht="15" customHeight="1">
      <c r="A50" s="22">
        <f>A49+1</f>
        <v/>
      </c>
      <c r="B50" s="122" t="inlineStr">
        <is>
          <t>CAT JAVA EXTERIOR</t>
        </is>
      </c>
      <c r="C50" s="123" t="inlineStr">
        <is>
          <t>PAIL</t>
        </is>
      </c>
      <c r="D50" s="26">
        <f>'[1]Week  (4)'!U50</f>
        <v/>
      </c>
      <c r="E50" s="125" t="n"/>
      <c r="F50" s="55" t="n"/>
      <c r="G50" s="52" t="n"/>
      <c r="H50" s="55" t="n"/>
      <c r="I50" s="71" t="n"/>
      <c r="J50" s="55" t="n"/>
      <c r="K50" s="18" t="n"/>
      <c r="L50" s="73" t="n"/>
      <c r="M50" s="18" t="n"/>
      <c r="N50" s="73" t="n"/>
      <c r="O50" s="19" t="n"/>
      <c r="P50" s="18" t="n"/>
      <c r="Q50" s="18" t="n"/>
      <c r="R50" s="73" t="n"/>
      <c r="S50" s="18" t="n"/>
      <c r="T50" s="18" t="n"/>
      <c r="U50" s="26">
        <f>D50+F50+-(H50+J50+L50+N50+P50+R50+T50)</f>
        <v/>
      </c>
      <c r="V50" t="inlineStr">
        <is>
          <t>CIVIL</t>
        </is>
      </c>
    </row>
    <row r="51" ht="15" customHeight="1">
      <c r="A51" s="22">
        <f>A50+1</f>
        <v/>
      </c>
      <c r="B51" s="122" t="inlineStr">
        <is>
          <t>CAT JAVA INTERIOR NO. 31</t>
        </is>
      </c>
      <c r="C51" s="123" t="inlineStr">
        <is>
          <t>PAIL</t>
        </is>
      </c>
      <c r="D51" s="26">
        <f>'[1]Week  (4)'!U51</f>
        <v/>
      </c>
      <c r="E51" s="124" t="n"/>
      <c r="F51" s="62" t="n"/>
      <c r="G51" s="25" t="n"/>
      <c r="H51" s="56" t="n"/>
      <c r="I51" s="19" t="n"/>
      <c r="J51" s="64" t="n"/>
      <c r="K51" s="18" t="n"/>
      <c r="L51" s="73" t="n"/>
      <c r="M51" s="73" t="n"/>
      <c r="N51" s="73" t="n"/>
      <c r="O51" s="19" t="n"/>
      <c r="P51" s="18" t="n"/>
      <c r="Q51" s="18" t="n"/>
      <c r="R51" s="73" t="n"/>
      <c r="S51" s="18" t="n"/>
      <c r="T51" s="18" t="n"/>
      <c r="U51" s="26">
        <f>D51+F51+-(H51+J51+L51+N51+P51+R51+T51)</f>
        <v/>
      </c>
      <c r="V51" t="inlineStr">
        <is>
          <t>CIVIL</t>
        </is>
      </c>
    </row>
    <row r="52" ht="15" customHeight="1">
      <c r="A52" s="22">
        <f>A51+1</f>
        <v/>
      </c>
      <c r="B52" s="122" t="inlineStr">
        <is>
          <t>CAT JAVA INTERIOR NO. 32</t>
        </is>
      </c>
      <c r="C52" s="123" t="inlineStr">
        <is>
          <t>PAIL</t>
        </is>
      </c>
      <c r="D52" s="26">
        <f>'[1]Week  (4)'!U52</f>
        <v/>
      </c>
      <c r="E52" s="125" t="n"/>
      <c r="F52" s="55" t="n"/>
      <c r="G52" s="52" t="n"/>
      <c r="H52" s="55" t="n"/>
      <c r="I52" s="71" t="n"/>
      <c r="J52" s="55" t="n"/>
      <c r="K52" s="18" t="n"/>
      <c r="L52" s="73" t="n"/>
      <c r="M52" s="73" t="n"/>
      <c r="N52" s="73" t="n"/>
      <c r="O52" s="19" t="n"/>
      <c r="P52" s="18" t="n"/>
      <c r="Q52" s="18" t="n"/>
      <c r="R52" s="73" t="n"/>
      <c r="S52" s="18" t="n"/>
      <c r="T52" s="18" t="n"/>
      <c r="U52" s="26">
        <f>D52+F52+-(H52+J52+L52+N52+P52+R52+T52)</f>
        <v/>
      </c>
      <c r="V52" t="inlineStr">
        <is>
          <t>CIVIL</t>
        </is>
      </c>
    </row>
    <row r="53" ht="24" customHeight="1">
      <c r="A53" s="22">
        <f>A52+1</f>
        <v/>
      </c>
      <c r="B53" s="79" t="inlineStr">
        <is>
          <t>Cat NIPPE 2000 No.012 ( CHAMONIK)</t>
        </is>
      </c>
      <c r="C53" s="29" t="inlineStr">
        <is>
          <t>KG</t>
        </is>
      </c>
      <c r="D53" s="26">
        <f>'[1]Week  (4)'!U53</f>
        <v/>
      </c>
      <c r="E53" s="124" t="n"/>
      <c r="F53" s="62" t="n"/>
      <c r="G53" s="25" t="n"/>
      <c r="H53" s="69" t="n"/>
      <c r="I53" s="19" t="n"/>
      <c r="J53" s="64" t="n"/>
      <c r="K53" s="25" t="n"/>
      <c r="L53" s="56" t="n"/>
      <c r="M53" s="73" t="n"/>
      <c r="N53" s="73" t="n"/>
      <c r="O53" s="19" t="n"/>
      <c r="P53" s="18" t="n"/>
      <c r="Q53" s="18" t="n"/>
      <c r="R53" s="73" t="n"/>
      <c r="S53" s="18" t="n"/>
      <c r="T53" s="18" t="n"/>
      <c r="U53" s="26">
        <f>D53+F53+-(H53+J53+L53+N53+P53+R53+T53)</f>
        <v/>
      </c>
      <c r="V53" t="inlineStr">
        <is>
          <t>CIVIL</t>
        </is>
      </c>
    </row>
    <row r="54" ht="24" customHeight="1">
      <c r="A54" s="22">
        <f>A53+1</f>
        <v/>
      </c>
      <c r="B54" s="104" t="inlineStr">
        <is>
          <t>Cat Pylox Hitam</t>
        </is>
      </c>
      <c r="C54" s="29" t="inlineStr">
        <is>
          <t>Btl</t>
        </is>
      </c>
      <c r="D54" s="26">
        <f>'[1]Week  (4)'!U54</f>
        <v/>
      </c>
      <c r="E54" s="125" t="n"/>
      <c r="F54" s="55" t="n"/>
      <c r="G54" s="52" t="n"/>
      <c r="H54" s="55" t="n"/>
      <c r="I54" s="71" t="n"/>
      <c r="J54" s="55" t="n"/>
      <c r="K54" s="18" t="n"/>
      <c r="L54" s="73" t="n"/>
      <c r="M54" s="73" t="n"/>
      <c r="N54" s="73" t="n"/>
      <c r="O54" s="19" t="n"/>
      <c r="P54" s="18" t="n"/>
      <c r="Q54" s="18" t="n"/>
      <c r="R54" s="73" t="n"/>
      <c r="S54" s="18" t="n"/>
      <c r="T54" s="18" t="n"/>
      <c r="U54" s="26">
        <f>D54+F54+-(H54+J54+L54+N54+P54+R54+T54)</f>
        <v/>
      </c>
      <c r="V54" t="inlineStr">
        <is>
          <t>CIVIL</t>
        </is>
      </c>
    </row>
    <row r="55" ht="24" customHeight="1">
      <c r="A55" s="22">
        <f>A54+1</f>
        <v/>
      </c>
      <c r="B55" s="79" t="inlineStr">
        <is>
          <t>Cat Pylox Merah</t>
        </is>
      </c>
      <c r="C55" s="29" t="inlineStr">
        <is>
          <t>Btl</t>
        </is>
      </c>
      <c r="D55" s="26">
        <f>'[1]Week  (4)'!U55</f>
        <v/>
      </c>
      <c r="E55" s="124" t="n"/>
      <c r="F55" s="62" t="n"/>
      <c r="G55" s="25" t="n"/>
      <c r="H55" s="56" t="n"/>
      <c r="I55" s="19" t="n"/>
      <c r="J55" s="64" t="n"/>
      <c r="K55" s="18" t="n"/>
      <c r="L55" s="73" t="n"/>
      <c r="M55" s="73" t="n"/>
      <c r="N55" s="73" t="n"/>
      <c r="O55" s="19" t="n"/>
      <c r="P55" s="18" t="n"/>
      <c r="Q55" s="18" t="n"/>
      <c r="R55" s="73" t="n"/>
      <c r="S55" s="18" t="n"/>
      <c r="T55" s="18" t="n"/>
      <c r="U55" s="26">
        <f>D55+F55+-(H55+J55+L55+N55+P55+R55+T55)</f>
        <v/>
      </c>
      <c r="V55" t="inlineStr">
        <is>
          <t>CIVIL</t>
        </is>
      </c>
    </row>
    <row r="56" ht="24" customHeight="1">
      <c r="A56" s="22">
        <f>A55+1</f>
        <v/>
      </c>
      <c r="B56" s="104" t="inlineStr">
        <is>
          <t>Cat Pylox Putih</t>
        </is>
      </c>
      <c r="C56" s="29" t="inlineStr">
        <is>
          <t>Btl</t>
        </is>
      </c>
      <c r="D56" s="26">
        <f>'[1]Week  (4)'!U56</f>
        <v/>
      </c>
      <c r="E56" s="125" t="n"/>
      <c r="F56" s="55" t="n"/>
      <c r="G56" s="52" t="n"/>
      <c r="H56" s="55" t="n"/>
      <c r="I56" s="71" t="n"/>
      <c r="J56" s="55" t="n"/>
      <c r="K56" s="18" t="n"/>
      <c r="L56" s="73" t="n"/>
      <c r="M56" s="73" t="n"/>
      <c r="N56" s="73" t="n"/>
      <c r="O56" s="19" t="n"/>
      <c r="P56" s="18" t="n"/>
      <c r="Q56" s="18" t="n"/>
      <c r="R56" s="73" t="n"/>
      <c r="S56" s="18" t="n"/>
      <c r="T56" s="18" t="n"/>
      <c r="U56" s="26">
        <f>D56+F56+-(H56+J56+L56+N56+P56+R56+T56)</f>
        <v/>
      </c>
      <c r="V56" t="inlineStr">
        <is>
          <t>CIVIL</t>
        </is>
      </c>
    </row>
    <row r="57" ht="24" customHeight="1">
      <c r="A57" s="22">
        <f>A56+1</f>
        <v/>
      </c>
      <c r="B57" s="104" t="inlineStr">
        <is>
          <t>Cat Zynchromate</t>
        </is>
      </c>
      <c r="C57" s="29" t="inlineStr">
        <is>
          <t>Kg</t>
        </is>
      </c>
      <c r="D57" s="26">
        <f>'[1]Week  (4)'!U57</f>
        <v/>
      </c>
      <c r="E57" s="124" t="n"/>
      <c r="F57" s="62" t="n"/>
      <c r="G57" s="25" t="n"/>
      <c r="H57" s="56" t="n"/>
      <c r="I57" s="19" t="n"/>
      <c r="J57" s="64" t="n"/>
      <c r="K57" s="18" t="n"/>
      <c r="L57" s="73" t="n"/>
      <c r="M57" s="73" t="n"/>
      <c r="N57" s="73" t="n"/>
      <c r="O57" s="19" t="n"/>
      <c r="P57" s="18" t="n"/>
      <c r="Q57" s="18" t="n"/>
      <c r="R57" s="73" t="n"/>
      <c r="S57" s="18" t="n"/>
      <c r="T57" s="18" t="n"/>
      <c r="U57" s="26">
        <f>D57+F57+-(H57+J57+L57+N57+P57+R57+T57)</f>
        <v/>
      </c>
      <c r="V57" t="inlineStr">
        <is>
          <t>CIVIL</t>
        </is>
      </c>
    </row>
    <row r="58" ht="24" customHeight="1">
      <c r="A58" s="22">
        <f>A57+1</f>
        <v/>
      </c>
      <c r="B58" s="104" t="inlineStr">
        <is>
          <t>Cat Avian Putih</t>
        </is>
      </c>
      <c r="C58" s="29" t="inlineStr">
        <is>
          <t>Kg</t>
        </is>
      </c>
      <c r="D58" s="26">
        <f>'[1]Week  (4)'!U58</f>
        <v/>
      </c>
      <c r="E58" s="125" t="n"/>
      <c r="F58" s="55" t="n"/>
      <c r="G58" s="52" t="n"/>
      <c r="H58" s="55" t="n"/>
      <c r="I58" s="71" t="n"/>
      <c r="J58" s="55" t="n"/>
      <c r="K58" s="18" t="n"/>
      <c r="L58" s="73" t="n"/>
      <c r="M58" s="73" t="n"/>
      <c r="N58" s="73" t="n"/>
      <c r="O58" s="19" t="n"/>
      <c r="P58" s="18" t="n"/>
      <c r="Q58" s="18" t="n"/>
      <c r="R58" s="73" t="n"/>
      <c r="S58" s="18" t="n"/>
      <c r="T58" s="18" t="n"/>
      <c r="U58" s="26">
        <f>D58+F58+-(H58+J58+L58+N58+P58+R58+T58)</f>
        <v/>
      </c>
      <c r="V58" t="inlineStr">
        <is>
          <t>CIVIL</t>
        </is>
      </c>
    </row>
    <row r="59" ht="27" customHeight="1">
      <c r="A59" s="22">
        <f>A58+1</f>
        <v/>
      </c>
      <c r="B59" s="122" t="inlineStr">
        <is>
          <t>Semen, Gresik</t>
        </is>
      </c>
      <c r="C59" s="123" t="inlineStr">
        <is>
          <t>SACK</t>
        </is>
      </c>
      <c r="D59" s="26">
        <f>'[1]Week  (4)'!U59</f>
        <v/>
      </c>
      <c r="E59" s="129" t="n"/>
      <c r="F59" s="62" t="n"/>
      <c r="G59" s="68" t="n"/>
      <c r="H59" s="65" t="n"/>
      <c r="I59" s="19" t="n"/>
      <c r="J59" s="77" t="n"/>
      <c r="K59" s="19" t="n"/>
      <c r="L59" s="73" t="n"/>
      <c r="M59" s="19" t="n"/>
      <c r="N59" s="73" t="n"/>
      <c r="O59" s="19" t="n"/>
      <c r="P59" s="18" t="n"/>
      <c r="Q59" s="18" t="n"/>
      <c r="R59" s="73" t="n"/>
      <c r="S59" s="18" t="n"/>
      <c r="T59" s="18" t="n"/>
      <c r="U59" s="26">
        <f>D59+F59+-(H59+J59+L59+N59+P59+R59+T59)</f>
        <v/>
      </c>
      <c r="V59" t="inlineStr">
        <is>
          <t>CIVIL</t>
        </is>
      </c>
    </row>
    <row r="60" ht="15" customHeight="1">
      <c r="A60" s="22">
        <f>A59+1</f>
        <v/>
      </c>
      <c r="B60" s="122" t="inlineStr">
        <is>
          <t>Semen Putih</t>
        </is>
      </c>
      <c r="C60" s="123" t="inlineStr">
        <is>
          <t>Kg</t>
        </is>
      </c>
      <c r="D60" s="26">
        <f>'[1]Week  (4)'!U60</f>
        <v/>
      </c>
      <c r="E60" s="125" t="n"/>
      <c r="F60" s="55" t="n"/>
      <c r="G60" s="68" t="n"/>
      <c r="H60" s="55" t="n"/>
      <c r="I60" s="71" t="n"/>
      <c r="J60" s="55" t="n"/>
      <c r="K60" s="19" t="n"/>
      <c r="L60" s="73" t="n"/>
      <c r="M60" s="73" t="n"/>
      <c r="N60" s="73" t="n"/>
      <c r="O60" s="19" t="n"/>
      <c r="P60" s="18" t="n"/>
      <c r="Q60" s="18" t="n"/>
      <c r="R60" s="73" t="n"/>
      <c r="S60" s="18" t="n"/>
      <c r="T60" s="18" t="n"/>
      <c r="U60" s="26">
        <f>D60+F60+-(H60+J60+L60+N60+P60+R60+T60)</f>
        <v/>
      </c>
      <c r="V60" t="inlineStr">
        <is>
          <t>CIVIL</t>
        </is>
      </c>
    </row>
    <row r="61" ht="15" customHeight="1">
      <c r="A61" s="22">
        <f>A60+1</f>
        <v/>
      </c>
      <c r="B61" s="122" t="inlineStr">
        <is>
          <t>Ceramic size 20x25 PUTIH</t>
        </is>
      </c>
      <c r="C61" s="123" t="inlineStr">
        <is>
          <t>DUs</t>
        </is>
      </c>
      <c r="D61" s="26">
        <f>'[1]Week  (4)'!U61</f>
        <v/>
      </c>
      <c r="E61" s="124" t="n"/>
      <c r="F61" s="62" t="n"/>
      <c r="G61" s="25" t="n"/>
      <c r="H61" s="56" t="n"/>
      <c r="I61" s="19" t="n"/>
      <c r="J61" s="64" t="n"/>
      <c r="K61" s="18" t="n"/>
      <c r="L61" s="73" t="n"/>
      <c r="M61" s="73" t="n"/>
      <c r="N61" s="73" t="n"/>
      <c r="O61" s="19" t="n"/>
      <c r="P61" s="18" t="n"/>
      <c r="Q61" s="18" t="n"/>
      <c r="R61" s="73" t="n"/>
      <c r="S61" s="18" t="n"/>
      <c r="T61" s="18" t="n"/>
      <c r="U61" s="26">
        <f>D61+F61+-(H61+J61+L61+N61+P61+R61+T61)</f>
        <v/>
      </c>
      <c r="V61" t="inlineStr">
        <is>
          <t>CIVIL</t>
        </is>
      </c>
    </row>
    <row r="62" ht="15" customHeight="1">
      <c r="A62" s="22">
        <f>A61+1</f>
        <v/>
      </c>
      <c r="B62" s="122" t="inlineStr">
        <is>
          <t>Ceramic size 30x30</t>
        </is>
      </c>
      <c r="C62" s="123" t="inlineStr">
        <is>
          <t>Dus</t>
        </is>
      </c>
      <c r="D62" s="26">
        <f>'[1]Week  (4)'!U62</f>
        <v/>
      </c>
      <c r="E62" s="125" t="n"/>
      <c r="F62" s="55" t="n"/>
      <c r="G62" s="52" t="n"/>
      <c r="H62" s="55" t="n"/>
      <c r="I62" s="71" t="n"/>
      <c r="J62" s="55" t="n"/>
      <c r="K62" s="18" t="n"/>
      <c r="L62" s="73" t="n"/>
      <c r="M62" s="73" t="n"/>
      <c r="N62" s="73" t="n"/>
      <c r="O62" s="19" t="n"/>
      <c r="P62" s="18" t="n"/>
      <c r="Q62" s="18" t="n"/>
      <c r="R62" s="73" t="n"/>
      <c r="S62" s="18" t="n"/>
      <c r="T62" s="18" t="n"/>
      <c r="U62" s="26">
        <f>D62+F62+-(H62+J62+L62+N62+P62+R62+T62)</f>
        <v/>
      </c>
      <c r="V62" t="inlineStr">
        <is>
          <t>CIVIL</t>
        </is>
      </c>
    </row>
    <row r="63" ht="15" customHeight="1">
      <c r="A63" s="22">
        <f>A62+1</f>
        <v/>
      </c>
      <c r="B63" s="122" t="inlineStr">
        <is>
          <t>Contactor LC1D09M7, Scheider</t>
        </is>
      </c>
      <c r="C63" s="123" t="inlineStr">
        <is>
          <t>PCS</t>
        </is>
      </c>
      <c r="D63" s="26">
        <f>'[1]Week  (4)'!U63</f>
        <v/>
      </c>
      <c r="E63" s="124" t="n"/>
      <c r="F63" s="62" t="n"/>
      <c r="G63" s="25" t="n"/>
      <c r="H63" s="56" t="n"/>
      <c r="I63" s="19" t="n"/>
      <c r="J63" s="64" t="n"/>
      <c r="K63" s="18" t="n"/>
      <c r="L63" s="73" t="n"/>
      <c r="M63" s="73" t="n"/>
      <c r="N63" s="73" t="n"/>
      <c r="O63" s="19" t="n"/>
      <c r="P63" s="18" t="n"/>
      <c r="Q63" s="18" t="n"/>
      <c r="R63" s="73" t="n"/>
      <c r="S63" s="18" t="n"/>
      <c r="T63" s="18" t="n"/>
      <c r="U63" s="26">
        <f>D63+F63+-(H63+J63+L63+N63+P63+R63+T63)</f>
        <v/>
      </c>
      <c r="V63" t="inlineStr">
        <is>
          <t>ELECTRICAL</t>
        </is>
      </c>
    </row>
    <row r="64" ht="15" customHeight="1">
      <c r="A64" s="22">
        <f>A63+1</f>
        <v/>
      </c>
      <c r="B64" s="122" t="inlineStr">
        <is>
          <t>Contactor LC1D12M7, Scheider</t>
        </is>
      </c>
      <c r="C64" s="123" t="inlineStr">
        <is>
          <t>PCS</t>
        </is>
      </c>
      <c r="D64" s="26">
        <f>'[1]Week  (4)'!U64</f>
        <v/>
      </c>
      <c r="E64" s="125" t="n"/>
      <c r="F64" s="55" t="n"/>
      <c r="G64" s="52" t="n"/>
      <c r="H64" s="55" t="n"/>
      <c r="I64" s="71" t="n"/>
      <c r="J64" s="55" t="n"/>
      <c r="K64" s="18" t="n"/>
      <c r="L64" s="73" t="n"/>
      <c r="M64" s="73" t="n"/>
      <c r="N64" s="73" t="n"/>
      <c r="O64" s="19" t="n"/>
      <c r="P64" s="18" t="n"/>
      <c r="Q64" s="18" t="n"/>
      <c r="R64" s="73" t="n"/>
      <c r="S64" s="18" t="n"/>
      <c r="T64" s="18" t="n"/>
      <c r="U64" s="26">
        <f>D64+F64+-(H64+J64+L64+N64+P64+R64+T64)</f>
        <v/>
      </c>
      <c r="V64" t="inlineStr">
        <is>
          <t>ELECTRICAL</t>
        </is>
      </c>
    </row>
    <row r="65" ht="15" customHeight="1">
      <c r="A65" s="22">
        <f>A64+1</f>
        <v/>
      </c>
      <c r="B65" s="122" t="inlineStr">
        <is>
          <t>Contactor LC1D18M7, Scheider</t>
        </is>
      </c>
      <c r="C65" s="123" t="inlineStr">
        <is>
          <t>PCS</t>
        </is>
      </c>
      <c r="D65" s="26">
        <f>'[1]Week  (4)'!U65</f>
        <v/>
      </c>
      <c r="E65" s="124" t="n"/>
      <c r="F65" s="62" t="n"/>
      <c r="G65" s="25" t="n"/>
      <c r="H65" s="56" t="n"/>
      <c r="I65" s="19" t="n"/>
      <c r="J65" s="64" t="n"/>
      <c r="K65" s="18" t="n"/>
      <c r="L65" s="73" t="n"/>
      <c r="M65" s="73" t="n"/>
      <c r="N65" s="73" t="n"/>
      <c r="O65" s="19" t="n"/>
      <c r="P65" s="18" t="n"/>
      <c r="Q65" s="18" t="n"/>
      <c r="R65" s="73" t="n"/>
      <c r="S65" s="18" t="n"/>
      <c r="T65" s="18" t="n"/>
      <c r="U65" s="26">
        <f>D65+F65+-(H65+J65+L65+N65+P65+R65+T65)</f>
        <v/>
      </c>
      <c r="V65" t="inlineStr">
        <is>
          <t>ELECTRICAL</t>
        </is>
      </c>
    </row>
    <row r="66" ht="15" customHeight="1">
      <c r="A66" s="22">
        <f>A65+1</f>
        <v/>
      </c>
      <c r="B66" s="122" t="inlineStr">
        <is>
          <t>Contactor LC1D25M7, Scheider</t>
        </is>
      </c>
      <c r="C66" s="123" t="inlineStr">
        <is>
          <t>PCS</t>
        </is>
      </c>
      <c r="D66" s="26">
        <f>'[1]Week  (4)'!U66</f>
        <v/>
      </c>
      <c r="E66" s="125" t="n"/>
      <c r="F66" s="55" t="n"/>
      <c r="G66" s="52" t="n"/>
      <c r="H66" s="55" t="n"/>
      <c r="I66" s="71" t="n"/>
      <c r="J66" s="55" t="n"/>
      <c r="K66" s="18" t="n"/>
      <c r="L66" s="73" t="n"/>
      <c r="M66" s="73" t="n"/>
      <c r="N66" s="73" t="n"/>
      <c r="O66" s="19" t="n"/>
      <c r="P66" s="18" t="n"/>
      <c r="Q66" s="19" t="n"/>
      <c r="R66" s="18" t="n"/>
      <c r="S66" s="18" t="n"/>
      <c r="T66" s="18" t="n"/>
      <c r="U66" s="26">
        <f>D66+F66+-(H66+J66+L66+N66+P66+R66+T66)</f>
        <v/>
      </c>
      <c r="V66" t="inlineStr">
        <is>
          <t>ELECTRICAL</t>
        </is>
      </c>
    </row>
    <row r="67" ht="15" customHeight="1">
      <c r="A67" s="22">
        <f>A66+1</f>
        <v/>
      </c>
      <c r="B67" s="122" t="inlineStr">
        <is>
          <t>Contactor LC1D32M7, Scheider</t>
        </is>
      </c>
      <c r="C67" s="123" t="inlineStr">
        <is>
          <t>PCS</t>
        </is>
      </c>
      <c r="D67" s="26">
        <f>'[1]Week  (4)'!U67</f>
        <v/>
      </c>
      <c r="E67" s="124" t="n"/>
      <c r="F67" s="62" t="n"/>
      <c r="G67" s="25" t="n"/>
      <c r="H67" s="56" t="n"/>
      <c r="I67" s="19" t="n"/>
      <c r="J67" s="64" t="n"/>
      <c r="K67" s="19" t="n"/>
      <c r="L67" s="73" t="n"/>
      <c r="M67" s="73" t="n"/>
      <c r="N67" s="73" t="n"/>
      <c r="O67" s="19" t="n"/>
      <c r="P67" s="18" t="n"/>
      <c r="Q67" s="18" t="n"/>
      <c r="R67" s="73" t="n"/>
      <c r="S67" s="18" t="n"/>
      <c r="T67" s="18" t="n"/>
      <c r="U67" s="26">
        <f>D67+F67+-(H67+J67+L67+N67+P67+R67+T67)</f>
        <v/>
      </c>
      <c r="V67" t="inlineStr">
        <is>
          <t>ELECTRICAL</t>
        </is>
      </c>
    </row>
    <row r="68" ht="15" customHeight="1">
      <c r="A68" s="22">
        <f>A67+1</f>
        <v/>
      </c>
      <c r="B68" s="38" t="inlineStr">
        <is>
          <t>Coupler  Equal Tee 20 x 20</t>
        </is>
      </c>
      <c r="C68" s="123" t="inlineStr">
        <is>
          <t>PCS</t>
        </is>
      </c>
      <c r="D68" s="26">
        <f>'[1]Week  (4)'!U68</f>
        <v/>
      </c>
      <c r="E68" s="125" t="n"/>
      <c r="F68" s="55" t="n"/>
      <c r="G68" s="52" t="n"/>
      <c r="H68" s="55" t="n"/>
      <c r="I68" s="71" t="n"/>
      <c r="J68" s="55" t="n"/>
      <c r="K68" s="18" t="n"/>
      <c r="L68" s="73" t="n"/>
      <c r="M68" s="73" t="n"/>
      <c r="N68" s="73" t="n"/>
      <c r="O68" s="19" t="n"/>
      <c r="P68" s="18" t="n"/>
      <c r="Q68" s="18" t="n"/>
      <c r="R68" s="73" t="n"/>
      <c r="S68" s="18" t="n"/>
      <c r="T68" s="18" t="n"/>
      <c r="U68" s="26">
        <f>D68+F68+-(H68+J68+L68+N68+P68+R68+T68)</f>
        <v/>
      </c>
      <c r="V68" t="inlineStr">
        <is>
          <t>VALVE AND PIPE</t>
        </is>
      </c>
    </row>
    <row r="69" ht="15" customHeight="1">
      <c r="A69" s="22">
        <f>A68+1</f>
        <v/>
      </c>
      <c r="B69" s="38" t="inlineStr">
        <is>
          <t>Coupler  Equal Tee 32 x 32</t>
        </is>
      </c>
      <c r="C69" s="123" t="inlineStr">
        <is>
          <t>PCS</t>
        </is>
      </c>
      <c r="D69" s="26">
        <f>'[1]Week  (4)'!U69</f>
        <v/>
      </c>
      <c r="E69" s="124" t="n"/>
      <c r="F69" s="62" t="n"/>
      <c r="G69" s="25" t="n"/>
      <c r="H69" s="56" t="n"/>
      <c r="I69" s="19" t="n"/>
      <c r="J69" s="64" t="n"/>
      <c r="K69" s="18" t="n"/>
      <c r="L69" s="73" t="n"/>
      <c r="M69" s="73" t="n"/>
      <c r="N69" s="73" t="n"/>
      <c r="O69" s="19" t="n"/>
      <c r="P69" s="18" t="n"/>
      <c r="Q69" s="18" t="n"/>
      <c r="R69" s="73" t="n"/>
      <c r="S69" s="18" t="n"/>
      <c r="T69" s="18" t="n"/>
      <c r="U69" s="26">
        <f>D69+F69+-(H69+J69+L69+N69+P69+R69+T69)</f>
        <v/>
      </c>
      <c r="V69" t="inlineStr">
        <is>
          <t>VALVE AND PIPE</t>
        </is>
      </c>
    </row>
    <row r="70" ht="30.75" customHeight="1">
      <c r="A70" s="22">
        <f>A69+1</f>
        <v/>
      </c>
      <c r="B70" s="39" t="inlineStr">
        <is>
          <t>Coupler HDPE Mechanical Joint ø 110</t>
        </is>
      </c>
      <c r="C70" s="123" t="inlineStr">
        <is>
          <t>PCS</t>
        </is>
      </c>
      <c r="D70" s="26">
        <f>'[1]Week  (4)'!U70</f>
        <v/>
      </c>
      <c r="E70" s="125" t="n"/>
      <c r="F70" s="55" t="n"/>
      <c r="G70" s="52" t="n"/>
      <c r="H70" s="55" t="n"/>
      <c r="I70" s="71" t="n"/>
      <c r="J70" s="55" t="n"/>
      <c r="K70" s="18" t="n"/>
      <c r="L70" s="73" t="n"/>
      <c r="M70" s="73" t="n"/>
      <c r="N70" s="73" t="n"/>
      <c r="O70" s="19" t="n"/>
      <c r="P70" s="18" t="n"/>
      <c r="Q70" s="18" t="n"/>
      <c r="R70" s="73" t="n"/>
      <c r="S70" s="18" t="n"/>
      <c r="T70" s="18" t="n"/>
      <c r="U70" s="26">
        <f>D70+F70+-(H70+J70+L70+N70+P70+R70+T70)</f>
        <v/>
      </c>
      <c r="V70" t="inlineStr">
        <is>
          <t>VALVE AND PIPE</t>
        </is>
      </c>
    </row>
    <row r="71" ht="33.75" customHeight="1">
      <c r="A71" s="22">
        <f>A70+1</f>
        <v/>
      </c>
      <c r="B71" s="39" t="inlineStr">
        <is>
          <t>Coupler HDPE Mechanical Joint ø 63</t>
        </is>
      </c>
      <c r="C71" s="123" t="inlineStr">
        <is>
          <t>PCS</t>
        </is>
      </c>
      <c r="D71" s="26">
        <f>'[1]Week  (4)'!U71</f>
        <v/>
      </c>
      <c r="E71" s="124" t="n"/>
      <c r="F71" s="62" t="n"/>
      <c r="G71" s="25" t="n"/>
      <c r="H71" s="56" t="n"/>
      <c r="I71" s="19" t="n"/>
      <c r="J71" s="64" t="n"/>
      <c r="K71" s="18" t="n"/>
      <c r="L71" s="73" t="n"/>
      <c r="M71" s="73" t="n"/>
      <c r="N71" s="73" t="n"/>
      <c r="O71" s="19" t="n"/>
      <c r="P71" s="18" t="n"/>
      <c r="Q71" s="18" t="n"/>
      <c r="R71" s="73" t="n"/>
      <c r="S71" s="18" t="n"/>
      <c r="T71" s="18" t="n"/>
      <c r="U71" s="26">
        <f>D71+F71+-(H71+J71+L71+N71+P71+R71+T71)</f>
        <v/>
      </c>
      <c r="V71" t="inlineStr">
        <is>
          <t>VALVE AND PIPE</t>
        </is>
      </c>
    </row>
    <row r="72" ht="30" customHeight="1">
      <c r="A72" s="22">
        <f>A71+1</f>
        <v/>
      </c>
      <c r="B72" s="39" t="inlineStr">
        <is>
          <t>Coupler HDPE Mechanical Joint ø 90 X 75</t>
        </is>
      </c>
      <c r="C72" s="123" t="inlineStr">
        <is>
          <t>PCS</t>
        </is>
      </c>
      <c r="D72" s="26">
        <f>'[1]Week  (4)'!U72</f>
        <v/>
      </c>
      <c r="E72" s="125" t="n"/>
      <c r="F72" s="55" t="n"/>
      <c r="G72" s="52" t="n"/>
      <c r="H72" s="55" t="n"/>
      <c r="I72" s="71" t="n"/>
      <c r="J72" s="55" t="n"/>
      <c r="K72" s="18" t="n"/>
      <c r="L72" s="73" t="n"/>
      <c r="M72" s="73" t="n"/>
      <c r="N72" s="73" t="n"/>
      <c r="O72" s="19" t="n"/>
      <c r="P72" s="18" t="n"/>
      <c r="Q72" s="18" t="n"/>
      <c r="R72" s="73" t="n"/>
      <c r="S72" s="18" t="n"/>
      <c r="T72" s="18" t="n"/>
      <c r="U72" s="26">
        <f>D72+F72+-(H72+J72+L72+N72+P72+R72+T72)</f>
        <v/>
      </c>
      <c r="V72" t="inlineStr">
        <is>
          <t>VALVE AND PIPE</t>
        </is>
      </c>
    </row>
    <row r="73" ht="24" customHeight="1">
      <c r="A73" s="22">
        <f>A72+1</f>
        <v/>
      </c>
      <c r="B73" s="38" t="inlineStr">
        <is>
          <t>Coupler of Reducing  25 x 20</t>
        </is>
      </c>
      <c r="C73" s="123" t="inlineStr">
        <is>
          <t>PCS</t>
        </is>
      </c>
      <c r="D73" s="26">
        <f>'[1]Week  (4)'!U73</f>
        <v/>
      </c>
      <c r="E73" s="124" t="n"/>
      <c r="F73" s="62" t="n"/>
      <c r="G73" s="25" t="n"/>
      <c r="H73" s="56" t="n"/>
      <c r="I73" s="19" t="n"/>
      <c r="J73" s="64" t="n"/>
      <c r="K73" s="18" t="n"/>
      <c r="L73" s="73" t="n"/>
      <c r="M73" s="73" t="n"/>
      <c r="N73" s="73" t="n"/>
      <c r="O73" s="19" t="n"/>
      <c r="P73" s="18" t="n"/>
      <c r="Q73" s="18" t="n"/>
      <c r="R73" s="73" t="n"/>
      <c r="S73" s="18" t="n"/>
      <c r="T73" s="18" t="n"/>
      <c r="U73" s="26">
        <f>D73+F73+-(H73+J73+L73+N73+P73+R73+T73)</f>
        <v/>
      </c>
      <c r="V73" t="inlineStr">
        <is>
          <t>VALVE AND PIPE</t>
        </is>
      </c>
    </row>
    <row r="74" ht="24" customHeight="1">
      <c r="A74" s="22">
        <f>A73+1</f>
        <v/>
      </c>
      <c r="B74" s="38" t="inlineStr">
        <is>
          <t>Coupler Straight 20 x 20</t>
        </is>
      </c>
      <c r="C74" s="123" t="inlineStr">
        <is>
          <t>PCS</t>
        </is>
      </c>
      <c r="D74" s="26">
        <f>'[1]Week  (4)'!U74</f>
        <v/>
      </c>
      <c r="E74" s="125" t="n"/>
      <c r="F74" s="55" t="n"/>
      <c r="G74" s="52" t="n"/>
      <c r="H74" s="55" t="n"/>
      <c r="I74" s="71" t="n"/>
      <c r="J74" s="55" t="n"/>
      <c r="K74" s="18" t="n"/>
      <c r="L74" s="73" t="n"/>
      <c r="M74" s="73" t="n"/>
      <c r="N74" s="73" t="n"/>
      <c r="O74" s="19" t="n"/>
      <c r="P74" s="18" t="n"/>
      <c r="Q74" s="18" t="n"/>
      <c r="R74" s="73" t="n"/>
      <c r="S74" s="18" t="n"/>
      <c r="T74" s="18" t="n"/>
      <c r="U74" s="26">
        <f>D74+F74+-(H74+J74+L74+N74+P74+R74+T74)</f>
        <v/>
      </c>
      <c r="V74" t="inlineStr">
        <is>
          <t>VALVE AND PIPE</t>
        </is>
      </c>
    </row>
    <row r="75" ht="24" customHeight="1">
      <c r="A75" s="22">
        <f>A74+1</f>
        <v/>
      </c>
      <c r="B75" s="38" t="inlineStr">
        <is>
          <t xml:space="preserve">Coupler Straight 25 x 25 </t>
        </is>
      </c>
      <c r="C75" s="123" t="inlineStr">
        <is>
          <t>PCS</t>
        </is>
      </c>
      <c r="D75" s="26">
        <f>'[1]Week  (4)'!U75</f>
        <v/>
      </c>
      <c r="E75" s="124" t="n"/>
      <c r="F75" s="62" t="n"/>
      <c r="G75" s="25" t="n"/>
      <c r="H75" s="56" t="n"/>
      <c r="I75" s="19" t="n"/>
      <c r="J75" s="64" t="n"/>
      <c r="K75" s="18" t="n"/>
      <c r="L75" s="73" t="n"/>
      <c r="M75" s="73" t="n"/>
      <c r="N75" s="73" t="n"/>
      <c r="O75" s="19" t="n"/>
      <c r="P75" s="18" t="n"/>
      <c r="Q75" s="18" t="n"/>
      <c r="R75" s="73" t="n"/>
      <c r="S75" s="18" t="n"/>
      <c r="T75" s="18" t="n"/>
      <c r="U75" s="26">
        <f>D75+F75+-(H75+J75+L75+N75+P75+R75+T75)</f>
        <v/>
      </c>
      <c r="V75" t="inlineStr">
        <is>
          <t>VALVE AND PIPE</t>
        </is>
      </c>
    </row>
    <row r="76" ht="15" customHeight="1">
      <c r="A76" s="22">
        <f>A75+1</f>
        <v/>
      </c>
      <c r="B76" s="38" t="inlineStr">
        <is>
          <t>Coupler Straight 32 x 32</t>
        </is>
      </c>
      <c r="C76" s="123" t="inlineStr">
        <is>
          <t>PCS</t>
        </is>
      </c>
      <c r="D76" s="26">
        <f>'[1]Week  (4)'!U76</f>
        <v/>
      </c>
      <c r="E76" s="125" t="n"/>
      <c r="F76" s="55" t="n"/>
      <c r="G76" s="52" t="n"/>
      <c r="H76" s="55" t="n"/>
      <c r="I76" s="71" t="n"/>
      <c r="J76" s="55" t="n"/>
      <c r="K76" s="18" t="n"/>
      <c r="L76" s="73" t="n"/>
      <c r="M76" s="73" t="n"/>
      <c r="N76" s="73" t="n"/>
      <c r="O76" s="19" t="n"/>
      <c r="P76" s="18" t="n"/>
      <c r="Q76" s="18" t="n"/>
      <c r="R76" s="73" t="n"/>
      <c r="S76" s="18" t="n"/>
      <c r="T76" s="18" t="n"/>
      <c r="U76" s="26">
        <f>D76+F76+-(H76+J76+L76+N76+P76+R76+T76)</f>
        <v/>
      </c>
      <c r="V76" t="inlineStr">
        <is>
          <t>VALVE AND PIPE</t>
        </is>
      </c>
    </row>
    <row r="77" ht="15" customHeight="1">
      <c r="A77" s="22">
        <f>A76+1</f>
        <v/>
      </c>
      <c r="B77" s="122" t="inlineStr">
        <is>
          <t xml:space="preserve">Cylinder Lock, Muller </t>
        </is>
      </c>
      <c r="C77" s="123" t="inlineStr">
        <is>
          <t>PCS</t>
        </is>
      </c>
      <c r="D77" s="26">
        <f>'[1]Week  (4)'!U77</f>
        <v/>
      </c>
      <c r="E77" s="124" t="n"/>
      <c r="F77" s="62" t="n"/>
      <c r="G77" s="25" t="n"/>
      <c r="H77" s="56" t="n"/>
      <c r="I77" s="19" t="n"/>
      <c r="J77" s="64" t="n"/>
      <c r="K77" s="68" t="n"/>
      <c r="L77" s="56" t="n"/>
      <c r="M77" s="73" t="n"/>
      <c r="N77" s="73" t="n"/>
      <c r="O77" s="19" t="n"/>
      <c r="P77" s="18" t="n"/>
      <c r="Q77" s="18" t="n"/>
      <c r="R77" s="73" t="n"/>
      <c r="S77" s="18" t="n"/>
      <c r="T77" s="18" t="n"/>
      <c r="U77" s="26">
        <f>D77+F77+-(H77+J77+L77+N77+P77+R77+T77)</f>
        <v/>
      </c>
      <c r="V77" t="inlineStr">
        <is>
          <t>CIVIL</t>
        </is>
      </c>
    </row>
    <row r="78" ht="24" customHeight="1">
      <c r="A78" s="22">
        <f>A77+1</f>
        <v/>
      </c>
      <c r="B78" s="122" t="inlineStr">
        <is>
          <t>Defrost Kulkas LG</t>
        </is>
      </c>
      <c r="C78" s="123" t="inlineStr">
        <is>
          <t>PCS</t>
        </is>
      </c>
      <c r="D78" s="26">
        <f>'[1]Week  (4)'!U78</f>
        <v/>
      </c>
      <c r="E78" s="125" t="n"/>
      <c r="F78" s="55" t="n"/>
      <c r="G78" s="52" t="n"/>
      <c r="H78" s="55" t="n"/>
      <c r="I78" s="71" t="n"/>
      <c r="J78" s="55" t="n"/>
      <c r="K78" s="18" t="n"/>
      <c r="L78" s="73" t="n"/>
      <c r="M78" s="73" t="n"/>
      <c r="N78" s="73" t="n"/>
      <c r="O78" s="19" t="n"/>
      <c r="P78" s="18" t="n"/>
      <c r="Q78" s="18" t="n"/>
      <c r="R78" s="73" t="n"/>
      <c r="S78" s="18" t="n"/>
      <c r="T78" s="18" t="n"/>
      <c r="U78" s="26">
        <f>D78+F78+-(H78+J78+L78+N78+P78+R78+T78)</f>
        <v/>
      </c>
      <c r="V78" t="inlineStr">
        <is>
          <t>ELECTRICAL</t>
        </is>
      </c>
    </row>
    <row r="79" ht="24" customHeight="1">
      <c r="A79" s="22">
        <f>A78+1</f>
        <v/>
      </c>
      <c r="B79" s="122" t="inlineStr">
        <is>
          <t>Defrost Kulkas samsung / panasonic</t>
        </is>
      </c>
      <c r="C79" s="123" t="inlineStr">
        <is>
          <t>PCS</t>
        </is>
      </c>
      <c r="D79" s="26">
        <f>'[1]Week  (4)'!U79</f>
        <v/>
      </c>
      <c r="E79" s="124" t="n"/>
      <c r="F79" s="62" t="n"/>
      <c r="G79" s="25" t="n"/>
      <c r="H79" s="56" t="n"/>
      <c r="I79" s="19" t="n"/>
      <c r="J79" s="64" t="n"/>
      <c r="K79" s="18" t="n"/>
      <c r="L79" s="73" t="n"/>
      <c r="M79" s="73" t="n"/>
      <c r="N79" s="73" t="n"/>
      <c r="O79" s="19" t="n"/>
      <c r="P79" s="18" t="n"/>
      <c r="Q79" s="18" t="n"/>
      <c r="R79" s="73" t="n"/>
      <c r="S79" s="18" t="n"/>
      <c r="T79" s="18" t="n"/>
      <c r="U79" s="26">
        <f>D79+F79+-(H79+J79+L79+N79+P79+R79+T79)</f>
        <v/>
      </c>
      <c r="V79" t="inlineStr">
        <is>
          <t>ELECTRICAL</t>
        </is>
      </c>
    </row>
    <row r="80" ht="24" customHeight="1">
      <c r="A80" s="22">
        <f>A79+1</f>
        <v/>
      </c>
      <c r="B80" s="122" t="inlineStr">
        <is>
          <t>Defrost Kulkas SANYO</t>
        </is>
      </c>
      <c r="C80" s="123" t="inlineStr">
        <is>
          <t>PCS</t>
        </is>
      </c>
      <c r="D80" s="26">
        <f>'[1]Week  (4)'!U80</f>
        <v/>
      </c>
      <c r="E80" s="125" t="n"/>
      <c r="F80" s="55" t="n"/>
      <c r="G80" s="52" t="n"/>
      <c r="H80" s="55" t="n"/>
      <c r="I80" s="71" t="n"/>
      <c r="J80" s="55" t="n"/>
      <c r="K80" s="18" t="n"/>
      <c r="L80" s="73" t="n"/>
      <c r="M80" s="73" t="n"/>
      <c r="N80" s="73" t="n"/>
      <c r="O80" s="19" t="n"/>
      <c r="P80" s="18" t="n"/>
      <c r="Q80" s="18" t="n"/>
      <c r="R80" s="73" t="n"/>
      <c r="S80" s="18" t="n"/>
      <c r="T80" s="18" t="n"/>
      <c r="U80" s="26">
        <f>D80+F80+-(H80+J80+L80+N80+P80+R80+T80)</f>
        <v/>
      </c>
      <c r="V80" t="inlineStr">
        <is>
          <t>ELECTRICAL</t>
        </is>
      </c>
    </row>
    <row r="81" ht="39" customHeight="1">
      <c r="A81" s="22">
        <f>A80+1</f>
        <v/>
      </c>
      <c r="B81" s="79" t="inlineStr">
        <is>
          <t>Doble Neple Besi 1/2"</t>
        </is>
      </c>
      <c r="C81" s="40" t="inlineStr">
        <is>
          <t>Pcs</t>
        </is>
      </c>
      <c r="D81" s="26">
        <f>'[1]Week  (4)'!U81</f>
        <v/>
      </c>
      <c r="E81" s="124" t="n"/>
      <c r="F81" s="62" t="n"/>
      <c r="G81" s="25" t="n"/>
      <c r="H81" s="56" t="n"/>
      <c r="I81" s="19" t="n"/>
      <c r="J81" s="64" t="n"/>
      <c r="K81" s="18" t="n"/>
      <c r="L81" s="73" t="n"/>
      <c r="M81" s="73" t="n"/>
      <c r="N81" s="73" t="n"/>
      <c r="O81" s="19" t="n"/>
      <c r="P81" s="18" t="n"/>
      <c r="Q81" s="18" t="n"/>
      <c r="R81" s="73" t="n"/>
      <c r="S81" s="18" t="n"/>
      <c r="T81" s="18" t="n"/>
      <c r="U81" s="26">
        <f>D81+F81+-(H81+J81+L81+N81+P81+R81+T81)</f>
        <v/>
      </c>
      <c r="V81" t="inlineStr">
        <is>
          <t>VALVE AND PIPE</t>
        </is>
      </c>
    </row>
    <row r="82" ht="29.25" customHeight="1">
      <c r="A82" s="22">
        <f>A81+1</f>
        <v/>
      </c>
      <c r="B82" s="38" t="inlineStr">
        <is>
          <t>Elbow Drat Dalam  20 x 1/2" hdpe</t>
        </is>
      </c>
      <c r="C82" s="123" t="inlineStr">
        <is>
          <t>PCS</t>
        </is>
      </c>
      <c r="D82" s="26">
        <f>'[1]Week  (4)'!U82</f>
        <v/>
      </c>
      <c r="E82" s="125" t="n"/>
      <c r="F82" s="55" t="n"/>
      <c r="G82" s="52" t="n"/>
      <c r="H82" s="55" t="n"/>
      <c r="I82" s="71" t="n"/>
      <c r="J82" s="55" t="n"/>
      <c r="K82" s="18" t="n"/>
      <c r="L82" s="73" t="n"/>
      <c r="M82" s="73" t="n"/>
      <c r="N82" s="73" t="n"/>
      <c r="O82" s="19" t="n"/>
      <c r="P82" s="18" t="n"/>
      <c r="Q82" s="18" t="n"/>
      <c r="R82" s="73" t="n"/>
      <c r="S82" s="18" t="n"/>
      <c r="T82" s="18" t="n"/>
      <c r="U82" s="26">
        <f>D82+F82+-(H82+J82+L82+N82+P82+R82+T82)</f>
        <v/>
      </c>
      <c r="V82" t="inlineStr">
        <is>
          <t>VALVE AND PIPE</t>
        </is>
      </c>
    </row>
    <row r="83">
      <c r="A83" s="22">
        <f>A82+1</f>
        <v/>
      </c>
      <c r="B83" s="79" t="inlineStr">
        <is>
          <t>Elbow PVC AW  1"</t>
        </is>
      </c>
      <c r="C83" s="40" t="inlineStr">
        <is>
          <t>Pcs</t>
        </is>
      </c>
      <c r="D83" s="26">
        <f>'[1]Week  (4)'!U83</f>
        <v/>
      </c>
      <c r="E83" s="124" t="n"/>
      <c r="F83" s="62" t="n"/>
      <c r="G83" s="25" t="n"/>
      <c r="H83" s="56" t="n"/>
      <c r="I83" s="19" t="n"/>
      <c r="J83" s="64" t="n"/>
      <c r="K83" s="18" t="n"/>
      <c r="L83" s="73" t="n"/>
      <c r="M83" s="73" t="n"/>
      <c r="N83" s="73" t="n"/>
      <c r="O83" s="19" t="n"/>
      <c r="P83" s="18" t="n"/>
      <c r="Q83" s="18" t="n"/>
      <c r="R83" s="73" t="n"/>
      <c r="S83" s="18" t="n"/>
      <c r="T83" s="18" t="n"/>
      <c r="U83" s="26">
        <f>D83+F83+-(H83+J83+L83+N83+P83+R83+T83)</f>
        <v/>
      </c>
      <c r="V83" t="inlineStr">
        <is>
          <t>VALVE AND PIPE</t>
        </is>
      </c>
    </row>
    <row r="84">
      <c r="A84" s="22">
        <f>A83+1</f>
        <v/>
      </c>
      <c r="B84" s="79" t="inlineStr">
        <is>
          <t>Elbow PVC AW  1/2"</t>
        </is>
      </c>
      <c r="C84" s="40" t="inlineStr">
        <is>
          <t>Pcs</t>
        </is>
      </c>
      <c r="D84" s="26">
        <f>'[1]Week  (4)'!U84</f>
        <v/>
      </c>
      <c r="E84" s="125" t="n"/>
      <c r="F84" s="55" t="n"/>
      <c r="G84" s="52" t="n"/>
      <c r="H84" s="55" t="n"/>
      <c r="I84" s="71" t="n"/>
      <c r="J84" s="55" t="n"/>
      <c r="K84" s="18" t="n"/>
      <c r="L84" s="73" t="n"/>
      <c r="M84" s="73" t="n"/>
      <c r="N84" s="73" t="n"/>
      <c r="O84" s="19" t="n"/>
      <c r="P84" s="18" t="n"/>
      <c r="Q84" s="18" t="n"/>
      <c r="R84" s="73" t="n"/>
      <c r="S84" s="18" t="n"/>
      <c r="T84" s="18" t="n"/>
      <c r="U84" s="26">
        <f>D84+F84+-(H84+J84+L84+N84+P84+R84+T84)</f>
        <v/>
      </c>
      <c r="V84" t="inlineStr">
        <is>
          <t>VALVE AND PIPE</t>
        </is>
      </c>
    </row>
    <row r="85" ht="24" customFormat="1" customHeight="1" s="42">
      <c r="A85" s="22" t="n">
        <v>80</v>
      </c>
      <c r="B85" s="38" t="inlineStr">
        <is>
          <t>Elbow PVC AW 2"</t>
        </is>
      </c>
      <c r="C85" s="41" t="inlineStr">
        <is>
          <t>Pcs</t>
        </is>
      </c>
      <c r="D85" s="26">
        <f>'[1]Week  (4)'!U85</f>
        <v/>
      </c>
      <c r="E85" s="124" t="n"/>
      <c r="F85" s="62" t="n"/>
      <c r="G85" s="25" t="n"/>
      <c r="H85" s="56" t="n"/>
      <c r="I85" s="19" t="n"/>
      <c r="J85" s="64" t="n"/>
      <c r="K85" s="18" t="n"/>
      <c r="L85" s="73" t="n"/>
      <c r="M85" s="73" t="n"/>
      <c r="N85" s="73" t="n"/>
      <c r="O85" s="19" t="n"/>
      <c r="P85" s="18" t="n"/>
      <c r="Q85" s="18" t="n"/>
      <c r="R85" s="73" t="n"/>
      <c r="S85" s="18" t="n"/>
      <c r="T85" s="18" t="n"/>
      <c r="U85" s="26">
        <f>D85+F85+-(H85+J85+L85+N85+P85+R85+T85)</f>
        <v/>
      </c>
      <c r="V85" t="inlineStr">
        <is>
          <t>VALVE AND PIPE</t>
        </is>
      </c>
    </row>
    <row r="86" ht="23.25" customHeight="1">
      <c r="A86" s="22">
        <f>A85+1</f>
        <v/>
      </c>
      <c r="B86" s="122" t="inlineStr">
        <is>
          <t>ELCB 2P, 25A SCHNEIDER</t>
        </is>
      </c>
      <c r="C86" s="123" t="inlineStr">
        <is>
          <t>PCS</t>
        </is>
      </c>
      <c r="D86" s="26">
        <f>'[1]Week  (4)'!U86</f>
        <v/>
      </c>
      <c r="E86" s="125" t="n"/>
      <c r="F86" s="55" t="n"/>
      <c r="G86" s="52" t="n"/>
      <c r="H86" s="55" t="n"/>
      <c r="I86" s="71" t="n"/>
      <c r="J86" s="55" t="n"/>
      <c r="K86" s="18" t="n"/>
      <c r="L86" s="73" t="n"/>
      <c r="M86" s="73" t="n"/>
      <c r="N86" s="73" t="n"/>
      <c r="O86" s="19" t="n"/>
      <c r="P86" s="18" t="n"/>
      <c r="Q86" s="18" t="n"/>
      <c r="R86" s="73" t="n"/>
      <c r="S86" s="18" t="n"/>
      <c r="T86" s="18" t="n"/>
      <c r="U86" s="26">
        <f>D86+F86+-(H86+J86+L86+N86+P86+R86+T86)</f>
        <v/>
      </c>
      <c r="V86" t="inlineStr">
        <is>
          <t>ELECTRICAL</t>
        </is>
      </c>
    </row>
    <row r="87" ht="23.25" customHeight="1">
      <c r="A87" s="22">
        <f>A86+1</f>
        <v/>
      </c>
      <c r="B87" s="122" t="inlineStr">
        <is>
          <t>ELCB 2P, 30A SCHNEIDER</t>
        </is>
      </c>
      <c r="C87" s="123" t="inlineStr">
        <is>
          <t>PCS</t>
        </is>
      </c>
      <c r="D87" s="26">
        <f>'[1]Week  (4)'!U87</f>
        <v/>
      </c>
      <c r="E87" s="124" t="n"/>
      <c r="F87" s="62" t="n"/>
      <c r="G87" s="25" t="n"/>
      <c r="H87" s="56" t="n"/>
      <c r="I87" s="19" t="n"/>
      <c r="J87" s="64" t="n"/>
      <c r="K87" s="18" t="n"/>
      <c r="L87" s="73" t="n"/>
      <c r="M87" s="73" t="n"/>
      <c r="N87" s="73" t="n"/>
      <c r="O87" s="19" t="n"/>
      <c r="P87" s="18" t="n"/>
      <c r="Q87" s="18" t="n"/>
      <c r="R87" s="73" t="n"/>
      <c r="S87" s="18" t="n"/>
      <c r="T87" s="18" t="n"/>
      <c r="U87" s="26">
        <f>D87+F87+-(H87+J87+L87+N87+P87+R87+T87)</f>
        <v/>
      </c>
      <c r="V87" t="inlineStr">
        <is>
          <t>ELECTRICAL</t>
        </is>
      </c>
    </row>
    <row r="88" ht="23.25" customHeight="1">
      <c r="A88" s="22">
        <f>A87+1</f>
        <v/>
      </c>
      <c r="B88" s="122" t="inlineStr">
        <is>
          <t>ELCB 2P, 40A SCHNEIDER</t>
        </is>
      </c>
      <c r="C88" s="123" t="inlineStr">
        <is>
          <t>PCS</t>
        </is>
      </c>
      <c r="D88" s="26">
        <f>'[1]Week  (4)'!U88</f>
        <v/>
      </c>
      <c r="E88" s="125" t="n"/>
      <c r="F88" s="55" t="n"/>
      <c r="G88" s="52" t="n"/>
      <c r="H88" s="55" t="n"/>
      <c r="I88" s="71" t="n"/>
      <c r="J88" s="55" t="n"/>
      <c r="K88" s="18" t="n"/>
      <c r="L88" s="73" t="n"/>
      <c r="M88" s="73" t="n"/>
      <c r="N88" s="73" t="n"/>
      <c r="O88" s="19" t="n"/>
      <c r="P88" s="18" t="n"/>
      <c r="Q88" s="18" t="n"/>
      <c r="R88" s="73" t="n"/>
      <c r="S88" s="18" t="n"/>
      <c r="T88" s="18" t="n"/>
      <c r="U88" s="26">
        <f>D88+F88+-(H88+J88+L88+N88+P88+R88+T88)</f>
        <v/>
      </c>
      <c r="V88" t="inlineStr">
        <is>
          <t>ELECTRICAL</t>
        </is>
      </c>
    </row>
    <row r="89" ht="23.25" customHeight="1">
      <c r="A89" s="22">
        <f>A88+1</f>
        <v/>
      </c>
      <c r="B89" s="122" t="inlineStr">
        <is>
          <t>ELCB 2P, 63A SCHNEIDER</t>
        </is>
      </c>
      <c r="C89" s="123" t="inlineStr">
        <is>
          <t>PCS</t>
        </is>
      </c>
      <c r="D89" s="26">
        <f>'[1]Week  (4)'!U89</f>
        <v/>
      </c>
      <c r="E89" s="124" t="n"/>
      <c r="F89" s="62" t="n"/>
      <c r="G89" s="25" t="n"/>
      <c r="H89" s="56" t="n"/>
      <c r="I89" s="19" t="n"/>
      <c r="J89" s="64" t="n"/>
      <c r="K89" s="18" t="n"/>
      <c r="L89" s="73" t="n"/>
      <c r="M89" s="73" t="n"/>
      <c r="N89" s="73" t="n"/>
      <c r="O89" s="19" t="n"/>
      <c r="P89" s="18" t="n"/>
      <c r="Q89" s="19" t="n"/>
      <c r="R89" s="73" t="n"/>
      <c r="S89" s="18" t="n"/>
      <c r="T89" s="18" t="n"/>
      <c r="U89" s="26">
        <f>D89+F89+-(H89+J89+L89+N89+P89+R89+T89)</f>
        <v/>
      </c>
      <c r="V89" t="inlineStr">
        <is>
          <t>ELECTRICAL</t>
        </is>
      </c>
    </row>
    <row r="90" ht="23.25" customHeight="1">
      <c r="A90" s="22">
        <f>A89+1</f>
        <v/>
      </c>
      <c r="B90" s="122" t="inlineStr">
        <is>
          <t>ELCB 4P, 25A SCHNEIDER</t>
        </is>
      </c>
      <c r="C90" s="123" t="inlineStr">
        <is>
          <t>PCS</t>
        </is>
      </c>
      <c r="D90" s="26">
        <f>'[1]Week  (4)'!U90</f>
        <v/>
      </c>
      <c r="E90" s="125" t="n"/>
      <c r="F90" s="55" t="n"/>
      <c r="G90" s="52" t="n"/>
      <c r="H90" s="55" t="n"/>
      <c r="I90" s="71" t="n"/>
      <c r="J90" s="55" t="n"/>
      <c r="K90" s="18" t="n"/>
      <c r="L90" s="73" t="n"/>
      <c r="M90" s="73" t="n"/>
      <c r="N90" s="73" t="n"/>
      <c r="O90" s="19" t="n"/>
      <c r="P90" s="18" t="n"/>
      <c r="Q90" s="18" t="n"/>
      <c r="R90" s="73" t="n"/>
      <c r="S90" s="18" t="n"/>
      <c r="T90" s="18" t="n"/>
      <c r="U90" s="26">
        <f>D90+F90+-(H90+J90+L90+N90+P90+R90+T90)</f>
        <v/>
      </c>
      <c r="V90" t="inlineStr">
        <is>
          <t>ELECTRICAL</t>
        </is>
      </c>
    </row>
    <row r="91" ht="23.25" customHeight="1">
      <c r="A91" s="22">
        <f>A90+1</f>
        <v/>
      </c>
      <c r="B91" s="122" t="inlineStr">
        <is>
          <t>ELCB 4P, 40A SCHNEIDER</t>
        </is>
      </c>
      <c r="C91" s="123" t="inlineStr">
        <is>
          <t>PCS</t>
        </is>
      </c>
      <c r="D91" s="26">
        <f>'[1]Week  (4)'!U91</f>
        <v/>
      </c>
      <c r="E91" s="124" t="n"/>
      <c r="F91" s="62" t="n"/>
      <c r="G91" s="25" t="n"/>
      <c r="H91" s="56" t="n"/>
      <c r="I91" s="19" t="n"/>
      <c r="J91" s="64" t="n"/>
      <c r="K91" s="18" t="n"/>
      <c r="L91" s="73" t="n"/>
      <c r="M91" s="73" t="n"/>
      <c r="N91" s="73" t="n"/>
      <c r="O91" s="19" t="n"/>
      <c r="P91" s="18" t="n"/>
      <c r="Q91" s="18" t="n"/>
      <c r="R91" s="73" t="n"/>
      <c r="S91" s="18" t="n"/>
      <c r="T91" s="18" t="n"/>
      <c r="U91" s="26">
        <f>D91+F91+-(H91+J91+L91+N91+P91+R91+T91)</f>
        <v/>
      </c>
      <c r="V91" t="inlineStr">
        <is>
          <t>ELECTRICAL</t>
        </is>
      </c>
    </row>
    <row r="92" ht="23.25" customHeight="1">
      <c r="A92" s="22">
        <f>A91+1</f>
        <v/>
      </c>
      <c r="B92" s="122" t="inlineStr">
        <is>
          <t>ELCB 4P, 63A SCHNEIDER</t>
        </is>
      </c>
      <c r="C92" s="123" t="inlineStr">
        <is>
          <t>PCS</t>
        </is>
      </c>
      <c r="D92" s="26">
        <f>'[1]Week  (4)'!U92</f>
        <v/>
      </c>
      <c r="E92" s="125" t="n"/>
      <c r="F92" s="55" t="n"/>
      <c r="G92" s="52" t="n"/>
      <c r="H92" s="55" t="n"/>
      <c r="I92" s="71" t="n"/>
      <c r="J92" s="55" t="n"/>
      <c r="K92" s="18" t="n"/>
      <c r="L92" s="73" t="n"/>
      <c r="M92" s="73" t="n"/>
      <c r="N92" s="73" t="n"/>
      <c r="O92" s="19" t="n"/>
      <c r="P92" s="18" t="n"/>
      <c r="Q92" s="18" t="n"/>
      <c r="R92" s="73" t="n"/>
      <c r="S92" s="18" t="n"/>
      <c r="T92" s="18" t="n"/>
      <c r="U92" s="26">
        <f>D92+F92+-(H92+J92+L92+N92+P92+R92+T92)</f>
        <v/>
      </c>
      <c r="V92" t="inlineStr">
        <is>
          <t>ELECTRICAL</t>
        </is>
      </c>
    </row>
    <row r="93" ht="13.5" customHeight="1">
      <c r="A93" s="22">
        <f>A92+1</f>
        <v/>
      </c>
      <c r="B93" s="122" t="inlineStr">
        <is>
          <t>Emco Paint Biru No. 75</t>
        </is>
      </c>
      <c r="C93" s="123" t="inlineStr">
        <is>
          <t>Klg</t>
        </is>
      </c>
      <c r="D93" s="26">
        <f>'[1]Week  (4)'!U93</f>
        <v/>
      </c>
      <c r="E93" s="124" t="n"/>
      <c r="F93" s="62" t="n"/>
      <c r="G93" s="25" t="n"/>
      <c r="H93" s="56" t="n"/>
      <c r="I93" s="19" t="n"/>
      <c r="J93" s="64" t="n"/>
      <c r="K93" s="18" t="n"/>
      <c r="L93" s="73" t="n"/>
      <c r="M93" s="73" t="n"/>
      <c r="N93" s="73" t="n"/>
      <c r="O93" s="19" t="n"/>
      <c r="P93" s="18" t="n"/>
      <c r="Q93" s="19" t="n"/>
      <c r="R93" s="18" t="n"/>
      <c r="S93" s="18" t="n"/>
      <c r="T93" s="18" t="n"/>
      <c r="U93" s="26">
        <f>D93+F93+-(H93+J93+L93+N93+P93+R93+T93)</f>
        <v/>
      </c>
      <c r="V93" t="inlineStr">
        <is>
          <t>CIVIL</t>
        </is>
      </c>
    </row>
    <row r="94" ht="27" customHeight="1">
      <c r="A94" s="22">
        <f>A93+1</f>
        <v/>
      </c>
      <c r="B94" s="122" t="inlineStr">
        <is>
          <t xml:space="preserve">Emco Paint, Black Color </t>
        </is>
      </c>
      <c r="C94" s="123" t="inlineStr">
        <is>
          <t>PCS</t>
        </is>
      </c>
      <c r="D94" s="26">
        <f>'[1]Week  (4)'!U94</f>
        <v/>
      </c>
      <c r="E94" s="125" t="n"/>
      <c r="F94" s="55" t="n"/>
      <c r="G94" s="72" t="n"/>
      <c r="H94" s="55" t="n"/>
      <c r="I94" s="71" t="n"/>
      <c r="J94" s="55" t="n"/>
      <c r="K94" s="71" t="n"/>
      <c r="L94" s="55" t="n"/>
      <c r="M94" s="25" t="n"/>
      <c r="N94" s="73" t="n"/>
      <c r="O94" s="71" t="n"/>
      <c r="P94" s="18" t="n"/>
      <c r="Q94" s="18" t="n"/>
      <c r="R94" s="73" t="n"/>
      <c r="S94" s="18" t="n"/>
      <c r="T94" s="18" t="n"/>
      <c r="U94" s="26">
        <f>D94+F94+-(H94+J94+L94+N94+P94+R94+T94)</f>
        <v/>
      </c>
      <c r="V94" t="inlineStr">
        <is>
          <t>CIVIL</t>
        </is>
      </c>
    </row>
    <row r="95" ht="25.5" customHeight="1">
      <c r="A95" s="22">
        <f>A94+1</f>
        <v/>
      </c>
      <c r="B95" s="43" t="inlineStr">
        <is>
          <t>Emco Paint, Blue Color No. 102</t>
        </is>
      </c>
      <c r="C95" s="123" t="inlineStr">
        <is>
          <t>PCS</t>
        </is>
      </c>
      <c r="D95" s="26">
        <f>'[1]Week  (4)'!U95</f>
        <v/>
      </c>
      <c r="E95" s="124" t="n"/>
      <c r="F95" s="62" t="n"/>
      <c r="G95" s="25" t="n"/>
      <c r="H95" s="69" t="n"/>
      <c r="I95" s="25" t="n"/>
      <c r="J95" s="69" t="n"/>
      <c r="K95" s="25" t="n"/>
      <c r="L95" s="69" t="n"/>
      <c r="M95" s="68" t="n"/>
      <c r="N95" s="73" t="n"/>
      <c r="O95" s="25" t="n"/>
      <c r="P95" s="73" t="n"/>
      <c r="Q95" s="18" t="n"/>
      <c r="R95" s="73" t="n"/>
      <c r="S95" s="18" t="n"/>
      <c r="T95" s="18" t="n"/>
      <c r="U95" s="26">
        <f>D95+F95+-(H95+J95+L95+N95+P95+R95+T95)</f>
        <v/>
      </c>
      <c r="V95" t="inlineStr">
        <is>
          <t>CIVIL</t>
        </is>
      </c>
    </row>
    <row r="96" ht="13.5" customHeight="1">
      <c r="A96" s="22">
        <f>A95+1</f>
        <v/>
      </c>
      <c r="B96" s="43" t="inlineStr">
        <is>
          <t>Emco Paint Coklat 83</t>
        </is>
      </c>
      <c r="C96" s="123" t="inlineStr">
        <is>
          <t>PCS</t>
        </is>
      </c>
      <c r="D96" s="26">
        <f>'[1]Week  (4)'!U96</f>
        <v/>
      </c>
      <c r="E96" s="130" t="n"/>
      <c r="F96" s="55" t="n"/>
      <c r="G96" s="52" t="n"/>
      <c r="H96" s="55" t="n"/>
      <c r="I96" s="71" t="n"/>
      <c r="J96" s="55" t="n"/>
      <c r="K96" s="71" t="n"/>
      <c r="L96" s="55" t="n"/>
      <c r="M96" s="25" t="n"/>
      <c r="N96" s="73" t="n"/>
      <c r="O96" s="71" t="n"/>
      <c r="P96" s="18" t="n"/>
      <c r="Q96" s="18" t="n"/>
      <c r="R96" s="73" t="n"/>
      <c r="S96" s="18" t="n"/>
      <c r="T96" s="18" t="n"/>
      <c r="U96" s="26">
        <f>D96+F96+-(H96+J96+L96+N96+P96+R96+T96)</f>
        <v/>
      </c>
      <c r="V96" t="inlineStr">
        <is>
          <t>CIVIL</t>
        </is>
      </c>
    </row>
    <row r="97" ht="13.5" customHeight="1">
      <c r="A97" s="22">
        <f>A96+1</f>
        <v/>
      </c>
      <c r="B97" s="122" t="inlineStr">
        <is>
          <t>Emco Paint, Chili Red No. 132</t>
        </is>
      </c>
      <c r="C97" s="123" t="inlineStr">
        <is>
          <t>PCS</t>
        </is>
      </c>
      <c r="D97" s="26">
        <f>'[1]Week  (4)'!U97</f>
        <v/>
      </c>
      <c r="E97" s="124" t="n"/>
      <c r="F97" s="62" t="n"/>
      <c r="G97" s="25" t="n"/>
      <c r="H97" s="56" t="n"/>
      <c r="I97" s="19" t="n"/>
      <c r="J97" s="64" t="n"/>
      <c r="K97" s="18" t="n"/>
      <c r="L97" s="73" t="n"/>
      <c r="M97" s="73" t="n"/>
      <c r="N97" s="73" t="n"/>
      <c r="O97" s="19" t="n"/>
      <c r="P97" s="18" t="n"/>
      <c r="Q97" s="18" t="n"/>
      <c r="R97" s="73" t="n"/>
      <c r="S97" s="18" t="n"/>
      <c r="T97" s="18" t="n"/>
      <c r="U97" s="26">
        <f>D97+F97+-(H97+J97+L97+N97+P97+R97+T97)</f>
        <v/>
      </c>
      <c r="V97" t="inlineStr">
        <is>
          <t>CIVIL</t>
        </is>
      </c>
    </row>
    <row r="98" ht="15" customHeight="1">
      <c r="A98" s="22">
        <f>A97+1</f>
        <v/>
      </c>
      <c r="B98" s="122" t="inlineStr">
        <is>
          <t>Emco Paint, Green Color No. 64</t>
        </is>
      </c>
      <c r="C98" s="123" t="inlineStr">
        <is>
          <t>PCS</t>
        </is>
      </c>
      <c r="D98" s="26">
        <f>'[1]Week  (4)'!U98</f>
        <v/>
      </c>
      <c r="E98" s="125" t="n"/>
      <c r="F98" s="55" t="n"/>
      <c r="G98" s="52" t="n"/>
      <c r="H98" s="55" t="n"/>
      <c r="I98" s="71" t="n"/>
      <c r="J98" s="55" t="n"/>
      <c r="K98" s="18" t="n"/>
      <c r="L98" s="73" t="n"/>
      <c r="M98" s="73" t="n"/>
      <c r="N98" s="73" t="n"/>
      <c r="O98" s="19" t="n"/>
      <c r="P98" s="18" t="n"/>
      <c r="Q98" s="18" t="n"/>
      <c r="R98" s="73" t="n"/>
      <c r="S98" s="18" t="n"/>
      <c r="T98" s="18" t="n"/>
      <c r="U98" s="26">
        <f>D98+F98+-(H98+J98+L98+N98+P98+R98+T98)</f>
        <v/>
      </c>
      <c r="V98" t="inlineStr">
        <is>
          <t>CIVIL</t>
        </is>
      </c>
    </row>
    <row r="99" ht="30" customHeight="1">
      <c r="A99" s="22">
        <f>A98+1</f>
        <v/>
      </c>
      <c r="B99" s="122" t="inlineStr">
        <is>
          <t>Emco Paint, Traffic Red Color No. 78</t>
        </is>
      </c>
      <c r="C99" s="123" t="inlineStr">
        <is>
          <t>PCS</t>
        </is>
      </c>
      <c r="D99" s="26">
        <f>'[1]Week  (4)'!U99</f>
        <v/>
      </c>
      <c r="E99" s="124" t="n"/>
      <c r="F99" s="62" t="n"/>
      <c r="G99" s="25" t="n"/>
      <c r="H99" s="56" t="n"/>
      <c r="I99" s="19" t="n"/>
      <c r="J99" s="64" t="n"/>
      <c r="K99" s="18" t="n"/>
      <c r="L99" s="73" t="n"/>
      <c r="M99" s="73" t="n"/>
      <c r="N99" s="73" t="n"/>
      <c r="O99" s="19" t="n"/>
      <c r="P99" s="18" t="n"/>
      <c r="Q99" s="18" t="n"/>
      <c r="R99" s="73" t="n"/>
      <c r="S99" s="18" t="n"/>
      <c r="T99" s="18" t="n"/>
      <c r="U99" s="26">
        <f>D99+F99+-(H99+J99+L99+N99+P99+R99+T99)</f>
        <v/>
      </c>
      <c r="V99" t="inlineStr">
        <is>
          <t>CIVIL</t>
        </is>
      </c>
    </row>
    <row r="100" ht="15" customHeight="1">
      <c r="A100" s="22">
        <f>A99+1</f>
        <v/>
      </c>
      <c r="B100" s="122" t="inlineStr">
        <is>
          <t>Emco Paint, White Color</t>
        </is>
      </c>
      <c r="C100" s="123" t="inlineStr">
        <is>
          <t>PCS</t>
        </is>
      </c>
      <c r="D100" s="26">
        <f>'[1]Week  (4)'!U100</f>
        <v/>
      </c>
      <c r="E100" s="129" t="n"/>
      <c r="F100" s="55" t="n"/>
      <c r="G100" s="25" t="n"/>
      <c r="H100" s="69" t="n"/>
      <c r="I100" s="25" t="n"/>
      <c r="J100" s="69" t="n"/>
      <c r="K100" s="25" t="n"/>
      <c r="L100" s="69" t="n"/>
      <c r="M100" s="25" t="n"/>
      <c r="N100" s="73" t="n"/>
      <c r="O100" s="25" t="n"/>
      <c r="P100" s="73" t="n"/>
      <c r="Q100" s="72" t="n"/>
      <c r="R100" s="73" t="n"/>
      <c r="S100" s="18" t="n"/>
      <c r="T100" s="18" t="n"/>
      <c r="U100" s="26">
        <f>D100+F100+-(H100+J100+L100+N100+P100+R100+T100)</f>
        <v/>
      </c>
      <c r="V100" t="inlineStr">
        <is>
          <t>CIVIL</t>
        </is>
      </c>
    </row>
    <row r="101" ht="15" customHeight="1">
      <c r="A101" s="22">
        <f>A100+1</f>
        <v/>
      </c>
      <c r="B101" s="122" t="inlineStr">
        <is>
          <t>Emco Paint, Yellow Color No. 67</t>
        </is>
      </c>
      <c r="C101" s="123" t="inlineStr">
        <is>
          <t>PCS</t>
        </is>
      </c>
      <c r="D101" s="26">
        <f>'[1]Week  (4)'!U101</f>
        <v/>
      </c>
      <c r="E101" s="129" t="n"/>
      <c r="F101" s="55" t="n"/>
      <c r="G101" s="72" t="n"/>
      <c r="H101" s="55" t="n"/>
      <c r="I101" s="71" t="n"/>
      <c r="J101" s="55" t="n"/>
      <c r="K101" s="18" t="n"/>
      <c r="L101" s="73" t="n"/>
      <c r="M101" s="73" t="n"/>
      <c r="N101" s="73" t="n"/>
      <c r="O101" s="19" t="n"/>
      <c r="P101" s="18" t="n"/>
      <c r="Q101" s="18" t="n"/>
      <c r="R101" s="73" t="n"/>
      <c r="S101" s="18" t="n"/>
      <c r="T101" s="18" t="n"/>
      <c r="U101" s="26">
        <f>D101+F101+-(H101+J101+L101+N101+P101+R101+T101)</f>
        <v/>
      </c>
      <c r="V101" t="inlineStr">
        <is>
          <t>CIVIL</t>
        </is>
      </c>
    </row>
    <row r="102">
      <c r="A102" s="22">
        <f>A101+1</f>
        <v/>
      </c>
      <c r="B102" s="79" t="inlineStr">
        <is>
          <t>Engsel Jendela 3 "</t>
        </is>
      </c>
      <c r="C102" s="40" t="inlineStr">
        <is>
          <t>Pcs</t>
        </is>
      </c>
      <c r="D102" s="26">
        <f>'[1]Week  (4)'!U102</f>
        <v/>
      </c>
      <c r="E102" s="125" t="n"/>
      <c r="F102" s="55" t="n"/>
      <c r="G102" s="52" t="n"/>
      <c r="H102" s="55" t="n"/>
      <c r="I102" s="71" t="n"/>
      <c r="J102" s="55" t="n"/>
      <c r="K102" s="18" t="n"/>
      <c r="L102" s="73" t="n"/>
      <c r="M102" s="73" t="n"/>
      <c r="N102" s="73" t="n"/>
      <c r="O102" s="19" t="n"/>
      <c r="P102" s="18" t="n"/>
      <c r="Q102" s="18" t="n"/>
      <c r="R102" s="73" t="n"/>
      <c r="S102" s="18" t="n"/>
      <c r="T102" s="18" t="n"/>
      <c r="U102" s="26">
        <f>D102+F102+-(H102+J102+L102+N102+P102+R102+T102)</f>
        <v/>
      </c>
      <c r="V102" t="inlineStr">
        <is>
          <t>CIVIL</t>
        </is>
      </c>
    </row>
    <row r="103">
      <c r="A103" s="22">
        <f>A102+1</f>
        <v/>
      </c>
      <c r="B103" s="79" t="inlineStr">
        <is>
          <t>Engsel Pintu 4"</t>
        </is>
      </c>
      <c r="C103" s="40" t="inlineStr">
        <is>
          <t>Pcs</t>
        </is>
      </c>
      <c r="D103" s="26">
        <f>'[1]Week  (4)'!U103</f>
        <v/>
      </c>
      <c r="E103" s="124" t="n"/>
      <c r="F103" s="62" t="n"/>
      <c r="G103" s="25" t="n"/>
      <c r="H103" s="56" t="n"/>
      <c r="I103" s="19" t="n"/>
      <c r="J103" s="64" t="n"/>
      <c r="K103" s="18" t="n"/>
      <c r="L103" s="73" t="n"/>
      <c r="M103" s="73" t="n"/>
      <c r="N103" s="73" t="n"/>
      <c r="O103" s="19" t="n"/>
      <c r="P103" s="18" t="n"/>
      <c r="Q103" s="18" t="n"/>
      <c r="R103" s="73" t="n"/>
      <c r="S103" s="18" t="n"/>
      <c r="T103" s="18" t="n"/>
      <c r="U103" s="26">
        <f>D103+F103+-(H103+J103+L103+N103+P103+R103+T103)</f>
        <v/>
      </c>
      <c r="V103" t="inlineStr">
        <is>
          <t>CIVIL</t>
        </is>
      </c>
    </row>
    <row r="104" ht="27" customHeight="1">
      <c r="A104" s="22">
        <f>A103+1</f>
        <v/>
      </c>
      <c r="B104" s="38" t="inlineStr">
        <is>
          <t>Engsel Sendok</t>
        </is>
      </c>
      <c r="C104" s="123" t="inlineStr">
        <is>
          <t>PCS</t>
        </is>
      </c>
      <c r="D104" s="26">
        <f>'[1]Week  (4)'!U104</f>
        <v/>
      </c>
      <c r="E104" s="125" t="n"/>
      <c r="F104" s="55" t="n"/>
      <c r="G104" s="52" t="n"/>
      <c r="H104" s="55" t="n"/>
      <c r="I104" s="71" t="n"/>
      <c r="J104" s="55" t="n"/>
      <c r="K104" s="18" t="n"/>
      <c r="L104" s="73" t="n"/>
      <c r="M104" s="73" t="n"/>
      <c r="N104" s="73" t="n"/>
      <c r="O104" s="19" t="n"/>
      <c r="P104" s="18" t="n"/>
      <c r="Q104" s="18" t="n"/>
      <c r="R104" s="73" t="n"/>
      <c r="S104" s="18" t="n"/>
      <c r="T104" s="18" t="n"/>
      <c r="U104" s="26">
        <f>D104+F104+-(H104+J104+L104+N104+P104+R104+T104)</f>
        <v/>
      </c>
      <c r="V104" t="inlineStr">
        <is>
          <t>CIVIL</t>
        </is>
      </c>
    </row>
    <row r="105" ht="15" customFormat="1" customHeight="1" s="42">
      <c r="A105" s="22">
        <f>A104+1</f>
        <v/>
      </c>
      <c r="B105" s="38" t="inlineStr">
        <is>
          <t>Equal Elbow 20 x20</t>
        </is>
      </c>
      <c r="C105" s="123" t="inlineStr">
        <is>
          <t>PCS</t>
        </is>
      </c>
      <c r="D105" s="26">
        <f>'[1]Week  (4)'!U105</f>
        <v/>
      </c>
      <c r="E105" s="124" t="n"/>
      <c r="F105" s="62" t="n"/>
      <c r="G105" s="25" t="n"/>
      <c r="H105" s="56" t="n"/>
      <c r="I105" s="19" t="n"/>
      <c r="J105" s="64" t="n"/>
      <c r="K105" s="18" t="n"/>
      <c r="L105" s="73" t="n"/>
      <c r="M105" s="73" t="n"/>
      <c r="N105" s="73" t="n"/>
      <c r="O105" s="19" t="n"/>
      <c r="P105" s="18" t="n"/>
      <c r="Q105" s="18" t="n"/>
      <c r="R105" s="73" t="n"/>
      <c r="S105" s="18" t="n"/>
      <c r="T105" s="18" t="n"/>
      <c r="U105" s="26">
        <f>D105+F105+-(H105+J105+L105+N105+P105+R105+T105)</f>
        <v/>
      </c>
      <c r="V105" t="inlineStr">
        <is>
          <t>VALVE AND PIPE</t>
        </is>
      </c>
    </row>
    <row r="106" ht="15" customHeight="1">
      <c r="A106" s="22">
        <f>A105+1</f>
        <v/>
      </c>
      <c r="B106" s="38" t="inlineStr">
        <is>
          <t>Equal Elbow 25 x 25</t>
        </is>
      </c>
      <c r="C106" s="123" t="inlineStr">
        <is>
          <t>PCS</t>
        </is>
      </c>
      <c r="D106" s="26">
        <f>'[1]Week  (4)'!U106</f>
        <v/>
      </c>
      <c r="E106" s="125" t="n"/>
      <c r="F106" s="55" t="n"/>
      <c r="G106" s="52" t="n"/>
      <c r="H106" s="55" t="n"/>
      <c r="I106" s="71" t="n"/>
      <c r="J106" s="55" t="n"/>
      <c r="K106" s="18" t="n"/>
      <c r="L106" s="73" t="n"/>
      <c r="M106" s="73" t="n"/>
      <c r="N106" s="73" t="n"/>
      <c r="O106" s="19" t="n"/>
      <c r="P106" s="18" t="n"/>
      <c r="Q106" s="18" t="n"/>
      <c r="R106" s="73" t="n"/>
      <c r="S106" s="18" t="n"/>
      <c r="T106" s="18" t="n"/>
      <c r="U106" s="26">
        <f>D106+F106+-(H106+J106+L106+N106+P106+R106+T106)</f>
        <v/>
      </c>
      <c r="V106" t="inlineStr">
        <is>
          <t>VALVE AND PIPE</t>
        </is>
      </c>
    </row>
    <row r="107" ht="15" customHeight="1">
      <c r="A107" s="22">
        <f>A106+1</f>
        <v/>
      </c>
      <c r="B107" s="38" t="inlineStr">
        <is>
          <t>Equal Elbow 32 x 32</t>
        </is>
      </c>
      <c r="C107" s="123" t="inlineStr">
        <is>
          <t>PCS</t>
        </is>
      </c>
      <c r="D107" s="26">
        <f>'[1]Week  (4)'!U107</f>
        <v/>
      </c>
      <c r="E107" s="124" t="n"/>
      <c r="F107" s="62" t="n"/>
      <c r="G107" s="25" t="n"/>
      <c r="H107" s="56" t="n"/>
      <c r="I107" s="19" t="n"/>
      <c r="J107" s="64" t="n"/>
      <c r="K107" s="18" t="n"/>
      <c r="L107" s="73" t="n"/>
      <c r="M107" s="73" t="n"/>
      <c r="N107" s="73" t="n"/>
      <c r="O107" s="19" t="n"/>
      <c r="P107" s="18" t="n"/>
      <c r="Q107" s="18" t="n"/>
      <c r="R107" s="73" t="n"/>
      <c r="S107" s="18" t="n"/>
      <c r="T107" s="18" t="n"/>
      <c r="U107" s="26">
        <f>D107+F107+-(H107+J107+L107+N107+P107+R107+T107)</f>
        <v/>
      </c>
      <c r="V107" t="inlineStr">
        <is>
          <t>VALVE AND PIPE</t>
        </is>
      </c>
    </row>
    <row r="108" ht="15" customHeight="1">
      <c r="A108" s="22">
        <f>A107+1</f>
        <v/>
      </c>
      <c r="B108" s="38" t="inlineStr">
        <is>
          <t>Equal Tee 32 x 20</t>
        </is>
      </c>
      <c r="C108" s="123" t="inlineStr">
        <is>
          <t>PCS</t>
        </is>
      </c>
      <c r="D108" s="26">
        <f>'[1]Week  (4)'!U108</f>
        <v/>
      </c>
      <c r="E108" s="125" t="n"/>
      <c r="F108" s="55" t="n"/>
      <c r="G108" s="52" t="n"/>
      <c r="H108" s="55" t="n"/>
      <c r="I108" s="71" t="n"/>
      <c r="J108" s="55" t="n"/>
      <c r="K108" s="18" t="n"/>
      <c r="L108" s="73" t="n"/>
      <c r="M108" s="73" t="n"/>
      <c r="N108" s="73" t="n"/>
      <c r="O108" s="19" t="n"/>
      <c r="P108" s="18" t="n"/>
      <c r="Q108" s="18" t="n"/>
      <c r="R108" s="73" t="n"/>
      <c r="S108" s="18" t="n"/>
      <c r="T108" s="18" t="n"/>
      <c r="U108" s="26">
        <f>D108+F108+-(H108+J108+L108+N108+P108+R108+T108)</f>
        <v/>
      </c>
      <c r="V108" t="inlineStr">
        <is>
          <t>VALVE AND PIPE</t>
        </is>
      </c>
    </row>
    <row r="109" ht="15" customHeight="1">
      <c r="A109" s="22">
        <f>A108+1</f>
        <v/>
      </c>
      <c r="B109" s="38" t="inlineStr">
        <is>
          <t>Male thread adaptor 32 x 1"</t>
        </is>
      </c>
      <c r="C109" s="123" t="inlineStr">
        <is>
          <t>PCS</t>
        </is>
      </c>
      <c r="D109" s="26">
        <f>'[1]Week  (4)'!U109</f>
        <v/>
      </c>
      <c r="E109" s="124" t="n"/>
      <c r="F109" s="62" t="n"/>
      <c r="G109" s="25" t="n"/>
      <c r="H109" s="56" t="n"/>
      <c r="I109" s="19" t="n"/>
      <c r="J109" s="64" t="n"/>
      <c r="K109" s="18" t="n"/>
      <c r="L109" s="73" t="n"/>
      <c r="M109" s="73" t="n"/>
      <c r="N109" s="73" t="n"/>
      <c r="O109" s="19" t="n"/>
      <c r="P109" s="18" t="n"/>
      <c r="Q109" s="18" t="n"/>
      <c r="R109" s="73" t="n"/>
      <c r="S109" s="18" t="n"/>
      <c r="T109" s="18" t="n"/>
      <c r="U109" s="26">
        <f>D109+F109+-(H109+J109+L109+N109+P109+R109+T109)</f>
        <v/>
      </c>
      <c r="V109" t="inlineStr">
        <is>
          <t>VALVE AND PIPE</t>
        </is>
      </c>
    </row>
    <row r="110" ht="27" customHeight="1">
      <c r="A110" s="22">
        <f>A109+1</f>
        <v/>
      </c>
      <c r="B110" s="122" t="inlineStr">
        <is>
          <t>FITING LAMPU</t>
        </is>
      </c>
      <c r="C110" s="123" t="inlineStr">
        <is>
          <t>PCS</t>
        </is>
      </c>
      <c r="D110" s="26">
        <f>'[1]Week  (4)'!U110</f>
        <v/>
      </c>
      <c r="E110" s="125" t="n"/>
      <c r="F110" s="55" t="n"/>
      <c r="G110" s="52" t="n"/>
      <c r="H110" s="55" t="n"/>
      <c r="I110" s="71" t="n"/>
      <c r="J110" s="55" t="n"/>
      <c r="K110" s="18" t="n"/>
      <c r="L110" s="73" t="n"/>
      <c r="M110" s="73" t="n"/>
      <c r="N110" s="73" t="n"/>
      <c r="O110" s="19" t="n"/>
      <c r="P110" s="18" t="n"/>
      <c r="Q110" s="73" t="n"/>
      <c r="R110" s="73" t="n"/>
      <c r="S110" s="18" t="n"/>
      <c r="T110" s="18" t="n"/>
      <c r="U110" s="26">
        <f>D110+F110+-(H110+J110+L110+N110+P110+R110+T110)</f>
        <v/>
      </c>
      <c r="V110" t="inlineStr">
        <is>
          <t>LAMP</t>
        </is>
      </c>
    </row>
    <row r="111" ht="25.5" customHeight="1">
      <c r="A111" s="22">
        <f>A110+1</f>
        <v/>
      </c>
      <c r="B111" s="51" t="inlineStr">
        <is>
          <t>Sensor Photo cell</t>
        </is>
      </c>
      <c r="C111" s="123" t="inlineStr">
        <is>
          <t>PCS</t>
        </is>
      </c>
      <c r="D111" s="26">
        <f>'[1]Week  (4)'!U111</f>
        <v/>
      </c>
      <c r="E111" s="124" t="n"/>
      <c r="F111" s="62" t="n"/>
      <c r="G111" s="68" t="n"/>
      <c r="H111" s="56" t="n"/>
      <c r="I111" s="19" t="n"/>
      <c r="J111" s="64" t="n"/>
      <c r="K111" s="18" t="n"/>
      <c r="L111" s="73" t="n"/>
      <c r="M111" s="73" t="n"/>
      <c r="N111" s="73" t="n"/>
      <c r="O111" s="19" t="n"/>
      <c r="P111" s="18" t="n"/>
      <c r="Q111" s="18" t="n"/>
      <c r="R111" s="73" t="n"/>
      <c r="S111" s="18" t="n"/>
      <c r="T111" s="18" t="n"/>
      <c r="U111" s="26">
        <f>D111+F111+-(H111+J111+L111+N111+P111+R111+T111)</f>
        <v/>
      </c>
      <c r="V111" t="inlineStr">
        <is>
          <t>LAMP</t>
        </is>
      </c>
    </row>
    <row r="112" ht="25.5" customHeight="1">
      <c r="A112" s="22">
        <f>A111+1</f>
        <v/>
      </c>
      <c r="B112" s="122" t="inlineStr">
        <is>
          <t>Filter Fleet Guard WF 2071 (Filter Udara)</t>
        </is>
      </c>
      <c r="C112" s="123" t="inlineStr">
        <is>
          <t>PCS</t>
        </is>
      </c>
      <c r="D112" s="26">
        <f>'[1]Week  (4)'!U112</f>
        <v/>
      </c>
      <c r="E112" s="125" t="n"/>
      <c r="F112" s="55" t="n"/>
      <c r="G112" s="52" t="n"/>
      <c r="H112" s="55" t="n"/>
      <c r="I112" s="71" t="n"/>
      <c r="J112" s="55" t="n"/>
      <c r="K112" s="18" t="n"/>
      <c r="L112" s="73" t="n"/>
      <c r="M112" s="73" t="n"/>
      <c r="N112" s="73" t="n"/>
      <c r="O112" s="19" t="n"/>
      <c r="P112" s="18" t="n"/>
      <c r="Q112" s="18" t="n"/>
      <c r="R112" s="73" t="n"/>
      <c r="S112" s="18" t="n"/>
      <c r="T112" s="18" t="n"/>
      <c r="U112" s="26">
        <f>D112+F112+-(H112+J112+L112+N112+P112+R112+T112)</f>
        <v/>
      </c>
      <c r="V112" t="inlineStr">
        <is>
          <t>CONSUMABLE</t>
        </is>
      </c>
    </row>
    <row r="113" ht="42" customHeight="1">
      <c r="A113" s="22">
        <f>A112+1</f>
        <v/>
      </c>
      <c r="B113" s="122" t="inlineStr">
        <is>
          <t>Filter Fleet Guard FS 1212 (Filter Solar)</t>
        </is>
      </c>
      <c r="C113" s="123" t="inlineStr">
        <is>
          <t>PCS</t>
        </is>
      </c>
      <c r="D113" s="26">
        <f>'[1]Week  (4)'!U113</f>
        <v/>
      </c>
      <c r="E113" s="124" t="n"/>
      <c r="F113" s="62" t="n"/>
      <c r="G113" s="25" t="n"/>
      <c r="H113" s="56" t="n"/>
      <c r="I113" s="19" t="n"/>
      <c r="J113" s="64" t="n"/>
      <c r="K113" s="18" t="n"/>
      <c r="L113" s="73" t="n"/>
      <c r="M113" s="73" t="n"/>
      <c r="N113" s="73" t="n"/>
      <c r="O113" s="19" t="n"/>
      <c r="P113" s="18" t="n"/>
      <c r="Q113" s="18" t="n"/>
      <c r="R113" s="73" t="n"/>
      <c r="S113" s="18" t="n"/>
      <c r="T113" s="18" t="n"/>
      <c r="U113" s="26">
        <f>D113+F113+-(H113+J113+L113+N113+P113+R113+T113)</f>
        <v/>
      </c>
      <c r="V113" t="inlineStr">
        <is>
          <t>CONSUMABLE</t>
        </is>
      </c>
    </row>
    <row r="114" ht="30" customHeight="1">
      <c r="A114" s="22">
        <f>A113+1</f>
        <v/>
      </c>
      <c r="B114" s="122" t="inlineStr">
        <is>
          <t>Filter Fleet Guard LF 3000 (Oil Filter )</t>
        </is>
      </c>
      <c r="C114" s="123" t="inlineStr">
        <is>
          <t>PCS</t>
        </is>
      </c>
      <c r="D114" s="26">
        <f>'[1]Week  (4)'!U114</f>
        <v/>
      </c>
      <c r="E114" s="125" t="n"/>
      <c r="F114" s="55" t="n"/>
      <c r="G114" s="52" t="n"/>
      <c r="H114" s="55" t="n"/>
      <c r="I114" s="71" t="n"/>
      <c r="J114" s="55" t="n"/>
      <c r="K114" s="18" t="n"/>
      <c r="L114" s="73" t="n"/>
      <c r="M114" s="73" t="n"/>
      <c r="N114" s="73" t="n"/>
      <c r="O114" s="19" t="n"/>
      <c r="P114" s="18" t="n"/>
      <c r="Q114" s="18" t="n"/>
      <c r="R114" s="73" t="n"/>
      <c r="S114" s="18" t="n"/>
      <c r="T114" s="18" t="n"/>
      <c r="U114" s="26">
        <f>D114+F114+-(H114+J114+L114+N114+P114+R114+T114)</f>
        <v/>
      </c>
      <c r="V114" t="inlineStr">
        <is>
          <t>CONSUMABLE</t>
        </is>
      </c>
    </row>
    <row r="115" ht="27" customHeight="1">
      <c r="A115" s="22">
        <f>A114+1</f>
        <v/>
      </c>
      <c r="B115" s="122" t="inlineStr">
        <is>
          <t>Filter Fleet Guard WF 2076 (Filter Udara)</t>
        </is>
      </c>
      <c r="C115" s="123" t="inlineStr">
        <is>
          <t>PCS</t>
        </is>
      </c>
      <c r="D115" s="26">
        <f>'[1]Week  (4)'!U115</f>
        <v/>
      </c>
      <c r="E115" s="124" t="n"/>
      <c r="F115" s="62" t="n"/>
      <c r="G115" s="25" t="n"/>
      <c r="H115" s="56" t="n"/>
      <c r="I115" s="19" t="n"/>
      <c r="J115" s="64" t="n"/>
      <c r="K115" s="18" t="n"/>
      <c r="L115" s="73" t="n"/>
      <c r="M115" s="73" t="n"/>
      <c r="N115" s="73" t="n"/>
      <c r="O115" s="19" t="n"/>
      <c r="P115" s="18" t="n"/>
      <c r="Q115" s="18" t="n"/>
      <c r="R115" s="73" t="n"/>
      <c r="S115" s="18" t="n"/>
      <c r="T115" s="18" t="n"/>
      <c r="U115" s="26">
        <f>D115+F115+-(H115+J115+L115+N115+P115+R115+T115)</f>
        <v/>
      </c>
      <c r="V115" t="inlineStr">
        <is>
          <t>CONSUMABLE</t>
        </is>
      </c>
    </row>
    <row r="116" ht="20.25" customHeight="1">
      <c r="A116" s="22">
        <f>A115+1</f>
        <v/>
      </c>
      <c r="B116" s="122" t="inlineStr">
        <is>
          <t>Flexible Hose  50 CM</t>
        </is>
      </c>
      <c r="C116" s="123" t="inlineStr">
        <is>
          <t>PCS</t>
        </is>
      </c>
      <c r="D116" s="26">
        <f>'[1]Week  (4)'!U116</f>
        <v/>
      </c>
      <c r="E116" s="125" t="n"/>
      <c r="F116" s="55" t="n"/>
      <c r="G116" s="52" t="n"/>
      <c r="H116" s="55" t="n"/>
      <c r="I116" s="71" t="n"/>
      <c r="J116" s="55" t="n"/>
      <c r="K116" s="18" t="n"/>
      <c r="L116" s="73" t="n"/>
      <c r="M116" s="73" t="n"/>
      <c r="N116" s="73" t="n"/>
      <c r="O116" s="19" t="n"/>
      <c r="P116" s="18" t="n"/>
      <c r="Q116" s="18" t="n"/>
      <c r="R116" s="73" t="n"/>
      <c r="S116" s="18" t="n"/>
      <c r="T116" s="18" t="n"/>
      <c r="U116" s="26">
        <f>D116+F116+-(H116+J116+L116+N116+P116+R116+T116)</f>
        <v/>
      </c>
      <c r="V116" t="inlineStr">
        <is>
          <t>VALVE AND PIPE</t>
        </is>
      </c>
    </row>
    <row r="117" ht="27" customHeight="1">
      <c r="A117" s="22">
        <f>A116+1</f>
        <v/>
      </c>
      <c r="B117" s="122" t="inlineStr">
        <is>
          <t>Flexible Hose  60 CM STAINLESS</t>
        </is>
      </c>
      <c r="C117" s="123" t="inlineStr">
        <is>
          <t>PCS</t>
        </is>
      </c>
      <c r="D117" s="26">
        <f>'[1]Week  (4)'!U117</f>
        <v/>
      </c>
      <c r="E117" s="124" t="n"/>
      <c r="F117" s="62" t="n"/>
      <c r="G117" s="25" t="n"/>
      <c r="H117" s="56" t="n"/>
      <c r="I117" s="19" t="n"/>
      <c r="J117" s="64" t="n"/>
      <c r="K117" s="18" t="n"/>
      <c r="L117" s="73" t="n"/>
      <c r="M117" s="73" t="n"/>
      <c r="N117" s="73" t="n"/>
      <c r="O117" s="19" t="n"/>
      <c r="P117" s="18" t="n"/>
      <c r="Q117" s="18" t="n"/>
      <c r="R117" s="73" t="n"/>
      <c r="S117" s="18" t="n"/>
      <c r="T117" s="18" t="n"/>
      <c r="U117" s="26">
        <f>D117+F117+-(H117+J117+L117+N117+P117+R117+T117)</f>
        <v/>
      </c>
      <c r="V117" t="inlineStr">
        <is>
          <t>VALVE AND PIPE</t>
        </is>
      </c>
    </row>
    <row r="118" ht="28.5" customHeight="1">
      <c r="A118" s="22">
        <f>A117+1</f>
        <v/>
      </c>
      <c r="B118" s="122" t="inlineStr">
        <is>
          <t>Flexible Hose 40 Cm</t>
        </is>
      </c>
      <c r="C118" s="123" t="inlineStr">
        <is>
          <t>PCS</t>
        </is>
      </c>
      <c r="D118" s="26">
        <f>'[1]Week  (4)'!U118</f>
        <v/>
      </c>
      <c r="E118" s="125" t="n"/>
      <c r="F118" s="55" t="n"/>
      <c r="G118" s="52" t="n"/>
      <c r="H118" s="55" t="n"/>
      <c r="I118" s="71" t="n"/>
      <c r="J118" s="55" t="n"/>
      <c r="K118" s="18" t="n"/>
      <c r="L118" s="73" t="n"/>
      <c r="M118" s="73" t="n"/>
      <c r="N118" s="73" t="n"/>
      <c r="O118" s="19" t="n"/>
      <c r="P118" s="18" t="n"/>
      <c r="Q118" s="18" t="n"/>
      <c r="R118" s="73" t="n"/>
      <c r="S118" s="18" t="n"/>
      <c r="T118" s="18" t="n"/>
      <c r="U118" s="26">
        <f>D118+F118+-(H118+J118+L118+N118+P118+R118+T118)</f>
        <v/>
      </c>
      <c r="V118" t="inlineStr">
        <is>
          <t>VALVE AND PIPE</t>
        </is>
      </c>
    </row>
    <row r="119" ht="27" customHeight="1">
      <c r="A119" s="22">
        <f>A118+1</f>
        <v/>
      </c>
      <c r="B119" s="122" t="inlineStr">
        <is>
          <t>Flexible Hose of Washbasin, DUPON</t>
        </is>
      </c>
      <c r="C119" s="123" t="inlineStr">
        <is>
          <t>SET</t>
        </is>
      </c>
      <c r="D119" s="26">
        <f>'[1]Week  (4)'!U119</f>
        <v/>
      </c>
      <c r="E119" s="124" t="n"/>
      <c r="F119" s="62" t="n"/>
      <c r="G119" s="25" t="n"/>
      <c r="H119" s="56" t="n"/>
      <c r="I119" s="19" t="n"/>
      <c r="J119" s="64" t="n"/>
      <c r="K119" s="18" t="n"/>
      <c r="L119" s="73" t="n"/>
      <c r="M119" s="73" t="n"/>
      <c r="N119" s="73" t="n"/>
      <c r="O119" s="19" t="n"/>
      <c r="P119" s="18" t="n"/>
      <c r="Q119" s="18" t="n"/>
      <c r="R119" s="73" t="n"/>
      <c r="S119" s="18" t="n"/>
      <c r="T119" s="18" t="n"/>
      <c r="U119" s="26">
        <f>D119+F119+-(H119+J119+L119+N119+P119+R119+T119)</f>
        <v/>
      </c>
      <c r="V119" t="inlineStr">
        <is>
          <t>VALVE AND PIPE</t>
        </is>
      </c>
    </row>
    <row r="120" ht="27" customHeight="1">
      <c r="A120" s="22">
        <f>A119+1</f>
        <v/>
      </c>
      <c r="B120" s="122" t="inlineStr">
        <is>
          <t>Flexible Hose of Washbasin, MOVE</t>
        </is>
      </c>
      <c r="C120" s="123" t="inlineStr">
        <is>
          <t>PCS</t>
        </is>
      </c>
      <c r="D120" s="26">
        <f>'[1]Week  (4)'!U120</f>
        <v/>
      </c>
      <c r="E120" s="125" t="n"/>
      <c r="F120" s="55" t="n"/>
      <c r="G120" s="52" t="n"/>
      <c r="H120" s="55" t="n"/>
      <c r="I120" s="71" t="n"/>
      <c r="J120" s="55" t="n"/>
      <c r="K120" s="18" t="n"/>
      <c r="L120" s="73" t="n"/>
      <c r="M120" s="73" t="n"/>
      <c r="N120" s="73" t="n"/>
      <c r="O120" s="19" t="n"/>
      <c r="P120" s="18" t="n"/>
      <c r="Q120" s="18" t="n"/>
      <c r="R120" s="73" t="n"/>
      <c r="S120" s="18" t="n"/>
      <c r="T120" s="18" t="n"/>
      <c r="U120" s="26">
        <f>D120+F120+-(H120+J120+L120+N120+P120+R120+T120)</f>
        <v/>
      </c>
      <c r="V120" t="inlineStr">
        <is>
          <t>VALVE AND PIPE</t>
        </is>
      </c>
    </row>
    <row r="121" ht="32.25" customHeight="1">
      <c r="A121" s="22">
        <f>A120+1</f>
        <v/>
      </c>
      <c r="B121" s="122" t="inlineStr">
        <is>
          <t>Floating Valve of Closet ( Tombol Atas )</t>
        </is>
      </c>
      <c r="C121" s="123" t="inlineStr">
        <is>
          <t>PCS</t>
        </is>
      </c>
      <c r="D121" s="26">
        <f>'[1]Week  (4)'!U121</f>
        <v/>
      </c>
      <c r="E121" s="124" t="n"/>
      <c r="F121" s="62" t="n"/>
      <c r="G121" s="25" t="n"/>
      <c r="H121" s="56" t="n"/>
      <c r="I121" s="19" t="n"/>
      <c r="J121" s="64" t="n"/>
      <c r="K121" s="18" t="n"/>
      <c r="L121" s="73" t="n"/>
      <c r="M121" s="73" t="n"/>
      <c r="N121" s="73" t="n"/>
      <c r="O121" s="19" t="n"/>
      <c r="P121" s="18" t="n"/>
      <c r="Q121" s="18" t="n"/>
      <c r="R121" s="73" t="n"/>
      <c r="S121" s="18" t="n"/>
      <c r="T121" s="18" t="n"/>
      <c r="U121" s="26">
        <f>D121+F121+-(H121+J121+L121+N121+P121+R121+T121)</f>
        <v/>
      </c>
      <c r="V121" t="inlineStr">
        <is>
          <t>SANITARY</t>
        </is>
      </c>
    </row>
    <row r="122" ht="27.75" customHeight="1">
      <c r="A122" s="22">
        <f>A121+1</f>
        <v/>
      </c>
      <c r="B122" s="122" t="inlineStr">
        <is>
          <t>Floating Valve of Closet ( Tombol Samping  )</t>
        </is>
      </c>
      <c r="C122" s="123" t="inlineStr">
        <is>
          <t>PCS</t>
        </is>
      </c>
      <c r="D122" s="26">
        <f>'[1]Week  (4)'!U122</f>
        <v/>
      </c>
      <c r="E122" s="125" t="n"/>
      <c r="F122" s="55" t="n"/>
      <c r="G122" s="52" t="n"/>
      <c r="H122" s="55" t="n"/>
      <c r="I122" s="71" t="n"/>
      <c r="J122" s="55" t="n"/>
      <c r="K122" s="18" t="n"/>
      <c r="L122" s="73" t="n"/>
      <c r="M122" s="73" t="n"/>
      <c r="N122" s="73" t="n"/>
      <c r="O122" s="19" t="n"/>
      <c r="P122" s="18" t="n"/>
      <c r="Q122" s="18" t="n"/>
      <c r="R122" s="73" t="n"/>
      <c r="S122" s="18" t="n"/>
      <c r="T122" s="18" t="n"/>
      <c r="U122" s="26">
        <f>D122+F122+-(H122+J122+L122+N122+P122+R122+T122)</f>
        <v/>
      </c>
      <c r="V122" t="inlineStr">
        <is>
          <t>SANITARY</t>
        </is>
      </c>
    </row>
    <row r="123" ht="24" customHeight="1">
      <c r="A123" s="22">
        <f>A122+1</f>
        <v/>
      </c>
      <c r="B123" s="122" t="inlineStr">
        <is>
          <t>Floor Drain</t>
        </is>
      </c>
      <c r="C123" s="123" t="inlineStr">
        <is>
          <t>PCS</t>
        </is>
      </c>
      <c r="D123" s="26">
        <f>'[1]Week  (4)'!U123</f>
        <v/>
      </c>
      <c r="E123" s="124" t="n"/>
      <c r="F123" s="62" t="n"/>
      <c r="G123" s="25" t="n"/>
      <c r="H123" s="56" t="n"/>
      <c r="I123" s="19" t="n"/>
      <c r="J123" s="64" t="n"/>
      <c r="K123" s="18" t="n"/>
      <c r="L123" s="73" t="n"/>
      <c r="M123" s="73" t="n"/>
      <c r="N123" s="73" t="n"/>
      <c r="O123" s="19" t="n"/>
      <c r="P123" s="18" t="n"/>
      <c r="Q123" s="18" t="n"/>
      <c r="R123" s="73" t="n"/>
      <c r="S123" s="18" t="n"/>
      <c r="T123" s="18" t="n"/>
      <c r="U123" s="26">
        <f>D123+F123+-(H123+J123+L123+N123+P123+R123+T123)</f>
        <v/>
      </c>
      <c r="V123" t="inlineStr">
        <is>
          <t>SANITARY</t>
        </is>
      </c>
    </row>
    <row r="124" ht="24" customHeight="1">
      <c r="A124" s="22">
        <f>A123+1</f>
        <v/>
      </c>
      <c r="B124" s="122" t="inlineStr">
        <is>
          <t>FREON R 22 DUPONT ( 13,62 Kg )</t>
        </is>
      </c>
      <c r="C124" s="123" t="inlineStr">
        <is>
          <t>BTL</t>
        </is>
      </c>
      <c r="D124" s="26">
        <f>'[1]Week  (4)'!U124</f>
        <v/>
      </c>
      <c r="E124" s="125" t="n"/>
      <c r="F124" s="55" t="n"/>
      <c r="G124" s="52" t="n"/>
      <c r="H124" s="55" t="n"/>
      <c r="I124" s="71" t="n"/>
      <c r="J124" s="55" t="n"/>
      <c r="K124" s="18" t="n"/>
      <c r="L124" s="73" t="n"/>
      <c r="M124" s="73" t="n"/>
      <c r="N124" s="73" t="n"/>
      <c r="O124" s="19" t="n"/>
      <c r="P124" s="18" t="n"/>
      <c r="Q124" s="18" t="n"/>
      <c r="R124" s="73" t="n"/>
      <c r="S124" s="18" t="n"/>
      <c r="T124" s="18" t="n"/>
      <c r="U124" s="26">
        <f>D124+F124+-(H124+J124+L124+N124+P124+R124+T124)</f>
        <v/>
      </c>
      <c r="V124" t="inlineStr">
        <is>
          <t>AC</t>
        </is>
      </c>
    </row>
    <row r="125" ht="24" customHeight="1">
      <c r="A125" s="22">
        <f>A124+1</f>
        <v/>
      </c>
      <c r="B125" s="122" t="inlineStr">
        <is>
          <t xml:space="preserve">FREON R 32 </t>
        </is>
      </c>
      <c r="C125" s="123" t="inlineStr">
        <is>
          <t>BTL</t>
        </is>
      </c>
      <c r="D125" s="26">
        <f>'[1]Week  (4)'!U125</f>
        <v/>
      </c>
      <c r="E125" s="124" t="n"/>
      <c r="F125" s="62" t="n"/>
      <c r="G125" s="25" t="n"/>
      <c r="H125" s="56" t="n"/>
      <c r="I125" s="19" t="n"/>
      <c r="J125" s="64" t="n"/>
      <c r="K125" s="18" t="n"/>
      <c r="L125" s="73" t="n"/>
      <c r="M125" s="73" t="n"/>
      <c r="N125" s="73" t="n"/>
      <c r="O125" s="19" t="n"/>
      <c r="P125" s="18" t="n"/>
      <c r="Q125" s="18" t="n"/>
      <c r="R125" s="73" t="n"/>
      <c r="S125" s="18" t="n"/>
      <c r="T125" s="18" t="n"/>
      <c r="U125" s="26">
        <f>D125+F125+-(H125+J125+L125+N125+P125+R125+T125)</f>
        <v/>
      </c>
      <c r="V125" t="inlineStr">
        <is>
          <t>AC</t>
        </is>
      </c>
    </row>
    <row r="126" ht="27" customHeight="1">
      <c r="A126" s="22">
        <f>A125+1</f>
        <v/>
      </c>
      <c r="B126" s="79" t="inlineStr">
        <is>
          <t>FLANGE PVC 2,5"</t>
        </is>
      </c>
      <c r="C126" s="29" t="inlineStr">
        <is>
          <t>Pcs</t>
        </is>
      </c>
      <c r="D126" s="26">
        <f>'[1]Week  (4)'!U126</f>
        <v/>
      </c>
      <c r="E126" s="125" t="n"/>
      <c r="F126" s="55" t="n"/>
      <c r="G126" s="52" t="n"/>
      <c r="H126" s="55" t="n"/>
      <c r="I126" s="71" t="n"/>
      <c r="J126" s="55" t="n"/>
      <c r="K126" s="18" t="n"/>
      <c r="L126" s="73" t="n"/>
      <c r="M126" s="73" t="n"/>
      <c r="N126" s="73" t="n"/>
      <c r="O126" s="19" t="n"/>
      <c r="P126" s="18" t="n"/>
      <c r="Q126" s="18" t="n"/>
      <c r="R126" s="73" t="n"/>
      <c r="S126" s="18" t="n"/>
      <c r="T126" s="18" t="n"/>
      <c r="U126" s="26">
        <f>D126+F126+-(H126+J126+L126+N126+P126+R126+T126)</f>
        <v/>
      </c>
      <c r="V126" t="inlineStr">
        <is>
          <t>VALVE AND PIPE</t>
        </is>
      </c>
    </row>
    <row r="127" ht="27" customHeight="1">
      <c r="A127" s="22">
        <f>A126+1</f>
        <v/>
      </c>
      <c r="B127" s="79" t="inlineStr">
        <is>
          <t>FLANGE PVC 2"</t>
        </is>
      </c>
      <c r="C127" s="29" t="inlineStr">
        <is>
          <t>Pcs</t>
        </is>
      </c>
      <c r="D127" s="26">
        <f>'[1]Week  (4)'!U127</f>
        <v/>
      </c>
      <c r="E127" s="124" t="n"/>
      <c r="F127" s="62" t="n"/>
      <c r="G127" s="25" t="n"/>
      <c r="H127" s="56" t="n"/>
      <c r="I127" s="19" t="n"/>
      <c r="J127" s="64" t="n"/>
      <c r="K127" s="18" t="n"/>
      <c r="L127" s="73" t="n"/>
      <c r="M127" s="73" t="n"/>
      <c r="N127" s="73" t="n"/>
      <c r="O127" s="19" t="n"/>
      <c r="P127" s="18" t="n"/>
      <c r="Q127" s="19" t="n"/>
      <c r="R127" s="73" t="n"/>
      <c r="S127" s="18" t="n"/>
      <c r="T127" s="18" t="n"/>
      <c r="U127" s="26">
        <f>D127+F127+-(H127+J127+L127+N127+P127+R127+T127)</f>
        <v/>
      </c>
      <c r="V127" t="inlineStr">
        <is>
          <t>VALVE AND PIPE</t>
        </is>
      </c>
    </row>
    <row r="128">
      <c r="A128" s="22">
        <f>A127+1</f>
        <v/>
      </c>
      <c r="B128" s="79" t="inlineStr">
        <is>
          <t xml:space="preserve">Grendel </t>
        </is>
      </c>
      <c r="C128" s="40" t="inlineStr">
        <is>
          <t>Pcs</t>
        </is>
      </c>
      <c r="D128" s="26">
        <f>'[1]Week  (4)'!U128</f>
        <v/>
      </c>
      <c r="E128" s="125" t="n"/>
      <c r="F128" s="55" t="n"/>
      <c r="G128" s="52" t="n"/>
      <c r="H128" s="55" t="n"/>
      <c r="I128" s="71" t="n"/>
      <c r="J128" s="55" t="n"/>
      <c r="K128" s="19" t="n"/>
      <c r="L128" s="73" t="n"/>
      <c r="M128" s="73" t="n"/>
      <c r="N128" s="73" t="n"/>
      <c r="O128" s="19" t="n"/>
      <c r="P128" s="18" t="n"/>
      <c r="Q128" s="18" t="n"/>
      <c r="R128" s="73" t="n"/>
      <c r="S128" s="18" t="n"/>
      <c r="T128" s="18" t="n"/>
      <c r="U128" s="26">
        <f>D128+F128+-(H128+J128+L128+N128+P128+R128+T128)</f>
        <v/>
      </c>
      <c r="V128" t="inlineStr">
        <is>
          <t>CIVIL</t>
        </is>
      </c>
    </row>
    <row r="129" ht="27" customHeight="1">
      <c r="A129" s="22">
        <f>A128+1</f>
        <v/>
      </c>
      <c r="B129" s="122" t="inlineStr">
        <is>
          <t xml:space="preserve">Hand Shower </t>
        </is>
      </c>
      <c r="C129" s="123" t="inlineStr">
        <is>
          <t>PCS</t>
        </is>
      </c>
      <c r="D129" s="26">
        <f>'[1]Week  (4)'!U129</f>
        <v/>
      </c>
      <c r="E129" s="124" t="n"/>
      <c r="F129" s="62" t="n"/>
      <c r="G129" s="68" t="n"/>
      <c r="H129" s="56" t="n"/>
      <c r="I129" s="19" t="n"/>
      <c r="J129" s="64" t="n"/>
      <c r="K129" s="19" t="n"/>
      <c r="L129" s="73" t="n"/>
      <c r="M129" s="73" t="n"/>
      <c r="N129" s="73" t="n"/>
      <c r="O129" s="19" t="n"/>
      <c r="P129" s="18" t="n"/>
      <c r="Q129" s="18" t="n"/>
      <c r="R129" s="73" t="n"/>
      <c r="S129" s="18" t="n"/>
      <c r="T129" s="18" t="n"/>
      <c r="U129" s="26">
        <f>D129+F129+-(H129+J129+L129+N129+P129+R129+T129)</f>
        <v/>
      </c>
      <c r="V129" t="inlineStr">
        <is>
          <t>SANITARY</t>
        </is>
      </c>
    </row>
    <row r="130" ht="27" customHeight="1">
      <c r="A130" s="22">
        <f>A129+1</f>
        <v/>
      </c>
      <c r="B130" s="122" t="inlineStr">
        <is>
          <t xml:space="preserve">HANDLE PINTU </t>
        </is>
      </c>
      <c r="C130" s="123" t="inlineStr">
        <is>
          <t>Set</t>
        </is>
      </c>
      <c r="D130" s="26">
        <f>'[1]Week  (4)'!U130</f>
        <v/>
      </c>
      <c r="E130" s="124" t="n"/>
      <c r="F130" s="55" t="n"/>
      <c r="G130" s="52" t="n"/>
      <c r="H130" s="55" t="n"/>
      <c r="I130" s="71" t="n"/>
      <c r="J130" s="55" t="n"/>
      <c r="K130" s="18" t="n"/>
      <c r="L130" s="73" t="n"/>
      <c r="M130" s="73" t="n"/>
      <c r="N130" s="73" t="n"/>
      <c r="O130" s="19" t="n"/>
      <c r="P130" s="18" t="n"/>
      <c r="Q130" s="18" t="n"/>
      <c r="R130" s="73" t="n"/>
      <c r="S130" s="18" t="n"/>
      <c r="T130" s="18" t="n"/>
      <c r="U130" s="26">
        <f>D130+F130+-(H130+J130+L130+N130+P130+R130+T130)</f>
        <v/>
      </c>
      <c r="V130" t="inlineStr">
        <is>
          <t>CIVIL</t>
        </is>
      </c>
    </row>
    <row r="131" ht="27" customHeight="1">
      <c r="A131" s="22">
        <f>A130+1</f>
        <v/>
      </c>
      <c r="B131" s="122" t="inlineStr">
        <is>
          <t>Hose of Washing Machine Drain</t>
        </is>
      </c>
      <c r="C131" s="123" t="inlineStr">
        <is>
          <t>PCS</t>
        </is>
      </c>
      <c r="D131" s="26">
        <f>'[1]Week  (4)'!U131</f>
        <v/>
      </c>
      <c r="E131" s="124" t="n"/>
      <c r="F131" s="62" t="n"/>
      <c r="G131" s="25" t="n"/>
      <c r="H131" s="56" t="n"/>
      <c r="I131" s="19" t="inlineStr">
        <is>
          <t>Madura 7</t>
        </is>
      </c>
      <c r="J131" s="64" t="n">
        <v>1</v>
      </c>
      <c r="K131" s="18" t="n"/>
      <c r="L131" s="73" t="n"/>
      <c r="M131" s="73" t="n"/>
      <c r="N131" s="73" t="n"/>
      <c r="O131" s="19" t="n"/>
      <c r="P131" s="18" t="n"/>
      <c r="Q131" s="18" t="n"/>
      <c r="R131" s="73" t="n"/>
      <c r="S131" s="18" t="n"/>
      <c r="T131" s="18" t="n"/>
      <c r="U131" s="26">
        <f>D131+F131+-(H131+J131+L131+N131+P131+R131+T131)</f>
        <v/>
      </c>
      <c r="V131" t="inlineStr">
        <is>
          <t>SANITARY</t>
        </is>
      </c>
    </row>
    <row r="132" ht="13.5" customHeight="1">
      <c r="A132" s="22">
        <f>A131+1</f>
        <v/>
      </c>
      <c r="B132" s="122" t="inlineStr">
        <is>
          <t>Ignition of Stove</t>
        </is>
      </c>
      <c r="C132" s="123" t="inlineStr">
        <is>
          <t>PCS</t>
        </is>
      </c>
      <c r="D132" s="26">
        <f>'[1]Week  (4)'!U132</f>
        <v/>
      </c>
      <c r="E132" s="125" t="n"/>
      <c r="F132" s="55" t="n"/>
      <c r="G132" s="52" t="n"/>
      <c r="H132" s="55" t="n"/>
      <c r="I132" s="71" t="n"/>
      <c r="J132" s="55" t="n"/>
      <c r="K132" s="18" t="n"/>
      <c r="L132" s="73" t="n"/>
      <c r="M132" s="73" t="n"/>
      <c r="N132" s="73" t="n"/>
      <c r="O132" s="19" t="n"/>
      <c r="P132" s="18" t="n"/>
      <c r="Q132" s="18" t="n"/>
      <c r="R132" s="73" t="n"/>
      <c r="S132" s="18" t="n"/>
      <c r="T132" s="18" t="n"/>
      <c r="U132" s="26">
        <f>D132+F132+-(H132+J132+L132+N132+P132+R132+T132)</f>
        <v/>
      </c>
      <c r="V132" t="inlineStr">
        <is>
          <t>SPAREPART</t>
        </is>
      </c>
    </row>
    <row r="133" ht="15" customHeight="1">
      <c r="A133" s="22">
        <f>A132+1</f>
        <v/>
      </c>
      <c r="B133" s="122" t="inlineStr">
        <is>
          <t xml:space="preserve">Jati Plywood </t>
        </is>
      </c>
      <c r="C133" s="123" t="inlineStr">
        <is>
          <t>PCS</t>
        </is>
      </c>
      <c r="D133" s="26">
        <f>'[1]Week  (4)'!U133</f>
        <v/>
      </c>
      <c r="E133" s="124" t="n"/>
      <c r="F133" s="62" t="n"/>
      <c r="G133" s="25" t="n"/>
      <c r="H133" s="56" t="n"/>
      <c r="I133" s="19" t="n"/>
      <c r="J133" s="64" t="n"/>
      <c r="K133" s="18" t="n"/>
      <c r="L133" s="73" t="n"/>
      <c r="M133" s="73" t="n"/>
      <c r="N133" s="73" t="n"/>
      <c r="O133" s="19" t="n"/>
      <c r="P133" s="18" t="n"/>
      <c r="Q133" s="18" t="n"/>
      <c r="R133" s="73" t="n"/>
      <c r="S133" s="18" t="n"/>
      <c r="T133" s="18" t="n"/>
      <c r="U133" s="26">
        <f>D133+F133+-(H133+J133+L133+N133+P133+R133+T133)</f>
        <v/>
      </c>
      <c r="V133" t="inlineStr">
        <is>
          <t>CIVIL</t>
        </is>
      </c>
    </row>
    <row r="134" ht="24" customHeight="1">
      <c r="A134" s="22">
        <f>A133+1</f>
        <v/>
      </c>
      <c r="B134" s="79" t="inlineStr">
        <is>
          <t>Kabel NYY 4 x 2,5</t>
        </is>
      </c>
      <c r="C134" s="29" t="inlineStr">
        <is>
          <t>Meter</t>
        </is>
      </c>
      <c r="D134" s="26">
        <f>'[1]Week  (4)'!U134</f>
        <v/>
      </c>
      <c r="E134" s="125" t="n"/>
      <c r="F134" s="55" t="n"/>
      <c r="G134" s="52" t="n"/>
      <c r="H134" s="55" t="n"/>
      <c r="I134" s="71" t="n"/>
      <c r="J134" s="55" t="n"/>
      <c r="K134" s="18" t="n"/>
      <c r="L134" s="73" t="n"/>
      <c r="M134" s="73" t="n"/>
      <c r="N134" s="73" t="n"/>
      <c r="O134" s="19" t="n"/>
      <c r="P134" s="18" t="n"/>
      <c r="Q134" s="18" t="n"/>
      <c r="R134" s="73" t="n"/>
      <c r="S134" s="18" t="n"/>
      <c r="T134" s="18" t="n"/>
      <c r="U134" s="26">
        <f>D134+F134+-(H134+J134+L134+N134+P134+R134+T134)</f>
        <v/>
      </c>
      <c r="V134" t="inlineStr">
        <is>
          <t>ELECTRICAL</t>
        </is>
      </c>
    </row>
    <row r="135" ht="24" customHeight="1">
      <c r="A135" s="22">
        <f>A134+1</f>
        <v/>
      </c>
      <c r="B135" s="79" t="inlineStr">
        <is>
          <t>Kabel NYYHY 4 x 2,5</t>
        </is>
      </c>
      <c r="C135" s="29" t="inlineStr">
        <is>
          <t>Meter</t>
        </is>
      </c>
      <c r="D135" s="26">
        <f>'[1]Week  (4)'!U135</f>
        <v/>
      </c>
      <c r="E135" s="124" t="n"/>
      <c r="F135" s="62" t="n"/>
      <c r="G135" s="25" t="n"/>
      <c r="H135" s="56" t="n"/>
      <c r="I135" s="19" t="n"/>
      <c r="J135" s="64" t="n"/>
      <c r="K135" s="18" t="n"/>
      <c r="L135" s="73" t="n"/>
      <c r="M135" s="73" t="n"/>
      <c r="N135" s="73" t="n"/>
      <c r="O135" s="19" t="n"/>
      <c r="P135" s="18" t="n"/>
      <c r="Q135" s="18" t="n"/>
      <c r="R135" s="73" t="n"/>
      <c r="S135" s="18" t="n"/>
      <c r="T135" s="18" t="n"/>
      <c r="U135" s="26">
        <f>D135+F135+-(H135+J135+L135+N135+P135+R135+T135)</f>
        <v/>
      </c>
      <c r="V135" t="inlineStr">
        <is>
          <t>ELECTRICAL</t>
        </is>
      </c>
    </row>
    <row r="136" ht="24" customHeight="1">
      <c r="A136" s="22">
        <f>A135+1</f>
        <v/>
      </c>
      <c r="B136" s="79" t="inlineStr">
        <is>
          <t>Kabel NYY 3 x 2,5</t>
        </is>
      </c>
      <c r="C136" s="29" t="inlineStr">
        <is>
          <t>Meter</t>
        </is>
      </c>
      <c r="D136" s="26">
        <f>'[1]Week  (4)'!U136</f>
        <v/>
      </c>
      <c r="E136" s="125" t="n"/>
      <c r="F136" s="55" t="n"/>
      <c r="G136" s="52" t="n"/>
      <c r="H136" s="55" t="n"/>
      <c r="I136" s="71" t="n"/>
      <c r="J136" s="55" t="n"/>
      <c r="K136" s="18" t="n"/>
      <c r="L136" s="73" t="n"/>
      <c r="M136" s="73" t="n"/>
      <c r="N136" s="73" t="n"/>
      <c r="O136" s="19" t="n"/>
      <c r="P136" s="18" t="n"/>
      <c r="Q136" s="18" t="n"/>
      <c r="R136" s="73" t="n"/>
      <c r="S136" s="18" t="n"/>
      <c r="T136" s="18" t="n"/>
      <c r="U136" s="26">
        <f>D136+F136+-(H136+J136+L136+N136+P136+R136+T136)</f>
        <v/>
      </c>
      <c r="V136" t="inlineStr">
        <is>
          <t>ELECTRICAL</t>
        </is>
      </c>
    </row>
    <row r="137" ht="24" customHeight="1">
      <c r="A137" s="22">
        <f>A136+1</f>
        <v/>
      </c>
      <c r="B137" s="79" t="inlineStr">
        <is>
          <t>Kabel NYM 3 x 2,5</t>
        </is>
      </c>
      <c r="C137" s="29" t="inlineStr">
        <is>
          <t>Meter</t>
        </is>
      </c>
      <c r="D137" s="26">
        <f>'[1]Week  (4)'!U137</f>
        <v/>
      </c>
      <c r="E137" s="124" t="n"/>
      <c r="F137" s="62" t="n"/>
      <c r="G137" s="25" t="n"/>
      <c r="H137" s="56" t="n"/>
      <c r="I137" s="25" t="n"/>
      <c r="J137" s="56" t="n"/>
      <c r="K137" s="25" t="n"/>
      <c r="L137" s="73" t="n"/>
      <c r="M137" s="73" t="n"/>
      <c r="N137" s="73" t="n"/>
      <c r="O137" s="19" t="n"/>
      <c r="P137" s="18" t="n"/>
      <c r="Q137" s="18" t="n"/>
      <c r="R137" s="73" t="n"/>
      <c r="S137" s="18" t="n"/>
      <c r="T137" s="18" t="n"/>
      <c r="U137" s="26">
        <f>D137+F137+-(H137+J137+L137+N137+P137+R137+T137)</f>
        <v/>
      </c>
      <c r="V137" t="inlineStr">
        <is>
          <t>ELECTRICAL</t>
        </is>
      </c>
    </row>
    <row r="138" ht="24" customHeight="1">
      <c r="A138" s="22">
        <f>A137+1</f>
        <v/>
      </c>
      <c r="B138" s="79" t="inlineStr">
        <is>
          <t>Kabel NYM 3 x 1,5</t>
        </is>
      </c>
      <c r="C138" s="29" t="inlineStr">
        <is>
          <t>Meter</t>
        </is>
      </c>
      <c r="D138" s="26">
        <f>'[1]Week  (4)'!U138</f>
        <v/>
      </c>
      <c r="E138" s="124" t="n"/>
      <c r="F138" s="62" t="n"/>
      <c r="G138" s="25" t="n"/>
      <c r="H138" s="56" t="n"/>
      <c r="I138" s="25" t="n"/>
      <c r="J138" s="56" t="n"/>
      <c r="K138" s="19" t="n"/>
      <c r="L138" s="73" t="n"/>
      <c r="M138" s="73" t="n"/>
      <c r="N138" s="73" t="n"/>
      <c r="O138" s="19" t="n"/>
      <c r="P138" s="18" t="n"/>
      <c r="Q138" s="18" t="n"/>
      <c r="R138" s="73" t="n"/>
      <c r="S138" s="18" t="n"/>
      <c r="T138" s="18" t="n"/>
      <c r="U138" s="26">
        <f>D138+F138+-(H138+J138+L138+N138+P138+R138+T138)</f>
        <v/>
      </c>
      <c r="V138" t="inlineStr">
        <is>
          <t>ELECTRICAL</t>
        </is>
      </c>
    </row>
    <row r="139" ht="24" customHeight="1">
      <c r="A139" s="22">
        <f>A138+1</f>
        <v/>
      </c>
      <c r="B139" s="79" t="inlineStr">
        <is>
          <t>Kawat Seling Calfit</t>
        </is>
      </c>
      <c r="C139" s="29" t="inlineStr">
        <is>
          <t>M</t>
        </is>
      </c>
      <c r="D139" s="26">
        <f>'[1]Week  (4)'!U139</f>
        <v/>
      </c>
      <c r="E139" s="125" t="n"/>
      <c r="F139" s="55" t="n"/>
      <c r="G139" s="52" t="n"/>
      <c r="H139" s="55" t="n"/>
      <c r="I139" s="71" t="n"/>
      <c r="J139" s="55" t="n"/>
      <c r="K139" s="18" t="n"/>
      <c r="L139" s="73" t="n"/>
      <c r="M139" s="73" t="n"/>
      <c r="N139" s="73" t="n"/>
      <c r="O139" s="19" t="n"/>
      <c r="P139" s="18" t="n"/>
      <c r="Q139" s="18" t="n"/>
      <c r="R139" s="73" t="n"/>
      <c r="S139" s="18" t="n"/>
      <c r="T139" s="18" t="n"/>
      <c r="U139" s="26">
        <f>D139+F139+-(H139+J139+L139+N139+P139+R139+T139)</f>
        <v/>
      </c>
      <c r="V139" t="inlineStr">
        <is>
          <t>CONSUMABLE</t>
        </is>
      </c>
    </row>
    <row r="140" ht="27" customHeight="1">
      <c r="A140" s="22">
        <f>A139+1</f>
        <v/>
      </c>
      <c r="B140" s="122" t="inlineStr">
        <is>
          <t>Kayu 3 x 20 x 4</t>
        </is>
      </c>
      <c r="C140" s="123" t="inlineStr">
        <is>
          <t>Batang</t>
        </is>
      </c>
      <c r="D140" s="26">
        <f>'[1]Week  (4)'!U140</f>
        <v/>
      </c>
      <c r="E140" s="124" t="n"/>
      <c r="F140" s="62" t="n"/>
      <c r="G140" s="25" t="n"/>
      <c r="H140" s="56" t="n"/>
      <c r="I140" s="19" t="n"/>
      <c r="J140" s="64" t="n"/>
      <c r="K140" s="18" t="n"/>
      <c r="L140" s="73" t="n"/>
      <c r="M140" s="73" t="n"/>
      <c r="N140" s="73" t="n"/>
      <c r="O140" s="19" t="n"/>
      <c r="P140" s="18" t="n"/>
      <c r="Q140" s="18" t="n"/>
      <c r="R140" s="73" t="n"/>
      <c r="S140" s="18" t="n"/>
      <c r="T140" s="18" t="n"/>
      <c r="U140" s="26">
        <f>D140+F140+-(H140+J140+L140+N140+P140+R140+T140)</f>
        <v/>
      </c>
      <c r="V140" t="inlineStr">
        <is>
          <t>CIVIL</t>
        </is>
      </c>
    </row>
    <row r="141" ht="25.5" customHeight="1">
      <c r="A141" s="22">
        <f>A140+1</f>
        <v/>
      </c>
      <c r="B141" s="122" t="inlineStr">
        <is>
          <t>Kayu 6 x 12 x 4</t>
        </is>
      </c>
      <c r="C141" s="123" t="inlineStr">
        <is>
          <t>Batang</t>
        </is>
      </c>
      <c r="D141" s="26">
        <f>'[1]Week  (4)'!U141</f>
        <v/>
      </c>
      <c r="E141" s="125" t="n"/>
      <c r="F141" s="55" t="n"/>
      <c r="G141" s="52" t="n"/>
      <c r="H141" s="55" t="n"/>
      <c r="I141" s="71" t="n"/>
      <c r="J141" s="55" t="n"/>
      <c r="K141" s="18" t="n"/>
      <c r="L141" s="73" t="n"/>
      <c r="M141" s="73" t="n"/>
      <c r="N141" s="73" t="n"/>
      <c r="O141" s="19" t="n"/>
      <c r="P141" s="18" t="n"/>
      <c r="Q141" s="18" t="n"/>
      <c r="R141" s="73" t="n"/>
      <c r="S141" s="18" t="n"/>
      <c r="T141" s="18" t="n"/>
      <c r="U141" s="26">
        <f>D141+F141+-(H141+J141+L141+N141+P141+R141+T141)</f>
        <v/>
      </c>
      <c r="V141" t="inlineStr">
        <is>
          <t>CIVIL</t>
        </is>
      </c>
    </row>
    <row r="142" ht="27" customHeight="1">
      <c r="A142" s="22">
        <f>A141+1</f>
        <v/>
      </c>
      <c r="B142" s="122" t="inlineStr">
        <is>
          <t>Kayu 6 x 15 x 4</t>
        </is>
      </c>
      <c r="C142" s="123" t="inlineStr">
        <is>
          <t>Batang</t>
        </is>
      </c>
      <c r="D142" s="26">
        <f>'[1]Week  (4)'!U142</f>
        <v/>
      </c>
      <c r="E142" s="124" t="n"/>
      <c r="F142" s="62" t="n"/>
      <c r="G142" s="25" t="n"/>
      <c r="H142" s="56" t="n"/>
      <c r="I142" s="19" t="n"/>
      <c r="J142" s="64" t="n"/>
      <c r="K142" s="18" t="n"/>
      <c r="L142" s="73" t="n"/>
      <c r="M142" s="73" t="n"/>
      <c r="N142" s="73" t="n"/>
      <c r="O142" s="19" t="n"/>
      <c r="P142" s="18" t="n"/>
      <c r="Q142" s="18" t="n"/>
      <c r="R142" s="73" t="n"/>
      <c r="S142" s="18" t="n"/>
      <c r="T142" s="18" t="n"/>
      <c r="U142" s="26">
        <f>D142+F142+-(H142+J142+L142+N142+P142+R142+T142)</f>
        <v/>
      </c>
      <c r="V142" t="inlineStr">
        <is>
          <t>CIVIL</t>
        </is>
      </c>
    </row>
    <row r="143" ht="13.5" customHeight="1">
      <c r="A143" s="22">
        <f>A142+1</f>
        <v/>
      </c>
      <c r="B143" s="122" t="inlineStr">
        <is>
          <t>Kayu 8 x 12 x 4</t>
        </is>
      </c>
      <c r="C143" s="123" t="inlineStr">
        <is>
          <t>Batang</t>
        </is>
      </c>
      <c r="D143" s="26">
        <f>'[1]Week  (4)'!U143</f>
        <v/>
      </c>
      <c r="E143" s="125" t="n"/>
      <c r="F143" s="55" t="n"/>
      <c r="G143" s="52" t="n"/>
      <c r="H143" s="55" t="n"/>
      <c r="I143" s="71" t="n"/>
      <c r="J143" s="55" t="n"/>
      <c r="K143" s="18" t="n"/>
      <c r="L143" s="73" t="n"/>
      <c r="M143" s="73" t="n"/>
      <c r="N143" s="73" t="n"/>
      <c r="O143" s="19" t="n"/>
      <c r="P143" s="18" t="n"/>
      <c r="Q143" s="18" t="n"/>
      <c r="R143" s="73" t="n"/>
      <c r="S143" s="18" t="n"/>
      <c r="T143" s="18" t="n"/>
      <c r="U143" s="26">
        <f>D143+F143+-(H143+J143+L143+N143+P143+R143+T143)</f>
        <v/>
      </c>
      <c r="V143" t="inlineStr">
        <is>
          <t>CIVIL</t>
        </is>
      </c>
    </row>
    <row r="144" ht="27.75" customHeight="1">
      <c r="A144" s="22">
        <f>A143+1</f>
        <v/>
      </c>
      <c r="B144" s="79" t="inlineStr">
        <is>
          <t>Klem Selang LPG</t>
        </is>
      </c>
      <c r="C144" s="40" t="inlineStr">
        <is>
          <t>Pcs</t>
        </is>
      </c>
      <c r="D144" s="26">
        <f>'[1]Week  (4)'!U144</f>
        <v/>
      </c>
      <c r="E144" s="124" t="n"/>
      <c r="F144" s="62" t="n"/>
      <c r="G144" s="25" t="n"/>
      <c r="H144" s="56" t="n"/>
      <c r="I144" s="19" t="n"/>
      <c r="J144" s="64" t="n"/>
      <c r="K144" s="18" t="n"/>
      <c r="L144" s="73" t="n"/>
      <c r="M144" s="73" t="n"/>
      <c r="N144" s="73" t="n"/>
      <c r="O144" s="19" t="n"/>
      <c r="P144" s="18" t="n"/>
      <c r="Q144" s="18" t="n"/>
      <c r="R144" s="73" t="n"/>
      <c r="S144" s="18" t="n"/>
      <c r="T144" s="18" t="n"/>
      <c r="U144" s="26">
        <f>D144+F144+-(H144+J144+L144+N144+P144+R144+T144)</f>
        <v/>
      </c>
      <c r="V144" t="inlineStr">
        <is>
          <t>CONSUMABLE</t>
        </is>
      </c>
    </row>
    <row r="145" ht="26.25" customHeight="1">
      <c r="A145" s="22">
        <f>A144+1</f>
        <v/>
      </c>
      <c r="B145" s="79" t="inlineStr">
        <is>
          <t>Klem Seling Calfit</t>
        </is>
      </c>
      <c r="C145" s="29" t="inlineStr">
        <is>
          <t>Pcs</t>
        </is>
      </c>
      <c r="D145" s="26">
        <f>'[1]Week  (4)'!U145</f>
        <v/>
      </c>
      <c r="E145" s="125" t="n"/>
      <c r="F145" s="55" t="n"/>
      <c r="G145" s="52" t="n"/>
      <c r="H145" s="55" t="n"/>
      <c r="I145" s="71" t="n"/>
      <c r="J145" s="55" t="n"/>
      <c r="K145" s="18" t="n"/>
      <c r="L145" s="73" t="n"/>
      <c r="M145" s="73" t="n"/>
      <c r="N145" s="73" t="n"/>
      <c r="O145" s="19" t="n"/>
      <c r="P145" s="18" t="n"/>
      <c r="Q145" s="18" t="n"/>
      <c r="R145" s="73" t="n"/>
      <c r="S145" s="18" t="n"/>
      <c r="T145" s="18" t="n"/>
      <c r="U145" s="26">
        <f>D145+F145+-(H145+J145+L145+N145+P145+R145+T145)</f>
        <v/>
      </c>
      <c r="V145" t="inlineStr">
        <is>
          <t>CONSUMABLE</t>
        </is>
      </c>
    </row>
    <row r="146" ht="26.25" customHeight="1">
      <c r="A146" s="22">
        <f>A145+1</f>
        <v/>
      </c>
      <c r="B146" s="27" t="inlineStr">
        <is>
          <t>Kuas 3"</t>
        </is>
      </c>
      <c r="C146" s="123" t="inlineStr">
        <is>
          <t>PCS</t>
        </is>
      </c>
      <c r="D146" s="26">
        <f>'[1]Week  (4)'!U146</f>
        <v/>
      </c>
      <c r="E146" s="124" t="n"/>
      <c r="F146" s="62" t="n"/>
      <c r="G146" s="25" t="n"/>
      <c r="H146" s="56" t="n"/>
      <c r="I146" s="19" t="n"/>
      <c r="J146" s="64" t="n"/>
      <c r="K146" s="18" t="n"/>
      <c r="L146" s="73" t="n"/>
      <c r="M146" s="73" t="n"/>
      <c r="N146" s="73" t="n"/>
      <c r="O146" s="19" t="n"/>
      <c r="P146" s="18" t="n"/>
      <c r="Q146" s="18" t="n"/>
      <c r="R146" s="73" t="n"/>
      <c r="S146" s="18" t="n"/>
      <c r="T146" s="18" t="n"/>
      <c r="U146" s="26">
        <f>D146+F146+-(H146+J146+L146+N146+P146+R146+T146)</f>
        <v/>
      </c>
      <c r="V146" t="inlineStr">
        <is>
          <t>CONSUMABLE</t>
        </is>
      </c>
    </row>
    <row r="147" ht="15" customHeight="1">
      <c r="A147" s="22">
        <f>A146+1</f>
        <v/>
      </c>
      <c r="B147" s="27" t="inlineStr">
        <is>
          <t>Kuas 2"</t>
        </is>
      </c>
      <c r="C147" s="123" t="inlineStr">
        <is>
          <t>PCS</t>
        </is>
      </c>
      <c r="D147" s="26">
        <f>'[1]Week  (4)'!U147</f>
        <v/>
      </c>
      <c r="E147" s="124" t="n"/>
      <c r="F147" s="55" t="n"/>
      <c r="G147" s="52" t="n"/>
      <c r="H147" s="55" t="n"/>
      <c r="I147" s="19" t="n"/>
      <c r="J147" s="55" t="n"/>
      <c r="K147" s="18" t="n"/>
      <c r="L147" s="73" t="n"/>
      <c r="M147" s="73" t="n"/>
      <c r="N147" s="73" t="n"/>
      <c r="O147" s="19" t="inlineStr">
        <is>
          <t>Electric</t>
        </is>
      </c>
      <c r="P147" s="18" t="n">
        <v>1</v>
      </c>
      <c r="Q147" s="18" t="inlineStr">
        <is>
          <t>Parkir sisi genset</t>
        </is>
      </c>
      <c r="R147" s="73" t="n">
        <v>1</v>
      </c>
      <c r="S147" s="18" t="n"/>
      <c r="T147" s="18" t="n"/>
      <c r="U147" s="26">
        <f>D147+F147+-(H147+J147+L147+N147+P147+R147+T147)</f>
        <v/>
      </c>
      <c r="V147" t="inlineStr">
        <is>
          <t>CONSUMABLE</t>
        </is>
      </c>
    </row>
    <row r="148" ht="15" customHeight="1">
      <c r="A148" s="22">
        <f>A147+1</f>
        <v/>
      </c>
      <c r="B148" s="78" t="inlineStr">
        <is>
          <t xml:space="preserve">Pipa AC Inverter 1 PK </t>
        </is>
      </c>
      <c r="C148" s="123" t="inlineStr">
        <is>
          <t>PCS</t>
        </is>
      </c>
      <c r="D148" s="26">
        <f>'[1]Week  (4)'!U148</f>
        <v/>
      </c>
      <c r="E148" s="124" t="n"/>
      <c r="F148" s="55" t="n"/>
      <c r="G148" s="52" t="n"/>
      <c r="H148" s="55" t="n"/>
      <c r="I148" s="52" t="n"/>
      <c r="J148" s="55" t="n"/>
      <c r="K148" s="52" t="n"/>
      <c r="L148" s="55" t="n"/>
      <c r="M148" s="73" t="n"/>
      <c r="N148" s="73" t="n"/>
      <c r="O148" s="19" t="n"/>
      <c r="P148" s="18" t="n"/>
      <c r="Q148" s="19" t="n"/>
      <c r="R148" s="18" t="n"/>
      <c r="S148" s="18" t="n"/>
      <c r="T148" s="18" t="n"/>
      <c r="U148" s="26">
        <f>D148+F148+-(H148+J148+L148+N148+P148+R148+T148)</f>
        <v/>
      </c>
      <c r="V148" t="inlineStr">
        <is>
          <t>AC</t>
        </is>
      </c>
    </row>
    <row r="149" ht="15" customHeight="1">
      <c r="A149" s="22">
        <f>A148+1</f>
        <v/>
      </c>
      <c r="B149" s="78" t="inlineStr">
        <is>
          <t xml:space="preserve">Pipa AC Inverter 1,5 PK </t>
        </is>
      </c>
      <c r="C149" s="123" t="inlineStr">
        <is>
          <t>PCS</t>
        </is>
      </c>
      <c r="D149" s="26">
        <f>'[1]Week  (4)'!U149</f>
        <v/>
      </c>
      <c r="E149" s="124" t="n"/>
      <c r="F149" s="55" t="n"/>
      <c r="G149" s="52" t="n"/>
      <c r="H149" s="55" t="n"/>
      <c r="I149" s="71" t="n"/>
      <c r="J149" s="55" t="n"/>
      <c r="K149" s="52" t="n"/>
      <c r="L149" s="55" t="n"/>
      <c r="M149" s="73" t="n"/>
      <c r="N149" s="73" t="n"/>
      <c r="O149" s="19" t="n"/>
      <c r="P149" s="18" t="n"/>
      <c r="Q149" s="18" t="n"/>
      <c r="R149" s="73" t="n"/>
      <c r="S149" s="18" t="n"/>
      <c r="T149" s="18" t="n"/>
      <c r="U149" s="26">
        <f>D149+F149+-(H149+J149+L149+N149+P149+R149+T149)</f>
        <v/>
      </c>
      <c r="V149" t="inlineStr">
        <is>
          <t>AC</t>
        </is>
      </c>
    </row>
    <row r="150" ht="27" customHeight="1">
      <c r="A150" s="22">
        <f>A149+1</f>
        <v/>
      </c>
      <c r="B150" s="79" t="inlineStr">
        <is>
          <t>LAMPU LED PHILIPS 6 WATT KUNING</t>
        </is>
      </c>
      <c r="C150" s="123" t="inlineStr">
        <is>
          <t>PCS</t>
        </is>
      </c>
      <c r="D150" s="26">
        <f>'[1]Week  (4)'!U150</f>
        <v/>
      </c>
      <c r="E150" s="124" t="n"/>
      <c r="F150" s="62" t="n"/>
      <c r="G150" s="25" t="n"/>
      <c r="H150" s="56" t="n"/>
      <c r="I150" s="19" t="n"/>
      <c r="J150" s="64" t="n"/>
      <c r="K150" s="18" t="n"/>
      <c r="L150" s="73" t="n"/>
      <c r="M150" s="73" t="n"/>
      <c r="N150" s="73" t="n"/>
      <c r="O150" s="19" t="n"/>
      <c r="P150" s="18" t="n"/>
      <c r="Q150" s="18" t="n"/>
      <c r="R150" s="73" t="n"/>
      <c r="S150" s="18" t="n"/>
      <c r="T150" s="18" t="n"/>
      <c r="U150" s="26">
        <f>D150+F150+-(H150+J150+L150+N150+P150+R150+T150)</f>
        <v/>
      </c>
      <c r="V150" t="inlineStr">
        <is>
          <t>LAMP</t>
        </is>
      </c>
    </row>
    <row r="151" ht="15" customHeight="1">
      <c r="A151" s="22">
        <f>A150+1</f>
        <v/>
      </c>
      <c r="B151" s="44" t="inlineStr">
        <is>
          <t>Lampu HPLN Philips 250  Watt</t>
        </is>
      </c>
      <c r="C151" s="123" t="inlineStr">
        <is>
          <t>PCS</t>
        </is>
      </c>
      <c r="D151" s="26">
        <f>'[1]Week  (4)'!U151</f>
        <v/>
      </c>
      <c r="E151" s="125" t="n"/>
      <c r="F151" s="55" t="n"/>
      <c r="G151" s="52" t="n"/>
      <c r="H151" s="55" t="n"/>
      <c r="I151" s="71" t="n"/>
      <c r="J151" s="55" t="n"/>
      <c r="K151" s="18" t="n"/>
      <c r="L151" s="73" t="n"/>
      <c r="M151" s="73" t="n"/>
      <c r="N151" s="73" t="n"/>
      <c r="O151" s="19" t="n"/>
      <c r="P151" s="18" t="n"/>
      <c r="Q151" s="18" t="n"/>
      <c r="R151" s="73" t="n"/>
      <c r="S151" s="18" t="n"/>
      <c r="T151" s="18" t="n"/>
      <c r="U151" s="26">
        <f>D151+F151+-(H151+J151+L151+N151+P151+R151+T151)</f>
        <v/>
      </c>
      <c r="V151" t="inlineStr">
        <is>
          <t>LAMP</t>
        </is>
      </c>
    </row>
    <row r="152" ht="25.5" customHeight="1">
      <c r="A152" s="22">
        <f>A151+1</f>
        <v/>
      </c>
      <c r="B152" s="44" t="inlineStr">
        <is>
          <t>LED  DRIVER POWER 56 WATT 50/60 HZ</t>
        </is>
      </c>
      <c r="C152" s="123" t="inlineStr">
        <is>
          <t>PCS</t>
        </is>
      </c>
      <c r="D152" s="26">
        <f>'[1]Week  (4)'!U152</f>
        <v/>
      </c>
      <c r="E152" s="124" t="n"/>
      <c r="F152" s="62" t="n"/>
      <c r="G152" s="25" t="n"/>
      <c r="H152" s="56" t="n"/>
      <c r="I152" s="19" t="n"/>
      <c r="J152" s="64" t="n"/>
      <c r="K152" s="18" t="n"/>
      <c r="L152" s="73" t="n"/>
      <c r="M152" s="73" t="n"/>
      <c r="N152" s="73" t="n"/>
      <c r="O152" s="19" t="n"/>
      <c r="P152" s="18" t="n"/>
      <c r="Q152" s="18" t="n"/>
      <c r="R152" s="73" t="n"/>
      <c r="S152" s="18" t="n"/>
      <c r="T152" s="18" t="n"/>
      <c r="U152" s="26">
        <f>D152+F152+-(H152+J152+L152+N152+P152+R152+T152)</f>
        <v/>
      </c>
      <c r="V152" t="inlineStr">
        <is>
          <t>LAMP</t>
        </is>
      </c>
    </row>
    <row r="153" ht="14.25" customHeight="1">
      <c r="A153" s="22">
        <f>A152+1</f>
        <v/>
      </c>
      <c r="B153" s="79" t="inlineStr">
        <is>
          <t xml:space="preserve">LAMPU LED PHILIPS 10 WATT </t>
        </is>
      </c>
      <c r="C153" s="29" t="inlineStr">
        <is>
          <t>Pcs</t>
        </is>
      </c>
      <c r="D153" s="26">
        <f>'[1]Week  (4)'!U153</f>
        <v/>
      </c>
      <c r="E153" s="125" t="n"/>
      <c r="F153" s="55" t="n"/>
      <c r="G153" s="72" t="n"/>
      <c r="H153" s="55" t="n"/>
      <c r="I153" s="71" t="n"/>
      <c r="J153" s="55" t="n"/>
      <c r="K153" s="18" t="n"/>
      <c r="L153" s="73" t="n"/>
      <c r="M153" s="73" t="n"/>
      <c r="N153" s="73" t="n"/>
      <c r="O153" s="19" t="n"/>
      <c r="P153" s="18" t="n"/>
      <c r="Q153" s="19" t="n"/>
      <c r="R153" s="73" t="n"/>
      <c r="S153" s="18" t="n"/>
      <c r="T153" s="18" t="n"/>
      <c r="U153" s="26">
        <f>D153+F153+-(H153+J153+L153+N153+P153+R153+T153)</f>
        <v/>
      </c>
      <c r="V153" t="inlineStr">
        <is>
          <t>LAMP</t>
        </is>
      </c>
    </row>
    <row r="154" ht="14.25" customHeight="1">
      <c r="A154" s="22">
        <f>A153+1</f>
        <v/>
      </c>
      <c r="B154" s="79" t="inlineStr">
        <is>
          <t xml:space="preserve">LAMPU LED PHILIPS  8 WATT </t>
        </is>
      </c>
      <c r="C154" s="29" t="inlineStr">
        <is>
          <t>Pcs</t>
        </is>
      </c>
      <c r="D154" s="26">
        <f>'[1]Week  (4)'!U154</f>
        <v/>
      </c>
      <c r="E154" s="124" t="n"/>
      <c r="F154" s="62" t="n"/>
      <c r="G154" s="25" t="n"/>
      <c r="H154" s="56" t="n"/>
      <c r="I154" s="19" t="n"/>
      <c r="J154" s="64" t="n"/>
      <c r="K154" s="18" t="n"/>
      <c r="L154" s="73" t="n"/>
      <c r="M154" s="73" t="n"/>
      <c r="N154" s="73" t="n"/>
      <c r="O154" s="19" t="n"/>
      <c r="P154" s="18" t="n"/>
      <c r="Q154" s="18" t="n"/>
      <c r="R154" s="73" t="n"/>
      <c r="S154" s="18" t="n"/>
      <c r="T154" s="18" t="n"/>
      <c r="U154" s="26">
        <f>D154+F154+-(H154+J154+L154+N154+P154+R154+T154)</f>
        <v/>
      </c>
      <c r="V154" t="inlineStr">
        <is>
          <t>LAMP</t>
        </is>
      </c>
    </row>
    <row r="155" ht="14.25" customHeight="1">
      <c r="A155" s="22">
        <f>A154+1</f>
        <v/>
      </c>
      <c r="B155" s="79" t="inlineStr">
        <is>
          <t>LAMPU LED PHILIPS 14,5 WATT</t>
        </is>
      </c>
      <c r="C155" s="29" t="inlineStr">
        <is>
          <t>Pcs</t>
        </is>
      </c>
      <c r="D155" s="26">
        <f>'[1]Week  (4)'!U155</f>
        <v/>
      </c>
      <c r="E155" s="125" t="n"/>
      <c r="F155" s="55" t="n"/>
      <c r="G155" s="52" t="n"/>
      <c r="H155" s="55" t="n"/>
      <c r="I155" s="71" t="n"/>
      <c r="J155" s="55" t="n"/>
      <c r="K155" s="71" t="n"/>
      <c r="L155" s="55" t="n"/>
      <c r="M155" s="73" t="n"/>
      <c r="N155" s="73" t="n"/>
      <c r="O155" s="19" t="n"/>
      <c r="P155" s="18" t="n"/>
      <c r="Q155" s="19" t="n"/>
      <c r="R155" s="73" t="n"/>
      <c r="S155" s="18" t="n"/>
      <c r="T155" s="18" t="n"/>
      <c r="U155" s="26">
        <f>D155+F155+-(H155+J155+L155+N155+P155+R155+T155)</f>
        <v/>
      </c>
      <c r="V155" t="inlineStr">
        <is>
          <t>LAMP</t>
        </is>
      </c>
    </row>
    <row r="156" ht="25.5" customHeight="1">
      <c r="A156" s="22">
        <f>A155+1</f>
        <v/>
      </c>
      <c r="B156" s="79" t="inlineStr">
        <is>
          <t>LAMPU LED PHILIPS 6 WATT</t>
        </is>
      </c>
      <c r="C156" s="29" t="inlineStr">
        <is>
          <t>Pcs</t>
        </is>
      </c>
      <c r="D156" s="26">
        <f>'[1]Week  (4)'!U156</f>
        <v/>
      </c>
      <c r="E156" s="129" t="n">
        <v>45992</v>
      </c>
      <c r="F156" s="62" t="n">
        <v>32</v>
      </c>
      <c r="G156" s="68" t="n"/>
      <c r="H156" s="56" t="n"/>
      <c r="I156" s="19" t="inlineStr">
        <is>
          <t>Bali 24 =2, Bali 15=4</t>
        </is>
      </c>
      <c r="J156" s="64">
        <f>2+4</f>
        <v/>
      </c>
      <c r="K156" s="73" t="n"/>
      <c r="L156" s="73" t="n"/>
      <c r="M156" s="73" t="n"/>
      <c r="N156" s="73" t="n"/>
      <c r="O156" s="19" t="inlineStr">
        <is>
          <t>Bali 12</t>
        </is>
      </c>
      <c r="P156" s="18" t="n">
        <v>1</v>
      </c>
      <c r="Q156" s="19" t="n"/>
      <c r="R156" s="73" t="n"/>
      <c r="S156" s="19" t="inlineStr">
        <is>
          <t>Sulawesi 2</t>
        </is>
      </c>
      <c r="T156" s="18" t="n">
        <v>1</v>
      </c>
      <c r="U156" s="26">
        <f>D156+F156+-(H156+J156+L156+N156+P156+R156+T156)</f>
        <v/>
      </c>
      <c r="V156" t="inlineStr">
        <is>
          <t>LAMP</t>
        </is>
      </c>
    </row>
    <row r="157" ht="25.5" customHeight="1">
      <c r="A157" s="22">
        <f>A156+1</f>
        <v/>
      </c>
      <c r="B157" s="44" t="inlineStr">
        <is>
          <t>Lampu REFLEKTOR TOKI RF220V 500W</t>
        </is>
      </c>
      <c r="C157" s="123" t="inlineStr">
        <is>
          <t>PCS</t>
        </is>
      </c>
      <c r="D157" s="26">
        <f>'[1]Week  (4)'!U157</f>
        <v/>
      </c>
      <c r="E157" s="125" t="n"/>
      <c r="F157" s="55" t="n"/>
      <c r="G157" s="52" t="n"/>
      <c r="H157" s="55" t="n"/>
      <c r="I157" s="71" t="n"/>
      <c r="J157" s="55" t="n"/>
      <c r="K157" s="18" t="n"/>
      <c r="L157" s="73" t="n"/>
      <c r="M157" s="73" t="n"/>
      <c r="N157" s="73" t="n"/>
      <c r="O157" s="19" t="n"/>
      <c r="P157" s="18" t="n"/>
      <c r="Q157" s="18" t="n"/>
      <c r="R157" s="73" t="n"/>
      <c r="S157" s="18" t="n"/>
      <c r="T157" s="18" t="n"/>
      <c r="U157" s="26">
        <f>D157+F157+-(H157+J157+L157+N157+P157+R157+T157)</f>
        <v/>
      </c>
      <c r="V157" t="inlineStr">
        <is>
          <t>LAMP</t>
        </is>
      </c>
    </row>
    <row r="158" ht="15" customHeight="1">
      <c r="A158" s="22">
        <f>A157+1</f>
        <v/>
      </c>
      <c r="B158" s="122" t="inlineStr">
        <is>
          <t>Lem Fox</t>
        </is>
      </c>
      <c r="C158" s="123" t="inlineStr">
        <is>
          <t>Pcs</t>
        </is>
      </c>
      <c r="D158" s="26">
        <f>'[1]Week  (4)'!U158</f>
        <v/>
      </c>
      <c r="E158" s="124" t="n"/>
      <c r="F158" s="62" t="n"/>
      <c r="G158" s="25" t="n"/>
      <c r="H158" s="56" t="n"/>
      <c r="I158" s="19" t="inlineStr">
        <is>
          <t>Timor 4</t>
        </is>
      </c>
      <c r="J158" s="64" t="n">
        <v>1</v>
      </c>
      <c r="K158" s="73" t="n"/>
      <c r="L158" s="73" t="n"/>
      <c r="M158" s="73" t="n"/>
      <c r="N158" s="73" t="n"/>
      <c r="O158" s="19" t="n"/>
      <c r="P158" s="18" t="n"/>
      <c r="Q158" s="18" t="n"/>
      <c r="R158" s="73" t="n"/>
      <c r="S158" s="18" t="inlineStr">
        <is>
          <t>lombok 28</t>
        </is>
      </c>
      <c r="T158" s="18" t="n">
        <v>1</v>
      </c>
      <c r="U158" s="26">
        <f>D158+F158+-(H158+J158+L158+N158+P158+R158+T158)</f>
        <v/>
      </c>
      <c r="V158" t="inlineStr">
        <is>
          <t>CIVIL</t>
        </is>
      </c>
    </row>
    <row r="159" ht="15" customHeight="1">
      <c r="A159" s="22">
        <f>A158+1</f>
        <v/>
      </c>
      <c r="B159" s="122" t="inlineStr">
        <is>
          <t>Level Switch, RADAR</t>
        </is>
      </c>
      <c r="C159" s="123" t="inlineStr">
        <is>
          <t>PCS</t>
        </is>
      </c>
      <c r="D159" s="26">
        <f>'[1]Week  (4)'!U159</f>
        <v/>
      </c>
      <c r="E159" s="125" t="n"/>
      <c r="F159" s="55" t="n"/>
      <c r="G159" s="52" t="n"/>
      <c r="H159" s="55" t="n"/>
      <c r="I159" s="71" t="n"/>
      <c r="J159" s="55" t="n"/>
      <c r="K159" s="18" t="n"/>
      <c r="L159" s="73" t="n"/>
      <c r="M159" s="73" t="n"/>
      <c r="N159" s="73" t="n"/>
      <c r="O159" s="19" t="n"/>
      <c r="P159" s="18" t="n"/>
      <c r="Q159" s="18" t="n"/>
      <c r="R159" s="73" t="n"/>
      <c r="S159" s="18" t="n"/>
      <c r="T159" s="18" t="n"/>
      <c r="U159" s="26">
        <f>D159+F159+-(H159+J159+L159+N159+P159+R159+T159)</f>
        <v/>
      </c>
      <c r="V159" t="inlineStr">
        <is>
          <t>SANITARY</t>
        </is>
      </c>
    </row>
    <row r="160" ht="15" customHeight="1">
      <c r="A160" s="22">
        <f>A159+1</f>
        <v/>
      </c>
      <c r="B160" s="122" t="inlineStr">
        <is>
          <t>FLOAT SWITCH</t>
        </is>
      </c>
      <c r="C160" s="123" t="inlineStr">
        <is>
          <t>PCS</t>
        </is>
      </c>
      <c r="D160" s="26">
        <f>'[1]Week  (4)'!U160</f>
        <v/>
      </c>
      <c r="E160" s="124" t="n"/>
      <c r="F160" s="62" t="n"/>
      <c r="G160" s="25" t="n"/>
      <c r="H160" s="56" t="n"/>
      <c r="I160" s="19" t="n"/>
      <c r="J160" s="64" t="n"/>
      <c r="K160" s="18" t="n"/>
      <c r="L160" s="73" t="n"/>
      <c r="M160" s="73" t="n"/>
      <c r="N160" s="73" t="n"/>
      <c r="O160" s="19" t="n"/>
      <c r="P160" s="18" t="n"/>
      <c r="Q160" s="18" t="n"/>
      <c r="R160" s="73" t="n"/>
      <c r="S160" s="18" t="inlineStr">
        <is>
          <t>LS 4 JL Jawa</t>
        </is>
      </c>
      <c r="T160" s="18" t="n">
        <v>1</v>
      </c>
      <c r="U160" s="26">
        <f>D160+F160+-(H160+J160+L160+N160+P160+R160+T160)</f>
        <v/>
      </c>
      <c r="V160" t="inlineStr">
        <is>
          <t>SANITARY</t>
        </is>
      </c>
    </row>
    <row r="161" ht="15" customHeight="1">
      <c r="A161" s="22">
        <f>A160+1</f>
        <v/>
      </c>
      <c r="B161" s="122" t="inlineStr">
        <is>
          <t>Lock 808</t>
        </is>
      </c>
      <c r="C161" s="123" t="inlineStr">
        <is>
          <t>PCS</t>
        </is>
      </c>
      <c r="D161" s="26">
        <f>'[1]Week  (4)'!U161</f>
        <v/>
      </c>
      <c r="E161" s="125" t="n"/>
      <c r="F161" s="55" t="n"/>
      <c r="G161" s="52" t="n"/>
      <c r="H161" s="55" t="n"/>
      <c r="I161" s="71" t="n"/>
      <c r="J161" s="55" t="n"/>
      <c r="K161" s="18" t="n"/>
      <c r="L161" s="73" t="n"/>
      <c r="M161" s="73" t="n"/>
      <c r="N161" s="73" t="n"/>
      <c r="O161" s="19" t="n"/>
      <c r="P161" s="18" t="n"/>
      <c r="Q161" s="18" t="n"/>
      <c r="R161" s="73" t="n"/>
      <c r="S161" s="18" t="n"/>
      <c r="T161" s="18" t="n"/>
      <c r="U161" s="26">
        <f>D161+F161+-(H161+J161+L161+N161+P161+R161+T161)</f>
        <v/>
      </c>
      <c r="V161" t="inlineStr">
        <is>
          <t>CIVIL</t>
        </is>
      </c>
    </row>
    <row r="162" ht="15" customHeight="1">
      <c r="A162" s="22">
        <f>A161+1</f>
        <v/>
      </c>
      <c r="B162" s="122" t="inlineStr">
        <is>
          <t>Pad Lock (Gembok )</t>
        </is>
      </c>
      <c r="C162" s="123" t="inlineStr">
        <is>
          <t>PCS</t>
        </is>
      </c>
      <c r="D162" s="26">
        <f>'[1]Week  (4)'!U162</f>
        <v/>
      </c>
      <c r="E162" s="124" t="n"/>
      <c r="F162" s="62" t="n"/>
      <c r="G162" s="25" t="n"/>
      <c r="H162" s="56" t="n"/>
      <c r="I162" s="19" t="n"/>
      <c r="J162" s="64" t="n"/>
      <c r="K162" s="18" t="n"/>
      <c r="L162" s="73" t="n"/>
      <c r="M162" s="73" t="n"/>
      <c r="N162" s="73" t="n"/>
      <c r="O162" s="19" t="n"/>
      <c r="P162" s="18" t="n"/>
      <c r="Q162" s="18" t="n"/>
      <c r="R162" s="73" t="n"/>
      <c r="S162" s="18" t="n"/>
      <c r="T162" s="18" t="n"/>
      <c r="U162" s="26">
        <f>D162+F162+-(H162+J162+L162+N162+P162+R162+T162)</f>
        <v/>
      </c>
      <c r="V162" t="inlineStr">
        <is>
          <t>CIVIL</t>
        </is>
      </c>
    </row>
    <row r="163" ht="14.25" customHeight="1">
      <c r="A163" s="22">
        <f>A162+1</f>
        <v/>
      </c>
      <c r="B163" s="79" t="inlineStr">
        <is>
          <t>Magneto Stove 4 Burner</t>
        </is>
      </c>
      <c r="C163" s="29" t="inlineStr">
        <is>
          <t>Pcs</t>
        </is>
      </c>
      <c r="D163" s="26">
        <f>'[1]Week  (4)'!U163</f>
        <v/>
      </c>
      <c r="E163" s="125" t="n"/>
      <c r="F163" s="55" t="n"/>
      <c r="G163" s="52" t="n"/>
      <c r="H163" s="55" t="n"/>
      <c r="I163" s="71" t="n"/>
      <c r="J163" s="55" t="n"/>
      <c r="K163" s="18" t="n"/>
      <c r="L163" s="73" t="n"/>
      <c r="M163" s="73" t="n"/>
      <c r="N163" s="73" t="n"/>
      <c r="O163" s="19" t="n"/>
      <c r="P163" s="18" t="n"/>
      <c r="Q163" s="18" t="n"/>
      <c r="R163" s="73" t="n"/>
      <c r="S163" s="18" t="n"/>
      <c r="T163" s="18" t="n"/>
      <c r="U163" s="26">
        <f>D163+F163+-(H163+J163+L163+N163+P163+R163+T163)</f>
        <v/>
      </c>
      <c r="V163" t="inlineStr">
        <is>
          <t>CONSUMABLE</t>
        </is>
      </c>
    </row>
    <row r="164" ht="14.25" customHeight="1">
      <c r="A164" s="22">
        <f>A163+1</f>
        <v/>
      </c>
      <c r="B164" s="79" t="inlineStr">
        <is>
          <t>Magneto Stove 6 Burner</t>
        </is>
      </c>
      <c r="C164" s="29" t="inlineStr">
        <is>
          <t>Pcs</t>
        </is>
      </c>
      <c r="D164" s="26">
        <f>'[1]Week  (4)'!U164</f>
        <v/>
      </c>
      <c r="E164" s="124" t="n"/>
      <c r="F164" s="62" t="n"/>
      <c r="G164" s="25" t="n"/>
      <c r="H164" s="56" t="n"/>
      <c r="I164" s="19" t="n"/>
      <c r="J164" s="64" t="n"/>
      <c r="K164" s="18" t="n"/>
      <c r="L164" s="73" t="n"/>
      <c r="M164" s="73" t="n"/>
      <c r="N164" s="73" t="n"/>
      <c r="O164" s="19" t="n"/>
      <c r="P164" s="18" t="n"/>
      <c r="Q164" s="18" t="n"/>
      <c r="R164" s="73" t="n"/>
      <c r="S164" s="18" t="n"/>
      <c r="T164" s="18" t="n"/>
      <c r="U164" s="26">
        <f>D164+F164+-(H164+J164+L164+N164+P164+R164+T164)</f>
        <v/>
      </c>
      <c r="V164" t="inlineStr">
        <is>
          <t>CONSUMABLE</t>
        </is>
      </c>
    </row>
    <row r="165" ht="15" customHeight="1">
      <c r="A165" s="22">
        <f>A164+1</f>
        <v/>
      </c>
      <c r="B165" s="122" t="inlineStr">
        <is>
          <t>MCB 10 A - 1 Phase, Schneider</t>
        </is>
      </c>
      <c r="C165" s="123" t="inlineStr">
        <is>
          <t>PCS</t>
        </is>
      </c>
      <c r="D165" s="26">
        <f>'[1]Week  (4)'!U165</f>
        <v/>
      </c>
      <c r="E165" s="125" t="n"/>
      <c r="F165" s="55" t="n"/>
      <c r="G165" s="52" t="n"/>
      <c r="H165" s="55" t="n"/>
      <c r="I165" s="71" t="n"/>
      <c r="J165" s="55" t="n"/>
      <c r="K165" s="18" t="n"/>
      <c r="L165" s="73" t="n"/>
      <c r="M165" s="73" t="n"/>
      <c r="N165" s="73" t="n"/>
      <c r="O165" s="19" t="n"/>
      <c r="P165" s="18" t="n"/>
      <c r="Q165" s="18" t="n"/>
      <c r="R165" s="73" t="n"/>
      <c r="S165" s="18" t="n"/>
      <c r="T165" s="18" t="n"/>
      <c r="U165" s="26">
        <f>D165+F165+-(H165+J165+L165+N165+P165+R165+T165)</f>
        <v/>
      </c>
      <c r="V165" t="inlineStr">
        <is>
          <t>ELECTRICAL</t>
        </is>
      </c>
    </row>
    <row r="166" ht="26.25" customHeight="1">
      <c r="A166" s="22">
        <f>A165+1</f>
        <v/>
      </c>
      <c r="B166" s="122" t="inlineStr">
        <is>
          <t>MCB 16 A - 1 Phase, Schneider</t>
        </is>
      </c>
      <c r="C166" s="123" t="inlineStr">
        <is>
          <t>PCS</t>
        </is>
      </c>
      <c r="D166" s="26">
        <f>'[1]Week  (4)'!U166</f>
        <v/>
      </c>
      <c r="E166" s="124" t="n"/>
      <c r="F166" s="62" t="n"/>
      <c r="G166" s="25" t="n"/>
      <c r="H166" s="56" t="n"/>
      <c r="I166" s="19" t="n"/>
      <c r="J166" s="64" t="n"/>
      <c r="K166" s="18" t="n"/>
      <c r="L166" s="73" t="n"/>
      <c r="M166" s="73" t="n"/>
      <c r="N166" s="73" t="n"/>
      <c r="O166" s="19" t="n"/>
      <c r="P166" s="18" t="n"/>
      <c r="Q166" s="18" t="n"/>
      <c r="R166" s="73" t="n"/>
      <c r="S166" s="18" t="n"/>
      <c r="T166" s="18" t="n"/>
      <c r="U166" s="26">
        <f>D166+F166+-(H166+J166+L166+N166+P166+R166+T166)</f>
        <v/>
      </c>
      <c r="V166" t="inlineStr">
        <is>
          <t>ELECTRICAL</t>
        </is>
      </c>
    </row>
    <row r="167" ht="15" customHeight="1">
      <c r="A167" s="22">
        <f>A166+1</f>
        <v/>
      </c>
      <c r="B167" s="122" t="inlineStr">
        <is>
          <t>MCB 16 A - 3 phase</t>
        </is>
      </c>
      <c r="C167" s="123" t="inlineStr">
        <is>
          <t>PCS</t>
        </is>
      </c>
      <c r="D167" s="26">
        <f>'[1]Week  (4)'!U167</f>
        <v/>
      </c>
      <c r="E167" s="125" t="n"/>
      <c r="F167" s="55" t="n"/>
      <c r="G167" s="52" t="n"/>
      <c r="H167" s="55" t="n"/>
      <c r="I167" s="71" t="n"/>
      <c r="J167" s="55" t="n"/>
      <c r="K167" s="18" t="n"/>
      <c r="L167" s="73" t="n"/>
      <c r="M167" s="73" t="n"/>
      <c r="N167" s="73" t="n"/>
      <c r="O167" s="19" t="n"/>
      <c r="P167" s="18" t="n"/>
      <c r="Q167" s="18" t="n"/>
      <c r="R167" s="73" t="n"/>
      <c r="S167" s="18" t="n"/>
      <c r="T167" s="18" t="n"/>
      <c r="U167" s="26">
        <f>D167+F167+-(H167+J167+L167+N167+P167+R167+T167)</f>
        <v/>
      </c>
      <c r="V167" t="inlineStr">
        <is>
          <t>ELECTRICAL</t>
        </is>
      </c>
    </row>
    <row r="168" ht="15" customHeight="1">
      <c r="A168" s="22">
        <f>A167+1</f>
        <v/>
      </c>
      <c r="B168" s="122" t="inlineStr">
        <is>
          <t>MCB 20 A - 1 phase</t>
        </is>
      </c>
      <c r="C168" s="123" t="inlineStr">
        <is>
          <t>PCS</t>
        </is>
      </c>
      <c r="D168" s="26">
        <f>'[1]Week  (4)'!U168</f>
        <v/>
      </c>
      <c r="E168" s="124" t="n"/>
      <c r="F168" s="62" t="n"/>
      <c r="G168" s="25" t="n"/>
      <c r="H168" s="56" t="n"/>
      <c r="I168" s="19" t="n"/>
      <c r="J168" s="64" t="n"/>
      <c r="K168" s="18" t="n"/>
      <c r="L168" s="73" t="n"/>
      <c r="M168" s="73" t="n"/>
      <c r="N168" s="73" t="n"/>
      <c r="O168" s="19" t="n"/>
      <c r="P168" s="18" t="n"/>
      <c r="Q168" s="18" t="n"/>
      <c r="R168" s="73" t="n"/>
      <c r="S168" s="18" t="n"/>
      <c r="T168" s="18" t="n"/>
      <c r="U168" s="26">
        <f>D168+F168+-(H168+J168+L168+N168+P168+R168+T168)</f>
        <v/>
      </c>
      <c r="V168" t="inlineStr">
        <is>
          <t>ELECTRICAL</t>
        </is>
      </c>
    </row>
    <row r="169" ht="15" customHeight="1">
      <c r="A169" s="22">
        <f>A168+1</f>
        <v/>
      </c>
      <c r="B169" s="122" t="inlineStr">
        <is>
          <t>MCB 20 A - 3 phase</t>
        </is>
      </c>
      <c r="C169" s="123" t="inlineStr">
        <is>
          <t>PCS</t>
        </is>
      </c>
      <c r="D169" s="26">
        <f>'[1]Week  (4)'!U169</f>
        <v/>
      </c>
      <c r="E169" s="125" t="n"/>
      <c r="F169" s="55" t="n"/>
      <c r="G169" s="52" t="n"/>
      <c r="H169" s="55" t="n"/>
      <c r="I169" s="71" t="n"/>
      <c r="J169" s="55" t="n"/>
      <c r="K169" s="18" t="n"/>
      <c r="L169" s="73" t="n"/>
      <c r="M169" s="73" t="n"/>
      <c r="N169" s="73" t="n"/>
      <c r="O169" s="19" t="n"/>
      <c r="P169" s="18" t="n"/>
      <c r="Q169" s="18" t="n"/>
      <c r="R169" s="73" t="n"/>
      <c r="S169" s="18" t="n"/>
      <c r="T169" s="18" t="n"/>
      <c r="U169" s="26">
        <f>D169+F169+-(H169+J169+L169+N169+P169+R169+T169)</f>
        <v/>
      </c>
      <c r="V169" t="inlineStr">
        <is>
          <t>ELECTRICAL</t>
        </is>
      </c>
    </row>
    <row r="170" ht="15" customHeight="1">
      <c r="A170" s="22">
        <f>A169+1</f>
        <v/>
      </c>
      <c r="B170" s="122" t="inlineStr">
        <is>
          <t>MCB 32 A - 1 phase</t>
        </is>
      </c>
      <c r="C170" s="123" t="inlineStr">
        <is>
          <t>PCS</t>
        </is>
      </c>
      <c r="D170" s="26">
        <f>'[1]Week  (4)'!U170</f>
        <v/>
      </c>
      <c r="E170" s="124" t="n"/>
      <c r="F170" s="62" t="n"/>
      <c r="G170" s="25" t="n"/>
      <c r="H170" s="56" t="n"/>
      <c r="I170" s="19" t="n"/>
      <c r="J170" s="64" t="n"/>
      <c r="K170" s="18" t="n"/>
      <c r="L170" s="73" t="n"/>
      <c r="M170" s="73" t="n"/>
      <c r="N170" s="73" t="n"/>
      <c r="O170" s="19" t="n"/>
      <c r="P170" s="18" t="n"/>
      <c r="Q170" s="18" t="n"/>
      <c r="R170" s="73" t="n"/>
      <c r="S170" s="18" t="n"/>
      <c r="T170" s="18" t="n"/>
      <c r="U170" s="26">
        <f>D170+F170+-(H170+J170+L170+N170+P170+R170+T170)</f>
        <v/>
      </c>
      <c r="V170" t="inlineStr">
        <is>
          <t>ELECTRICAL</t>
        </is>
      </c>
    </row>
    <row r="171" ht="15" customHeight="1">
      <c r="A171" s="22">
        <f>A170+1</f>
        <v/>
      </c>
      <c r="B171" s="122" t="inlineStr">
        <is>
          <t>MCB 63 A - 1 Phase, Schneider</t>
        </is>
      </c>
      <c r="C171" s="123" t="inlineStr">
        <is>
          <t>PCS</t>
        </is>
      </c>
      <c r="D171" s="26">
        <f>'[1]Week  (4)'!U171</f>
        <v/>
      </c>
      <c r="E171" s="125" t="n"/>
      <c r="F171" s="55" t="n"/>
      <c r="G171" s="52" t="n"/>
      <c r="H171" s="55" t="n"/>
      <c r="I171" s="71" t="n"/>
      <c r="J171" s="55" t="n"/>
      <c r="K171" s="18" t="n"/>
      <c r="L171" s="73" t="n"/>
      <c r="M171" s="73" t="n"/>
      <c r="N171" s="73" t="n"/>
      <c r="O171" s="19" t="n"/>
      <c r="P171" s="18" t="n"/>
      <c r="Q171" s="18" t="n"/>
      <c r="R171" s="73" t="n"/>
      <c r="S171" s="18" t="n"/>
      <c r="T171" s="18" t="n"/>
      <c r="U171" s="26">
        <f>D171+F171+-(H171+J171+L171+N171+P171+R171+T171)</f>
        <v/>
      </c>
      <c r="V171" t="inlineStr">
        <is>
          <t>ELECTRICAL</t>
        </is>
      </c>
    </row>
    <row r="172" ht="15" customHeight="1">
      <c r="A172" s="22">
        <f>A171+1</f>
        <v/>
      </c>
      <c r="B172" s="122" t="inlineStr">
        <is>
          <t>MCB 32 A - 3 phase</t>
        </is>
      </c>
      <c r="C172" s="123" t="inlineStr">
        <is>
          <t>PCS</t>
        </is>
      </c>
      <c r="D172" s="26">
        <f>'[1]Week  (4)'!U172</f>
        <v/>
      </c>
      <c r="E172" s="124" t="n"/>
      <c r="F172" s="62" t="n"/>
      <c r="G172" s="25" t="n"/>
      <c r="H172" s="56" t="n"/>
      <c r="I172" s="19" t="n"/>
      <c r="J172" s="64" t="n"/>
      <c r="K172" s="18" t="n"/>
      <c r="L172" s="73" t="n"/>
      <c r="M172" s="73" t="n"/>
      <c r="N172" s="73" t="n"/>
      <c r="O172" s="19" t="n"/>
      <c r="P172" s="18" t="n"/>
      <c r="Q172" s="18" t="n"/>
      <c r="R172" s="73" t="n"/>
      <c r="S172" s="18" t="n"/>
      <c r="T172" s="18" t="n"/>
      <c r="U172" s="26">
        <f>D172+F172+-(H172+J172+L172+N172+P172+R172+T172)</f>
        <v/>
      </c>
      <c r="V172" t="inlineStr">
        <is>
          <t>ELECTRICAL</t>
        </is>
      </c>
    </row>
    <row r="173" ht="15" customHeight="1">
      <c r="A173" s="22">
        <f>A172+1</f>
        <v/>
      </c>
      <c r="B173" s="122" t="inlineStr">
        <is>
          <t>MCB 50 A - 1 phase</t>
        </is>
      </c>
      <c r="C173" s="123" t="inlineStr">
        <is>
          <t>PCS</t>
        </is>
      </c>
      <c r="D173" s="26">
        <f>'[1]Week  (4)'!U173</f>
        <v/>
      </c>
      <c r="E173" s="125" t="n"/>
      <c r="F173" s="55" t="n"/>
      <c r="G173" s="52" t="n"/>
      <c r="H173" s="55" t="n"/>
      <c r="I173" s="71" t="n"/>
      <c r="J173" s="55" t="n"/>
      <c r="K173" s="18" t="n"/>
      <c r="L173" s="73" t="n"/>
      <c r="M173" s="73" t="n"/>
      <c r="N173" s="73" t="n"/>
      <c r="O173" s="19" t="n"/>
      <c r="P173" s="18" t="n"/>
      <c r="Q173" s="19" t="n"/>
      <c r="R173" s="73" t="n"/>
      <c r="S173" s="18" t="n"/>
      <c r="T173" s="18" t="n"/>
      <c r="U173" s="26">
        <f>D173+F173+-(H173+J173+L173+N173+P173+R173+T173)</f>
        <v/>
      </c>
      <c r="V173" t="inlineStr">
        <is>
          <t>ELECTRICAL</t>
        </is>
      </c>
    </row>
    <row r="174" ht="15" customHeight="1">
      <c r="A174" s="22">
        <f>A173+1</f>
        <v/>
      </c>
      <c r="B174" s="122" t="inlineStr">
        <is>
          <t>MCB 6 A - 1 Phase, Schneider</t>
        </is>
      </c>
      <c r="C174" s="123" t="inlineStr">
        <is>
          <t>PCS</t>
        </is>
      </c>
      <c r="D174" s="26">
        <f>'[1]Week  (4)'!U174</f>
        <v/>
      </c>
      <c r="E174" s="124" t="n"/>
      <c r="F174" s="62" t="n"/>
      <c r="G174" s="25" t="n"/>
      <c r="H174" s="56" t="n"/>
      <c r="I174" s="19" t="n"/>
      <c r="J174" s="64" t="n"/>
      <c r="K174" s="18" t="n"/>
      <c r="L174" s="73" t="n"/>
      <c r="M174" s="73" t="n"/>
      <c r="N174" s="73" t="n"/>
      <c r="O174" s="73" t="n"/>
      <c r="P174" s="73" t="n"/>
      <c r="Q174" s="18" t="n"/>
      <c r="R174" s="73" t="n"/>
      <c r="S174" s="18" t="n"/>
      <c r="T174" s="18" t="n"/>
      <c r="U174" s="26">
        <f>D174+F174+-(H174+J174+L174+N174+P174+R174+T174)</f>
        <v/>
      </c>
      <c r="V174" t="inlineStr">
        <is>
          <t>ELECTRICAL</t>
        </is>
      </c>
    </row>
    <row r="175" ht="15" customHeight="1">
      <c r="A175" s="22">
        <f>A174+1</f>
        <v/>
      </c>
      <c r="B175" s="122" t="inlineStr">
        <is>
          <t>MCB 63 A - 3 Phase, Schneider</t>
        </is>
      </c>
      <c r="C175" s="123" t="inlineStr">
        <is>
          <t>PCS</t>
        </is>
      </c>
      <c r="D175" s="26">
        <f>'[1]Week  (4)'!U175</f>
        <v/>
      </c>
      <c r="E175" s="125" t="n"/>
      <c r="F175" s="55" t="n"/>
      <c r="G175" s="52" t="n"/>
      <c r="H175" s="55" t="n"/>
      <c r="I175" s="71" t="n"/>
      <c r="J175" s="55" t="n"/>
      <c r="K175" s="18" t="n"/>
      <c r="L175" s="73" t="n"/>
      <c r="M175" s="73" t="n"/>
      <c r="N175" s="73" t="n"/>
      <c r="O175" s="19" t="n"/>
      <c r="P175" s="18" t="n"/>
      <c r="Q175" s="18" t="n"/>
      <c r="R175" s="73" t="n"/>
      <c r="S175" s="18" t="n"/>
      <c r="T175" s="18" t="n"/>
      <c r="U175" s="26">
        <f>D175+F175+-(H175+J175+L175+N175+P175+R175+T175)</f>
        <v/>
      </c>
      <c r="V175" t="inlineStr">
        <is>
          <t>ELECTRICAL</t>
        </is>
      </c>
    </row>
    <row r="176" ht="15" customHeight="1">
      <c r="A176" s="22">
        <f>A175+1</f>
        <v/>
      </c>
      <c r="B176" s="122" t="inlineStr">
        <is>
          <t>MCCB 60 A EZC 1000BSchneider</t>
        </is>
      </c>
      <c r="C176" s="123" t="inlineStr">
        <is>
          <t>PCS</t>
        </is>
      </c>
      <c r="D176" s="26">
        <f>'[1]Week  (4)'!U176</f>
        <v/>
      </c>
      <c r="E176" s="124" t="n"/>
      <c r="F176" s="62" t="n"/>
      <c r="G176" s="25" t="n"/>
      <c r="H176" s="56" t="n"/>
      <c r="I176" s="19" t="n"/>
      <c r="J176" s="64" t="n"/>
      <c r="K176" s="18" t="n"/>
      <c r="L176" s="73" t="n"/>
      <c r="M176" s="73" t="n"/>
      <c r="N176" s="73" t="n"/>
      <c r="O176" s="19" t="n"/>
      <c r="P176" s="18" t="n"/>
      <c r="Q176" s="18" t="n"/>
      <c r="R176" s="73" t="n"/>
      <c r="S176" s="18" t="n"/>
      <c r="T176" s="18" t="n"/>
      <c r="U176" s="26">
        <f>D176+F176+-(H176+J176+L176+N176+P176+R176+T176)</f>
        <v/>
      </c>
      <c r="V176" t="inlineStr">
        <is>
          <t>ELECTRICAL</t>
        </is>
      </c>
    </row>
    <row r="177" ht="15" customHeight="1">
      <c r="A177" s="22">
        <f>A176+1</f>
        <v/>
      </c>
      <c r="B177" s="122" t="inlineStr">
        <is>
          <t>Mechanical seal 560-20</t>
        </is>
      </c>
      <c r="C177" s="123" t="inlineStr">
        <is>
          <t>PCS</t>
        </is>
      </c>
      <c r="D177" s="26">
        <f>'[1]Week  (4)'!U177</f>
        <v/>
      </c>
      <c r="E177" s="125" t="n"/>
      <c r="F177" s="55" t="n"/>
      <c r="G177" s="52" t="n"/>
      <c r="H177" s="55" t="n"/>
      <c r="I177" s="71" t="n"/>
      <c r="J177" s="55" t="n"/>
      <c r="K177" s="18" t="n"/>
      <c r="L177" s="73" t="n"/>
      <c r="M177" s="73" t="n"/>
      <c r="N177" s="73" t="n"/>
      <c r="O177" s="19" t="n"/>
      <c r="P177" s="18" t="n"/>
      <c r="Q177" s="18" t="n"/>
      <c r="R177" s="73" t="n"/>
      <c r="S177" s="18" t="n"/>
      <c r="T177" s="18" t="n"/>
      <c r="U177" s="26">
        <f>D177+F177+-(H177+J177+L177+N177+P177+R177+T177)</f>
        <v/>
      </c>
      <c r="V177" t="inlineStr">
        <is>
          <t>MECHANICAL</t>
        </is>
      </c>
    </row>
    <row r="178" ht="30" customHeight="1">
      <c r="A178" s="22">
        <f>A177+1</f>
        <v/>
      </c>
      <c r="B178" s="122" t="inlineStr">
        <is>
          <t>Modul Indoor AC 1,5 PK Panasonic</t>
        </is>
      </c>
      <c r="C178" s="123" t="inlineStr">
        <is>
          <t>PCS</t>
        </is>
      </c>
      <c r="D178" s="26">
        <f>'[1]Week  (4)'!U178</f>
        <v/>
      </c>
      <c r="E178" s="124" t="n"/>
      <c r="F178" s="62" t="n"/>
      <c r="G178" s="25" t="n"/>
      <c r="H178" s="56" t="n"/>
      <c r="I178" s="19" t="n"/>
      <c r="J178" s="64" t="n"/>
      <c r="K178" s="18" t="n"/>
      <c r="L178" s="73" t="n"/>
      <c r="M178" s="73" t="n"/>
      <c r="N178" s="73" t="n"/>
      <c r="O178" s="19" t="n"/>
      <c r="P178" s="18" t="n"/>
      <c r="Q178" s="18" t="n"/>
      <c r="R178" s="73" t="n"/>
      <c r="S178" s="18" t="n"/>
      <c r="T178" s="18" t="n"/>
      <c r="U178" s="26">
        <f>D178+F178+-(H178+J178+L178+N178+P178+R178+T178)</f>
        <v/>
      </c>
      <c r="V178" t="inlineStr">
        <is>
          <t>AC</t>
        </is>
      </c>
    </row>
    <row r="179" ht="15" customHeight="1">
      <c r="A179" s="22">
        <f>A178+1</f>
        <v/>
      </c>
      <c r="B179" s="122" t="inlineStr">
        <is>
          <t>Mowilek  503</t>
        </is>
      </c>
      <c r="C179" s="123" t="inlineStr">
        <is>
          <t>KG</t>
        </is>
      </c>
      <c r="D179" s="26">
        <f>'[1]Week  (4)'!U179</f>
        <v/>
      </c>
      <c r="E179" s="125" t="n"/>
      <c r="F179" s="55" t="n"/>
      <c r="G179" s="52" t="n"/>
      <c r="H179" s="55" t="n"/>
      <c r="I179" s="71" t="n"/>
      <c r="J179" s="55" t="n"/>
      <c r="K179" s="18" t="n"/>
      <c r="L179" s="73" t="n"/>
      <c r="M179" s="73" t="n"/>
      <c r="N179" s="73" t="n"/>
      <c r="O179" s="19" t="n"/>
      <c r="P179" s="18" t="n"/>
      <c r="Q179" s="18" t="n"/>
      <c r="R179" s="73" t="n"/>
      <c r="S179" s="18" t="n"/>
      <c r="T179" s="18" t="n"/>
      <c r="U179" s="26">
        <f>D179+F179+-(H179+J179+L179+N179+P179+R179+T179)</f>
        <v/>
      </c>
      <c r="V179" t="inlineStr">
        <is>
          <t>CIVIL</t>
        </is>
      </c>
    </row>
    <row r="180" ht="15" customHeight="1">
      <c r="A180" s="22">
        <f>A179+1</f>
        <v/>
      </c>
      <c r="B180" s="122" t="inlineStr">
        <is>
          <t>NO DROP</t>
        </is>
      </c>
      <c r="C180" s="123" t="inlineStr">
        <is>
          <t>KG</t>
        </is>
      </c>
      <c r="D180" s="26">
        <f>'[1]Week  (4)'!U180</f>
        <v/>
      </c>
      <c r="E180" s="124" t="n"/>
      <c r="F180" s="62" t="n"/>
      <c r="G180" s="68" t="n"/>
      <c r="H180" s="69" t="n"/>
      <c r="I180" s="19" t="inlineStr">
        <is>
          <t>Sumatera 7</t>
        </is>
      </c>
      <c r="J180" s="64" t="n">
        <v>1</v>
      </c>
      <c r="K180" s="18" t="n"/>
      <c r="L180" s="73" t="n"/>
      <c r="M180" s="73" t="n"/>
      <c r="N180" s="73" t="n"/>
      <c r="O180" s="19" t="inlineStr">
        <is>
          <t>Pos scurity</t>
        </is>
      </c>
      <c r="P180" s="18" t="n">
        <v>1</v>
      </c>
      <c r="Q180" s="18" t="n"/>
      <c r="R180" s="73" t="n"/>
      <c r="S180" s="18" t="n"/>
      <c r="T180" s="18" t="n"/>
      <c r="U180" s="26">
        <f>D180+F180+-(H180+J180+L180+N180+P180+R180+T180)</f>
        <v/>
      </c>
      <c r="V180" t="inlineStr">
        <is>
          <t>CIVIL</t>
        </is>
      </c>
    </row>
    <row r="181" ht="15" customHeight="1">
      <c r="A181" s="22">
        <f>A180+1</f>
        <v/>
      </c>
      <c r="B181" s="122" t="inlineStr">
        <is>
          <t>NO DROP KASSA</t>
        </is>
      </c>
      <c r="C181" s="123" t="inlineStr">
        <is>
          <t>PCS</t>
        </is>
      </c>
      <c r="D181" s="26">
        <f>'[1]Week  (4)'!U181</f>
        <v/>
      </c>
      <c r="E181" s="125" t="n"/>
      <c r="F181" s="55" t="n"/>
      <c r="G181" s="68" t="n"/>
      <c r="H181" s="56" t="n"/>
      <c r="I181" s="19" t="inlineStr">
        <is>
          <t>Sumatera 7</t>
        </is>
      </c>
      <c r="J181" s="55" t="n">
        <v>2</v>
      </c>
      <c r="K181" s="18" t="n"/>
      <c r="L181" s="73" t="n"/>
      <c r="M181" s="73" t="n"/>
      <c r="N181" s="73" t="n"/>
      <c r="O181" s="19" t="inlineStr">
        <is>
          <t>Pos scurity</t>
        </is>
      </c>
      <c r="P181" s="18" t="n">
        <v>2</v>
      </c>
      <c r="Q181" s="18" t="n"/>
      <c r="R181" s="73" t="n"/>
      <c r="S181" s="18" t="n"/>
      <c r="T181" s="18" t="n"/>
      <c r="U181" s="26">
        <f>D181+F181+-(H181+J181+L181+N181+P181+R181+T181)</f>
        <v/>
      </c>
      <c r="V181" t="inlineStr">
        <is>
          <t>CIVIL</t>
        </is>
      </c>
    </row>
    <row r="182" ht="30" customHeight="1">
      <c r="A182" s="22">
        <f>A181+1</f>
        <v/>
      </c>
      <c r="B182" s="122" t="inlineStr">
        <is>
          <t>OIL COMPRESSOR SUNISO, 4 TR</t>
        </is>
      </c>
      <c r="C182" s="123" t="inlineStr">
        <is>
          <t>GLN</t>
        </is>
      </c>
      <c r="D182" s="26">
        <f>'[1]Week  (4)'!U182</f>
        <v/>
      </c>
      <c r="E182" s="124" t="n"/>
      <c r="F182" s="62" t="n"/>
      <c r="G182" s="25" t="n"/>
      <c r="H182" s="56" t="n"/>
      <c r="I182" s="19" t="n"/>
      <c r="J182" s="64" t="n"/>
      <c r="K182" s="18" t="n"/>
      <c r="L182" s="73" t="n"/>
      <c r="M182" s="73" t="n"/>
      <c r="N182" s="73" t="n"/>
      <c r="O182" s="19" t="n"/>
      <c r="P182" s="18" t="n"/>
      <c r="Q182" s="18" t="n"/>
      <c r="R182" s="73" t="n"/>
      <c r="S182" s="18" t="n"/>
      <c r="T182" s="18" t="n"/>
      <c r="U182" s="26">
        <f>D182+F182+-(H182+J182+L182+N182+P182+R182+T182)</f>
        <v/>
      </c>
      <c r="V182" t="inlineStr">
        <is>
          <t>OIL &amp; GAS</t>
        </is>
      </c>
    </row>
    <row r="183" ht="15" customHeight="1">
      <c r="A183" s="22">
        <f>A182+1</f>
        <v/>
      </c>
      <c r="B183" s="122" t="inlineStr">
        <is>
          <t>OIL MEDITRAN SX , 4 LTR</t>
        </is>
      </c>
      <c r="C183" s="123" t="inlineStr">
        <is>
          <t>GLN</t>
        </is>
      </c>
      <c r="D183" s="26">
        <f>'[1]Week  (4)'!U183</f>
        <v/>
      </c>
      <c r="E183" s="125" t="n"/>
      <c r="F183" s="55" t="n"/>
      <c r="G183" s="52" t="n"/>
      <c r="H183" s="55" t="n"/>
      <c r="I183" s="71" t="n"/>
      <c r="J183" s="55" t="n"/>
      <c r="K183" s="18" t="n"/>
      <c r="L183" s="73" t="n"/>
      <c r="M183" s="73" t="n"/>
      <c r="N183" s="73" t="n"/>
      <c r="O183" s="19" t="n"/>
      <c r="P183" s="18" t="n"/>
      <c r="Q183" s="18" t="n"/>
      <c r="R183" s="73" t="n"/>
      <c r="S183" s="18" t="n"/>
      <c r="T183" s="18" t="n"/>
      <c r="U183" s="26">
        <f>D183+F183+-(H183+J183+L183+N183+P183+R183+T183)</f>
        <v/>
      </c>
      <c r="V183" t="inlineStr">
        <is>
          <t>OIL &amp; GAS</t>
        </is>
      </c>
    </row>
    <row r="184" ht="30" customHeight="1">
      <c r="A184" s="22">
        <f>A183+1</f>
        <v/>
      </c>
      <c r="B184" s="122" t="inlineStr">
        <is>
          <t>Over Load Relay  LRD 08, SCHNEIDER 4 A</t>
        </is>
      </c>
      <c r="C184" s="123" t="inlineStr">
        <is>
          <t>PCS</t>
        </is>
      </c>
      <c r="D184" s="26">
        <f>'[1]Week  (4)'!U184</f>
        <v/>
      </c>
      <c r="E184" s="124" t="n"/>
      <c r="F184" s="62" t="n"/>
      <c r="G184" s="25" t="n"/>
      <c r="H184" s="56" t="n"/>
      <c r="I184" s="19" t="n"/>
      <c r="J184" s="64" t="n"/>
      <c r="K184" s="18" t="n"/>
      <c r="L184" s="73" t="n"/>
      <c r="M184" s="73" t="n"/>
      <c r="N184" s="73" t="n"/>
      <c r="O184" s="19" t="n"/>
      <c r="P184" s="18" t="n"/>
      <c r="Q184" s="18" t="n"/>
      <c r="R184" s="73" t="n"/>
      <c r="S184" s="18" t="n"/>
      <c r="T184" s="18" t="n"/>
      <c r="U184" s="26">
        <f>D184+F184+-(H184+J184+L184+N184+P184+R184+T184)</f>
        <v/>
      </c>
      <c r="V184" t="inlineStr">
        <is>
          <t>ELECTRICAL</t>
        </is>
      </c>
    </row>
    <row r="185" ht="30" customHeight="1">
      <c r="A185" s="22">
        <f>A184+1</f>
        <v/>
      </c>
      <c r="B185" s="122" t="inlineStr">
        <is>
          <t>Over Load  Relay LRD 10, SCHNEIDER 6 A</t>
        </is>
      </c>
      <c r="C185" s="123" t="inlineStr">
        <is>
          <t>PCS</t>
        </is>
      </c>
      <c r="D185" s="26">
        <f>'[1]Week  (4)'!U185</f>
        <v/>
      </c>
      <c r="E185" s="125" t="n"/>
      <c r="F185" s="55" t="n"/>
      <c r="G185" s="52" t="n"/>
      <c r="H185" s="55" t="n"/>
      <c r="I185" s="71" t="n"/>
      <c r="J185" s="55" t="n"/>
      <c r="K185" s="18" t="n"/>
      <c r="L185" s="73" t="n"/>
      <c r="M185" s="73" t="n"/>
      <c r="N185" s="73" t="n"/>
      <c r="O185" s="19" t="n"/>
      <c r="P185" s="18" t="n"/>
      <c r="Q185" s="18" t="n"/>
      <c r="R185" s="73" t="n"/>
      <c r="S185" s="18" t="n"/>
      <c r="T185" s="18" t="n"/>
      <c r="U185" s="26">
        <f>D185+F185+-(H185+J185+L185+N185+P185+R185+T185)</f>
        <v/>
      </c>
      <c r="V185" t="inlineStr">
        <is>
          <t>ELECTRICAL</t>
        </is>
      </c>
    </row>
    <row r="186" ht="30" customHeight="1">
      <c r="A186" s="22">
        <f>A185+1</f>
        <v/>
      </c>
      <c r="B186" s="122" t="inlineStr">
        <is>
          <t>Over Load  Relay LRD 12 , SCHNEIDER 8 A</t>
        </is>
      </c>
      <c r="C186" s="123" t="inlineStr">
        <is>
          <t>PCS</t>
        </is>
      </c>
      <c r="D186" s="26">
        <f>'[1]Week  (4)'!U186</f>
        <v/>
      </c>
      <c r="E186" s="124" t="n"/>
      <c r="F186" s="62" t="n"/>
      <c r="G186" s="25" t="n"/>
      <c r="H186" s="56" t="n"/>
      <c r="I186" s="19" t="n"/>
      <c r="J186" s="64" t="n"/>
      <c r="K186" s="18" t="n"/>
      <c r="L186" s="73" t="n"/>
      <c r="M186" s="73" t="n"/>
      <c r="N186" s="73" t="n"/>
      <c r="O186" s="19" t="n"/>
      <c r="P186" s="18" t="n"/>
      <c r="Q186" s="18" t="n"/>
      <c r="R186" s="73" t="n"/>
      <c r="S186" s="18" t="n"/>
      <c r="T186" s="18" t="n"/>
      <c r="U186" s="26">
        <f>D186+F186+-(H186+J186+L186+N186+P186+R186+T186)</f>
        <v/>
      </c>
      <c r="V186" t="inlineStr">
        <is>
          <t>ELECTRICAL</t>
        </is>
      </c>
    </row>
    <row r="187" ht="30" customHeight="1">
      <c r="A187" s="22">
        <f>A186+1</f>
        <v/>
      </c>
      <c r="B187" s="122" t="inlineStr">
        <is>
          <t>Over Load  Relay LRD 14, SCHNEIDER 10 A</t>
        </is>
      </c>
      <c r="C187" s="123" t="inlineStr">
        <is>
          <t>PCS</t>
        </is>
      </c>
      <c r="D187" s="26">
        <f>'[1]Week  (4)'!U187</f>
        <v/>
      </c>
      <c r="E187" s="125" t="n"/>
      <c r="F187" s="55" t="n"/>
      <c r="G187" s="52" t="n"/>
      <c r="H187" s="55" t="n"/>
      <c r="I187" s="71" t="n"/>
      <c r="J187" s="55" t="n"/>
      <c r="K187" s="18" t="n"/>
      <c r="L187" s="73" t="n"/>
      <c r="M187" s="73" t="n"/>
      <c r="N187" s="73" t="n"/>
      <c r="O187" s="19" t="n"/>
      <c r="P187" s="18" t="n"/>
      <c r="Q187" s="18" t="n"/>
      <c r="R187" s="73" t="n"/>
      <c r="S187" s="18" t="n"/>
      <c r="T187" s="18" t="n"/>
      <c r="U187" s="26">
        <f>D187+F187+-(H187+J187+L187+N187+P187+R187+T187)</f>
        <v/>
      </c>
      <c r="V187" t="inlineStr">
        <is>
          <t>ELECTRICAL</t>
        </is>
      </c>
    </row>
    <row r="188" ht="30" customHeight="1">
      <c r="A188" s="22">
        <f>A187+1</f>
        <v/>
      </c>
      <c r="B188" s="122" t="inlineStr">
        <is>
          <t>Over Load  Relay LRD 16, SCHNEIDER 13</t>
        </is>
      </c>
      <c r="C188" s="123" t="inlineStr">
        <is>
          <t>PCS</t>
        </is>
      </c>
      <c r="D188" s="26">
        <f>'[1]Week  (4)'!U188</f>
        <v/>
      </c>
      <c r="E188" s="124" t="n"/>
      <c r="F188" s="62" t="n"/>
      <c r="G188" s="25" t="n"/>
      <c r="H188" s="56" t="n"/>
      <c r="I188" s="19" t="n"/>
      <c r="J188" s="64" t="n"/>
      <c r="K188" s="18" t="n"/>
      <c r="L188" s="73" t="n"/>
      <c r="M188" s="73" t="n"/>
      <c r="N188" s="73" t="n"/>
      <c r="O188" s="19" t="n"/>
      <c r="P188" s="18" t="n"/>
      <c r="Q188" s="18" t="n"/>
      <c r="R188" s="73" t="n"/>
      <c r="S188" s="18" t="n"/>
      <c r="T188" s="18" t="n"/>
      <c r="U188" s="26">
        <f>D188+F188+-(H188+J188+L188+N188+P188+R188+T188)</f>
        <v/>
      </c>
      <c r="V188" t="inlineStr">
        <is>
          <t>ELECTRICAL</t>
        </is>
      </c>
    </row>
    <row r="189" ht="30" customHeight="1">
      <c r="A189" s="22">
        <f>A188+1</f>
        <v/>
      </c>
      <c r="B189" s="122" t="inlineStr">
        <is>
          <t>Over Load  Relay LRD 21, SCHNEIDER 18 A</t>
        </is>
      </c>
      <c r="C189" s="123" t="inlineStr">
        <is>
          <t>PCS</t>
        </is>
      </c>
      <c r="D189" s="26">
        <f>'[1]Week  (4)'!U189</f>
        <v/>
      </c>
      <c r="E189" s="125" t="n"/>
      <c r="F189" s="55" t="n"/>
      <c r="G189" s="52" t="n"/>
      <c r="H189" s="55" t="n"/>
      <c r="I189" s="71" t="n"/>
      <c r="J189" s="55" t="n"/>
      <c r="K189" s="18" t="n"/>
      <c r="L189" s="73" t="n"/>
      <c r="M189" s="73" t="n"/>
      <c r="N189" s="73" t="n"/>
      <c r="O189" s="19" t="n"/>
      <c r="P189" s="18" t="n"/>
      <c r="Q189" s="18" t="n"/>
      <c r="R189" s="73" t="n"/>
      <c r="S189" s="18" t="n"/>
      <c r="T189" s="18" t="n"/>
      <c r="U189" s="26">
        <f>D189+F189+-(H189+J189+L189+N189+P189+R189+T189)</f>
        <v/>
      </c>
      <c r="V189" t="inlineStr">
        <is>
          <t>ELECTRICAL</t>
        </is>
      </c>
    </row>
    <row r="190" ht="30" customHeight="1">
      <c r="A190" s="22">
        <f>A189+1</f>
        <v/>
      </c>
      <c r="B190" s="122" t="inlineStr">
        <is>
          <t>Over Load  Relay LRD 22, SCHNEIDER 24 A</t>
        </is>
      </c>
      <c r="C190" s="123" t="inlineStr">
        <is>
          <t>PCS</t>
        </is>
      </c>
      <c r="D190" s="26">
        <f>'[1]Week  (4)'!U190</f>
        <v/>
      </c>
      <c r="E190" s="124" t="n"/>
      <c r="F190" s="62" t="n"/>
      <c r="G190" s="25" t="n"/>
      <c r="H190" s="56" t="n"/>
      <c r="I190" s="19" t="n"/>
      <c r="J190" s="64" t="n"/>
      <c r="K190" s="18" t="n"/>
      <c r="L190" s="73" t="n"/>
      <c r="M190" s="73" t="n"/>
      <c r="N190" s="73" t="n"/>
      <c r="O190" s="19" t="n"/>
      <c r="P190" s="18" t="n"/>
      <c r="Q190" s="19" t="n"/>
      <c r="R190" s="18" t="n"/>
      <c r="S190" s="18" t="n"/>
      <c r="T190" s="18" t="n"/>
      <c r="U190" s="26">
        <f>D190+F190+-(H190+J190+L190+N190+P190+R190+T190)</f>
        <v/>
      </c>
      <c r="V190" t="inlineStr">
        <is>
          <t>ELECTRICAL</t>
        </is>
      </c>
    </row>
    <row r="191" ht="30" customHeight="1">
      <c r="A191" s="22">
        <f>A190+1</f>
        <v/>
      </c>
      <c r="B191" s="122" t="inlineStr">
        <is>
          <t>Over Load  Relay LRD 32, SCHNEIDER 32 A</t>
        </is>
      </c>
      <c r="C191" s="123" t="inlineStr">
        <is>
          <t>PCS</t>
        </is>
      </c>
      <c r="D191" s="26">
        <f>'[1]Week  (4)'!U191</f>
        <v/>
      </c>
      <c r="E191" s="125" t="n"/>
      <c r="F191" s="55" t="n"/>
      <c r="G191" s="52" t="n"/>
      <c r="H191" s="55" t="n"/>
      <c r="I191" s="71" t="n"/>
      <c r="J191" s="55" t="n"/>
      <c r="K191" s="18" t="n"/>
      <c r="L191" s="73" t="n"/>
      <c r="M191" s="73" t="n"/>
      <c r="N191" s="73" t="n"/>
      <c r="O191" s="19" t="n"/>
      <c r="P191" s="18" t="n"/>
      <c r="Q191" s="18" t="n"/>
      <c r="R191" s="73" t="n"/>
      <c r="S191" s="18" t="n"/>
      <c r="T191" s="18" t="n"/>
      <c r="U191" s="26">
        <f>D191+F191+-(H191+J191+L191+N191+P191+R191+T191)</f>
        <v/>
      </c>
      <c r="V191" t="inlineStr">
        <is>
          <t>ELECTRICAL</t>
        </is>
      </c>
    </row>
    <row r="192" ht="30" customHeight="1">
      <c r="A192" s="22">
        <f>A191+1</f>
        <v/>
      </c>
      <c r="B192" s="122" t="inlineStr">
        <is>
          <t>Overload of Water Dispencer 1/5 PK</t>
        </is>
      </c>
      <c r="C192" s="123" t="inlineStr">
        <is>
          <t>PCS</t>
        </is>
      </c>
      <c r="D192" s="26">
        <f>'[1]Week  (4)'!U192</f>
        <v/>
      </c>
      <c r="E192" s="124" t="n"/>
      <c r="F192" s="62" t="n"/>
      <c r="G192" s="25" t="n"/>
      <c r="H192" s="56" t="n"/>
      <c r="I192" s="19" t="n"/>
      <c r="J192" s="64" t="n"/>
      <c r="K192" s="18" t="n"/>
      <c r="L192" s="73" t="n"/>
      <c r="M192" s="73" t="n"/>
      <c r="N192" s="73" t="n"/>
      <c r="O192" s="19" t="n"/>
      <c r="P192" s="18" t="n"/>
      <c r="Q192" s="18" t="n"/>
      <c r="R192" s="73" t="n"/>
      <c r="S192" s="18" t="n"/>
      <c r="T192" s="18" t="n"/>
      <c r="U192" s="26">
        <f>D192+F192+-(H192+J192+L192+N192+P192+R192+T192)</f>
        <v/>
      </c>
      <c r="V192" t="inlineStr">
        <is>
          <t>ELECTRICAL</t>
        </is>
      </c>
    </row>
    <row r="193" ht="15" customHeight="1">
      <c r="A193" s="22">
        <f>A192+1</f>
        <v/>
      </c>
      <c r="B193" s="122" t="inlineStr">
        <is>
          <t xml:space="preserve">Overload Refrigerator </t>
        </is>
      </c>
      <c r="C193" s="123" t="inlineStr">
        <is>
          <t>PCS</t>
        </is>
      </c>
      <c r="D193" s="26">
        <f>'[1]Week  (4)'!U193</f>
        <v/>
      </c>
      <c r="E193" s="125" t="n"/>
      <c r="F193" s="55" t="n"/>
      <c r="G193" s="52" t="n"/>
      <c r="H193" s="55" t="n"/>
      <c r="I193" s="71" t="n"/>
      <c r="J193" s="55" t="n"/>
      <c r="K193" s="18" t="n"/>
      <c r="L193" s="73" t="n"/>
      <c r="M193" s="73" t="n"/>
      <c r="N193" s="73" t="n"/>
      <c r="O193" s="19" t="n"/>
      <c r="P193" s="18" t="n"/>
      <c r="Q193" s="18" t="n"/>
      <c r="R193" s="73" t="n"/>
      <c r="S193" s="18" t="n"/>
      <c r="T193" s="18" t="n"/>
      <c r="U193" s="26">
        <f>D193+F193+-(H193+J193+L193+N193+P193+R193+T193)</f>
        <v/>
      </c>
      <c r="V193" t="inlineStr">
        <is>
          <t>ELECTRICAL</t>
        </is>
      </c>
    </row>
    <row r="194" ht="27" customHeight="1">
      <c r="A194" s="22">
        <f>A193+1</f>
        <v/>
      </c>
      <c r="B194" s="122" t="inlineStr">
        <is>
          <t>PAKAN LAS RD 460 2,0</t>
        </is>
      </c>
      <c r="C194" s="123" t="inlineStr">
        <is>
          <t>KG</t>
        </is>
      </c>
      <c r="D194" s="26">
        <f>'[1]Week  (4)'!U194</f>
        <v/>
      </c>
      <c r="E194" s="124" t="n"/>
      <c r="F194" s="62" t="n"/>
      <c r="G194" s="25" t="n"/>
      <c r="H194" s="69" t="n"/>
      <c r="I194" s="19" t="n"/>
      <c r="J194" s="73" t="n"/>
      <c r="K194" s="19" t="n"/>
      <c r="L194" s="73" t="n"/>
      <c r="M194" s="73" t="n"/>
      <c r="N194" s="73" t="n"/>
      <c r="O194" s="19" t="inlineStr">
        <is>
          <t>Parkir sisi genset</t>
        </is>
      </c>
      <c r="P194" s="73" t="n">
        <v>0.3</v>
      </c>
      <c r="Q194" s="19" t="inlineStr">
        <is>
          <t>Parkir sisi genset</t>
        </is>
      </c>
      <c r="R194" s="73" t="n">
        <v>0.1</v>
      </c>
      <c r="S194" s="18" t="n"/>
      <c r="T194" s="18" t="n"/>
      <c r="U194" s="26">
        <f>D194+F194+-(H194+J194+L194+N194+P194+R194+T194)</f>
        <v/>
      </c>
      <c r="V194" t="inlineStr">
        <is>
          <t>CONSUMABLE</t>
        </is>
      </c>
    </row>
    <row r="195" ht="15" customHeight="1">
      <c r="A195" s="22">
        <f>A194+1</f>
        <v/>
      </c>
      <c r="B195" s="122" t="inlineStr">
        <is>
          <t>PRESSURE GAUGE WIKA 10</t>
        </is>
      </c>
      <c r="C195" s="123" t="inlineStr">
        <is>
          <t>PCS</t>
        </is>
      </c>
      <c r="D195" s="26">
        <f>'[1]Week  (4)'!U195</f>
        <v/>
      </c>
      <c r="E195" s="125" t="n"/>
      <c r="F195" s="55" t="n"/>
      <c r="G195" s="52" t="n"/>
      <c r="H195" s="55" t="n"/>
      <c r="I195" s="71" t="n"/>
      <c r="J195" s="55" t="n"/>
      <c r="K195" s="18" t="n"/>
      <c r="L195" s="73" t="n"/>
      <c r="M195" s="73" t="n"/>
      <c r="N195" s="73" t="n"/>
      <c r="O195" s="19" t="n"/>
      <c r="P195" s="18" t="n"/>
      <c r="Q195" s="18" t="n"/>
      <c r="R195" s="73" t="n"/>
      <c r="S195" s="18" t="n"/>
      <c r="T195" s="18" t="n"/>
      <c r="U195" s="26">
        <f>D195+F195+-(H195+J195+L195+N195+P195+R195+T195)</f>
        <v/>
      </c>
      <c r="V195" t="inlineStr">
        <is>
          <t>VALVE AND PIPE</t>
        </is>
      </c>
    </row>
    <row r="196" ht="30" customHeight="1">
      <c r="A196" s="22">
        <f>A195+1</f>
        <v/>
      </c>
      <c r="B196" s="122" t="inlineStr">
        <is>
          <t>Pee Pipe DUPON 4160 NC ( Syphon Kitchen sink )</t>
        </is>
      </c>
      <c r="C196" s="123" t="inlineStr">
        <is>
          <t>SET</t>
        </is>
      </c>
      <c r="D196" s="26">
        <f>'[1]Week  (4)'!U196</f>
        <v/>
      </c>
      <c r="E196" s="124" t="n"/>
      <c r="F196" s="62" t="n"/>
      <c r="G196" s="25" t="n"/>
      <c r="H196" s="56" t="n"/>
      <c r="I196" s="19" t="n"/>
      <c r="J196" s="64" t="n"/>
      <c r="K196" s="18" t="n"/>
      <c r="L196" s="73" t="n"/>
      <c r="M196" s="73" t="n"/>
      <c r="N196" s="73" t="n"/>
      <c r="O196" s="19" t="n"/>
      <c r="P196" s="18" t="n"/>
      <c r="Q196" s="18" t="n"/>
      <c r="R196" s="73" t="n"/>
      <c r="S196" s="18" t="n"/>
      <c r="T196" s="18" t="n"/>
      <c r="U196" s="26">
        <f>D196+F196+-(H196+J196+L196+N196+P196+R196+T196)</f>
        <v/>
      </c>
      <c r="V196" t="inlineStr">
        <is>
          <t>SANITARY</t>
        </is>
      </c>
    </row>
    <row r="197" ht="15" customHeight="1">
      <c r="A197" s="22">
        <f>A196+1</f>
        <v/>
      </c>
      <c r="B197" s="122" t="inlineStr">
        <is>
          <t xml:space="preserve">PESAWAT TELEPHONE </t>
        </is>
      </c>
      <c r="C197" s="123" t="inlineStr">
        <is>
          <t>SET</t>
        </is>
      </c>
      <c r="D197" s="26">
        <f>'[1]Week  (4)'!U197</f>
        <v/>
      </c>
      <c r="E197" s="125" t="n"/>
      <c r="F197" s="55" t="n"/>
      <c r="G197" s="52" t="n"/>
      <c r="H197" s="55" t="n"/>
      <c r="I197" s="71" t="n"/>
      <c r="J197" s="55" t="n"/>
      <c r="K197" s="18" t="n"/>
      <c r="L197" s="73" t="n"/>
      <c r="M197" s="73" t="n"/>
      <c r="N197" s="73" t="n"/>
      <c r="O197" s="19" t="n"/>
      <c r="P197" s="18" t="n"/>
      <c r="Q197" s="18" t="n"/>
      <c r="R197" s="73" t="n"/>
      <c r="S197" s="18" t="n"/>
      <c r="T197" s="18" t="n"/>
      <c r="U197" s="26">
        <f>D197+F197+-(H197+J197+L197+N197+P197+R197+T197)</f>
        <v/>
      </c>
      <c r="V197" t="inlineStr">
        <is>
          <t>CONSUMABLE</t>
        </is>
      </c>
    </row>
    <row r="198">
      <c r="A198" s="22">
        <f>A197+1</f>
        <v/>
      </c>
      <c r="B198" s="79" t="inlineStr">
        <is>
          <t>Plug Besi 1/2"</t>
        </is>
      </c>
      <c r="C198" s="40" t="inlineStr">
        <is>
          <t>Pcs</t>
        </is>
      </c>
      <c r="D198" s="26">
        <f>'[1]Week  (4)'!U198</f>
        <v/>
      </c>
      <c r="E198" s="124" t="n"/>
      <c r="F198" s="62" t="n"/>
      <c r="G198" s="25" t="n"/>
      <c r="H198" s="56" t="n"/>
      <c r="I198" s="19" t="n"/>
      <c r="J198" s="64" t="n"/>
      <c r="K198" s="18" t="n"/>
      <c r="L198" s="73" t="n"/>
      <c r="M198" s="73" t="n"/>
      <c r="N198" s="73" t="n"/>
      <c r="O198" s="19" t="n"/>
      <c r="P198" s="18" t="n"/>
      <c r="Q198" s="18" t="n"/>
      <c r="R198" s="73" t="n"/>
      <c r="S198" s="18" t="n"/>
      <c r="T198" s="18" t="n"/>
      <c r="U198" s="26">
        <f>D198+F198+-(H198+J198+L198+N198+P198+R198+T198)</f>
        <v/>
      </c>
      <c r="V198" t="inlineStr">
        <is>
          <t>VALVE AND PIPE</t>
        </is>
      </c>
    </row>
    <row r="199" ht="15" customHeight="1">
      <c r="A199" s="22">
        <f>A198+1</f>
        <v/>
      </c>
      <c r="B199" s="122" t="inlineStr">
        <is>
          <t>Plywood Meranti 6mm</t>
        </is>
      </c>
      <c r="C199" s="123" t="inlineStr">
        <is>
          <t xml:space="preserve">Lbr </t>
        </is>
      </c>
      <c r="D199" s="26">
        <f>'[1]Week  (4)'!U199</f>
        <v/>
      </c>
      <c r="E199" s="125" t="n"/>
      <c r="F199" s="55" t="n"/>
      <c r="G199" s="52" t="n"/>
      <c r="H199" s="74" t="n"/>
      <c r="I199" s="71" t="n"/>
      <c r="J199" s="55" t="n"/>
      <c r="K199" s="19" t="n"/>
      <c r="L199" s="73" t="n"/>
      <c r="M199" s="73" t="n"/>
      <c r="N199" s="73" t="n"/>
      <c r="O199" s="19" t="n"/>
      <c r="P199" s="18" t="n"/>
      <c r="Q199" s="18" t="inlineStr">
        <is>
          <t>Pos Lombok</t>
        </is>
      </c>
      <c r="R199" s="73" t="n">
        <v>2</v>
      </c>
      <c r="S199" s="18" t="n"/>
      <c r="T199" s="18" t="n"/>
      <c r="U199" s="26">
        <f>D199+F199+-(H199+J199+L199+N199+P199+R199+T199)</f>
        <v/>
      </c>
      <c r="V199" t="inlineStr">
        <is>
          <t>CIVIL</t>
        </is>
      </c>
    </row>
    <row r="200" ht="15" customHeight="1">
      <c r="A200" s="22">
        <f>A199+1</f>
        <v/>
      </c>
      <c r="B200" s="122" t="inlineStr">
        <is>
          <t>Plywood Meranti 20 mm</t>
        </is>
      </c>
      <c r="C200" s="123" t="inlineStr">
        <is>
          <t xml:space="preserve">Lbr </t>
        </is>
      </c>
      <c r="D200" s="26">
        <f>'[1]Week  (4)'!U200</f>
        <v/>
      </c>
      <c r="E200" s="124" t="n"/>
      <c r="F200" s="62" t="n"/>
      <c r="G200" s="25" t="n"/>
      <c r="H200" s="66" t="n"/>
      <c r="I200" s="19" t="n"/>
      <c r="J200" s="64" t="n"/>
      <c r="K200" s="18" t="n"/>
      <c r="L200" s="73" t="n"/>
      <c r="M200" s="73" t="n"/>
      <c r="N200" s="73" t="n"/>
      <c r="O200" s="19" t="n"/>
      <c r="P200" s="18" t="n"/>
      <c r="Q200" s="18" t="n"/>
      <c r="R200" s="73" t="n"/>
      <c r="S200" s="18" t="n"/>
      <c r="T200" s="18" t="n"/>
      <c r="U200" s="26">
        <f>D200+F200+-(H200+J200+L200+N200+P200+R200+T200)</f>
        <v/>
      </c>
      <c r="V200" t="inlineStr">
        <is>
          <t>CIVIL</t>
        </is>
      </c>
    </row>
    <row r="201" ht="15" customHeight="1">
      <c r="A201" s="22">
        <f>A200+1</f>
        <v/>
      </c>
      <c r="B201" s="122" t="inlineStr">
        <is>
          <t>PIPA PVC 2"</t>
        </is>
      </c>
      <c r="C201" s="123" t="inlineStr">
        <is>
          <t>PCS</t>
        </is>
      </c>
      <c r="D201" s="26">
        <f>'[1]Week  (4)'!U201</f>
        <v/>
      </c>
      <c r="E201" s="125" t="n"/>
      <c r="F201" s="55" t="n"/>
      <c r="G201" s="52" t="n"/>
      <c r="H201" s="55" t="n"/>
      <c r="I201" s="71" t="n"/>
      <c r="J201" s="55" t="n"/>
      <c r="K201" s="18" t="n"/>
      <c r="L201" s="73" t="n"/>
      <c r="M201" s="73" t="n"/>
      <c r="N201" s="73" t="n"/>
      <c r="O201" s="19" t="n"/>
      <c r="P201" s="18" t="n"/>
      <c r="Q201" s="18" t="n"/>
      <c r="R201" s="73" t="n"/>
      <c r="S201" s="18" t="n"/>
      <c r="T201" s="18" t="n"/>
      <c r="U201" s="26">
        <f>D201+F201+-(H201+J201+L201+N201+P201+R201+T201)</f>
        <v/>
      </c>
      <c r="V201" t="inlineStr">
        <is>
          <t>VALVE AND PIPE</t>
        </is>
      </c>
    </row>
    <row r="202" ht="15" customHeight="1">
      <c r="A202" s="22">
        <f>A201+1</f>
        <v/>
      </c>
      <c r="B202" s="122" t="inlineStr">
        <is>
          <t>PIPA PVC 1"</t>
        </is>
      </c>
      <c r="C202" s="123" t="inlineStr">
        <is>
          <t>PCS</t>
        </is>
      </c>
      <c r="D202" s="26">
        <f>'[1]Week  (4)'!U202</f>
        <v/>
      </c>
      <c r="E202" s="124" t="n"/>
      <c r="F202" s="62" t="n"/>
      <c r="G202" s="25" t="n"/>
      <c r="H202" s="56" t="n"/>
      <c r="I202" s="19" t="n"/>
      <c r="J202" s="64" t="n"/>
      <c r="K202" s="18" t="n"/>
      <c r="L202" s="73" t="n"/>
      <c r="M202" s="73" t="n"/>
      <c r="N202" s="73" t="n"/>
      <c r="O202" s="19" t="n"/>
      <c r="P202" s="18" t="n"/>
      <c r="Q202" s="18" t="n"/>
      <c r="R202" s="73" t="n"/>
      <c r="S202" s="18" t="n"/>
      <c r="T202" s="18" t="n"/>
      <c r="U202" s="26">
        <f>D202+F202+-(H202+J202+L202+N202+P202+R202+T202)</f>
        <v/>
      </c>
      <c r="V202" t="inlineStr">
        <is>
          <t>VALVE AND PIPE</t>
        </is>
      </c>
    </row>
    <row r="203" ht="15" customHeight="1">
      <c r="A203" s="22">
        <f>A202+1</f>
        <v/>
      </c>
      <c r="B203" s="122" t="inlineStr">
        <is>
          <t>PIPA PVC 3/4"</t>
        </is>
      </c>
      <c r="C203" s="123" t="inlineStr">
        <is>
          <t>PCS</t>
        </is>
      </c>
      <c r="D203" s="26">
        <f>'[1]Week  (4)'!U203</f>
        <v/>
      </c>
      <c r="E203" s="125" t="n"/>
      <c r="F203" s="55" t="n"/>
      <c r="G203" s="52" t="n"/>
      <c r="H203" s="55" t="n"/>
      <c r="I203" s="71" t="n"/>
      <c r="J203" s="55" t="n"/>
      <c r="K203" s="18" t="n"/>
      <c r="L203" s="73" t="n"/>
      <c r="M203" s="73" t="n"/>
      <c r="N203" s="73" t="n"/>
      <c r="O203" s="19" t="n"/>
      <c r="P203" s="18" t="n"/>
      <c r="Q203" s="18" t="n"/>
      <c r="R203" s="73" t="n"/>
      <c r="S203" s="18" t="n"/>
      <c r="T203" s="18" t="n"/>
      <c r="U203" s="26">
        <f>D203+F203+-(H203+J203+L203+N203+P203+R203+T203)</f>
        <v/>
      </c>
      <c r="V203" t="inlineStr">
        <is>
          <t>VALVE AND PIPE</t>
        </is>
      </c>
    </row>
    <row r="204" ht="15" customHeight="1">
      <c r="A204" s="22">
        <f>A203+1</f>
        <v/>
      </c>
      <c r="B204" s="122" t="inlineStr">
        <is>
          <t>PIPA PVC 1/2"</t>
        </is>
      </c>
      <c r="C204" s="123" t="inlineStr">
        <is>
          <t>PCS</t>
        </is>
      </c>
      <c r="D204" s="26">
        <f>'[1]Week  (4)'!U204</f>
        <v/>
      </c>
      <c r="E204" s="124" t="n"/>
      <c r="F204" s="62" t="n"/>
      <c r="G204" s="25" t="n"/>
      <c r="H204" s="56" t="n"/>
      <c r="I204" s="18" t="n"/>
      <c r="J204" s="64" t="n"/>
      <c r="K204" s="18" t="n"/>
      <c r="L204" s="64" t="n"/>
      <c r="M204" s="73" t="n"/>
      <c r="N204" s="73" t="n"/>
      <c r="O204" s="19" t="n"/>
      <c r="P204" s="18" t="n"/>
      <c r="Q204" s="18" t="n"/>
      <c r="R204" s="73" t="n"/>
      <c r="S204" s="18" t="n"/>
      <c r="T204" s="18" t="n"/>
      <c r="U204" s="26">
        <f>D204+F204+-(H204+J204+L204+N204+P204+R204+T204)</f>
        <v/>
      </c>
      <c r="V204" t="inlineStr">
        <is>
          <t>VALVE AND PIPE</t>
        </is>
      </c>
    </row>
    <row r="205" ht="30" customHeight="1">
      <c r="A205" s="22">
        <f>A204+1</f>
        <v/>
      </c>
      <c r="B205" s="122" t="inlineStr">
        <is>
          <t>Push Drainage ( Avur Wash Basin )</t>
        </is>
      </c>
      <c r="C205" s="123" t="inlineStr">
        <is>
          <t>PCS</t>
        </is>
      </c>
      <c r="D205" s="26">
        <f>'[1]Week  (4)'!U205</f>
        <v/>
      </c>
      <c r="E205" s="125" t="n"/>
      <c r="F205" s="55" t="n"/>
      <c r="G205" s="52" t="n"/>
      <c r="H205" s="55" t="n"/>
      <c r="I205" s="71" t="n"/>
      <c r="J205" s="55" t="n"/>
      <c r="K205" s="18" t="n"/>
      <c r="L205" s="73" t="n"/>
      <c r="M205" s="73" t="n"/>
      <c r="N205" s="73" t="n"/>
      <c r="O205" s="19" t="n"/>
      <c r="P205" s="18" t="n"/>
      <c r="Q205" s="18" t="n"/>
      <c r="R205" s="73" t="n"/>
      <c r="S205" s="18" t="n"/>
      <c r="T205" s="18" t="n"/>
      <c r="U205" s="26">
        <f>D205+F205+-(H205+J205+L205+N205+P205+R205+T205)</f>
        <v/>
      </c>
      <c r="V205" t="inlineStr">
        <is>
          <t>SANITARY</t>
        </is>
      </c>
    </row>
    <row r="206" ht="15" customHeight="1">
      <c r="A206" s="22">
        <f>A205+1</f>
        <v/>
      </c>
      <c r="B206" s="122" t="inlineStr">
        <is>
          <t>Regulator LPG</t>
        </is>
      </c>
      <c r="C206" s="123" t="inlineStr">
        <is>
          <t>PCS</t>
        </is>
      </c>
      <c r="D206" s="26">
        <f>'[1]Week  (4)'!U206</f>
        <v/>
      </c>
      <c r="E206" s="124" t="n"/>
      <c r="F206" s="62" t="n"/>
      <c r="G206" s="68" t="n"/>
      <c r="H206" s="56" t="n"/>
      <c r="I206" s="19" t="n"/>
      <c r="J206" s="64" t="n"/>
      <c r="K206" s="19" t="n"/>
      <c r="L206" s="73" t="n"/>
      <c r="M206" s="73" t="n"/>
      <c r="N206" s="73" t="n"/>
      <c r="O206" s="19" t="n"/>
      <c r="P206" s="18" t="n"/>
      <c r="Q206" s="18" t="n"/>
      <c r="R206" s="73" t="n"/>
      <c r="S206" s="18" t="n"/>
      <c r="T206" s="18" t="n"/>
      <c r="U206" s="26">
        <f>D206+F206+-(H206+J206+L206+N206+P206+R206+T206)</f>
        <v/>
      </c>
      <c r="V206" t="inlineStr">
        <is>
          <t>CONSUMABLE</t>
        </is>
      </c>
    </row>
    <row r="207" ht="15" customHeight="1">
      <c r="A207" s="22">
        <f>A206+1</f>
        <v/>
      </c>
      <c r="B207" s="122" t="inlineStr">
        <is>
          <t>REMOTE AC MULTI</t>
        </is>
      </c>
      <c r="C207" s="123" t="inlineStr">
        <is>
          <t>PCS</t>
        </is>
      </c>
      <c r="D207" s="26">
        <f>'[1]Week  (4)'!U207</f>
        <v/>
      </c>
      <c r="E207" s="125" t="n"/>
      <c r="F207" s="55" t="n"/>
      <c r="G207" s="52" t="n"/>
      <c r="H207" s="55" t="n"/>
      <c r="I207" s="71" t="n"/>
      <c r="J207" s="55" t="n"/>
      <c r="K207" s="18" t="n"/>
      <c r="L207" s="73" t="n"/>
      <c r="M207" s="73" t="n"/>
      <c r="N207" s="73" t="n"/>
      <c r="O207" s="19" t="n"/>
      <c r="P207" s="18" t="n"/>
      <c r="Q207" s="18" t="n"/>
      <c r="R207" s="73" t="n"/>
      <c r="S207" s="18" t="n"/>
      <c r="T207" s="18" t="n"/>
      <c r="U207" s="26">
        <f>D207+F207+-(H207+J207+L207+N207+P207+R207+T207)</f>
        <v/>
      </c>
      <c r="V207" t="inlineStr">
        <is>
          <t>AC</t>
        </is>
      </c>
    </row>
    <row r="208" ht="15" customHeight="1">
      <c r="A208" s="22">
        <f>A207+1</f>
        <v/>
      </c>
      <c r="B208" s="122" t="inlineStr">
        <is>
          <t>REMOTE TV  MULTI</t>
        </is>
      </c>
      <c r="C208" s="123" t="inlineStr">
        <is>
          <t>PCS</t>
        </is>
      </c>
      <c r="D208" s="26">
        <f>'[1]Week  (4)'!U208</f>
        <v/>
      </c>
      <c r="E208" s="124" t="n"/>
      <c r="F208" s="62" t="n"/>
      <c r="G208" s="25" t="n"/>
      <c r="H208" s="56" t="n"/>
      <c r="I208" s="19" t="n"/>
      <c r="J208" s="64" t="n"/>
      <c r="K208" s="18" t="n"/>
      <c r="L208" s="73" t="n"/>
      <c r="M208" s="73" t="n"/>
      <c r="N208" s="73" t="n"/>
      <c r="O208" s="19" t="n"/>
      <c r="P208" s="18" t="n"/>
      <c r="Q208" s="18" t="n"/>
      <c r="R208" s="73" t="n"/>
      <c r="S208" s="18" t="n"/>
      <c r="T208" s="18" t="n"/>
      <c r="U208" s="26">
        <f>D208+F208+-(H208+J208+L208+N208+P208+R208+T208)</f>
        <v/>
      </c>
      <c r="V208" t="inlineStr">
        <is>
          <t>AC</t>
        </is>
      </c>
    </row>
    <row r="209" ht="15" customHeight="1">
      <c r="A209" s="22">
        <f>A208+1</f>
        <v/>
      </c>
      <c r="B209" s="122" t="inlineStr">
        <is>
          <t xml:space="preserve">SAKLAR DOBLE </t>
        </is>
      </c>
      <c r="C209" s="123" t="inlineStr">
        <is>
          <t>PCS</t>
        </is>
      </c>
      <c r="D209" s="26">
        <f>'[1]Week  (4)'!U209</f>
        <v/>
      </c>
      <c r="E209" s="125" t="n"/>
      <c r="F209" s="55" t="n"/>
      <c r="G209" s="52" t="n"/>
      <c r="H209" s="55" t="n"/>
      <c r="I209" s="71" t="n"/>
      <c r="J209" s="55" t="n"/>
      <c r="K209" s="18" t="n"/>
      <c r="L209" s="73" t="n"/>
      <c r="M209" s="73" t="n"/>
      <c r="N209" s="73" t="n"/>
      <c r="O209" s="19" t="n"/>
      <c r="P209" s="18" t="n"/>
      <c r="Q209" s="18" t="n"/>
      <c r="R209" s="73" t="n"/>
      <c r="S209" s="18" t="n"/>
      <c r="T209" s="18" t="n"/>
      <c r="U209" s="26">
        <f>D209+F209+-(H209+J209+L209+N209+P209+R209+T209)</f>
        <v/>
      </c>
      <c r="V209" t="inlineStr">
        <is>
          <t>ELECTRICAL</t>
        </is>
      </c>
    </row>
    <row r="210" ht="15" customHeight="1">
      <c r="A210" s="22">
        <f>A209+1</f>
        <v/>
      </c>
      <c r="B210" s="122" t="inlineStr">
        <is>
          <t>SAKLAR TUNGGAL</t>
        </is>
      </c>
      <c r="C210" s="123" t="inlineStr">
        <is>
          <t>PCS</t>
        </is>
      </c>
      <c r="D210" s="26">
        <f>'[1]Week  (4)'!U210</f>
        <v/>
      </c>
      <c r="E210" s="124" t="n"/>
      <c r="F210" s="62" t="n"/>
      <c r="G210" s="25" t="n"/>
      <c r="H210" s="56" t="n"/>
      <c r="I210" s="19" t="n"/>
      <c r="J210" s="64" t="n"/>
      <c r="K210" s="18" t="n"/>
      <c r="L210" s="73" t="n"/>
      <c r="M210" s="73" t="n"/>
      <c r="N210" s="73" t="n"/>
      <c r="O210" s="19" t="n"/>
      <c r="P210" s="18" t="n"/>
      <c r="Q210" s="18" t="n"/>
      <c r="R210" s="73" t="n"/>
      <c r="S210" s="18" t="n"/>
      <c r="T210" s="18" t="n"/>
      <c r="U210" s="26">
        <f>D210+F210+-(H210+J210+L210+N210+P210+R210+T210)</f>
        <v/>
      </c>
      <c r="V210" t="inlineStr">
        <is>
          <t>ELECTRICAL</t>
        </is>
      </c>
    </row>
    <row r="211" ht="15" customHeight="1">
      <c r="A211" s="22">
        <f>A210+1</f>
        <v/>
      </c>
      <c r="B211" s="38" t="inlineStr">
        <is>
          <t>Sock Drat LUAR 20 x 1/2" HDPE</t>
        </is>
      </c>
      <c r="C211" s="123" t="inlineStr">
        <is>
          <t>PCS</t>
        </is>
      </c>
      <c r="D211" s="26">
        <f>'[1]Week  (4)'!U211</f>
        <v/>
      </c>
      <c r="E211" s="125" t="n"/>
      <c r="F211" s="55" t="n"/>
      <c r="G211" s="52" t="n"/>
      <c r="H211" s="55" t="n"/>
      <c r="I211" s="71" t="n"/>
      <c r="J211" s="55" t="n"/>
      <c r="K211" s="18" t="n"/>
      <c r="L211" s="73" t="n"/>
      <c r="M211" s="73" t="n"/>
      <c r="N211" s="73" t="n"/>
      <c r="O211" s="19" t="n"/>
      <c r="P211" s="18" t="n"/>
      <c r="Q211" s="18" t="n"/>
      <c r="R211" s="73" t="n"/>
      <c r="S211" s="18" t="n"/>
      <c r="T211" s="18" t="n"/>
      <c r="U211" s="26">
        <f>D211+F211+-(H211+J211+L211+N211+P211+R211+T211)</f>
        <v/>
      </c>
      <c r="V211" t="inlineStr">
        <is>
          <t>VALVE AND PIPE</t>
        </is>
      </c>
    </row>
    <row r="212" ht="15" customHeight="1">
      <c r="A212" s="22">
        <f>A211+1</f>
        <v/>
      </c>
      <c r="B212" s="128" t="inlineStr">
        <is>
          <t>Seat &amp; Cover Closet</t>
        </is>
      </c>
      <c r="C212" s="123" t="inlineStr">
        <is>
          <t>PCS</t>
        </is>
      </c>
      <c r="D212" s="26">
        <f>'[1]Week  (4)'!U212</f>
        <v/>
      </c>
      <c r="E212" s="124" t="n"/>
      <c r="F212" s="62" t="n"/>
      <c r="G212" s="68" t="n"/>
      <c r="H212" s="56" t="n"/>
      <c r="I212" s="19" t="n"/>
      <c r="J212" s="64" t="n"/>
      <c r="K212" s="18" t="n"/>
      <c r="L212" s="73" t="n"/>
      <c r="M212" s="73" t="n"/>
      <c r="N212" s="73" t="n"/>
      <c r="O212" s="19" t="n"/>
      <c r="P212" s="18" t="n"/>
      <c r="Q212" s="18" t="n"/>
      <c r="R212" s="73" t="n"/>
      <c r="S212" s="18" t="n"/>
      <c r="T212" s="18" t="n"/>
      <c r="U212" s="26">
        <f>D212+F212+-(H212+J212+L212+N212+P212+R212+T212)</f>
        <v/>
      </c>
      <c r="V212" t="inlineStr">
        <is>
          <t>SANITARY</t>
        </is>
      </c>
    </row>
    <row r="213">
      <c r="A213" s="22">
        <f>A212+1</f>
        <v/>
      </c>
      <c r="B213" s="79" t="inlineStr">
        <is>
          <t xml:space="preserve">Selang LPG </t>
        </is>
      </c>
      <c r="C213" s="40" t="inlineStr">
        <is>
          <t>M</t>
        </is>
      </c>
      <c r="D213" s="26">
        <f>'[1]Week  (4)'!U213</f>
        <v/>
      </c>
      <c r="E213" s="125" t="n"/>
      <c r="F213" s="55" t="n"/>
      <c r="G213" s="52" t="n"/>
      <c r="H213" s="55" t="n"/>
      <c r="I213" s="71" t="n"/>
      <c r="J213" s="55" t="n"/>
      <c r="K213" s="18" t="n"/>
      <c r="L213" s="73" t="n"/>
      <c r="M213" s="73" t="n"/>
      <c r="N213" s="73" t="n"/>
      <c r="O213" s="19" t="n"/>
      <c r="P213" s="18" t="n"/>
      <c r="Q213" s="18" t="n"/>
      <c r="R213" s="73" t="n"/>
      <c r="S213" s="18" t="n"/>
      <c r="T213" s="18" t="n"/>
      <c r="U213" s="26">
        <f>D213+F213+-(H213+J213+L213+N213+P213+R213+T213)</f>
        <v/>
      </c>
      <c r="V213" t="inlineStr">
        <is>
          <t>OIL &amp; GAS</t>
        </is>
      </c>
    </row>
    <row r="214" ht="15" customHeight="1">
      <c r="A214" s="22">
        <f>A213+1</f>
        <v/>
      </c>
      <c r="B214" s="128" t="inlineStr">
        <is>
          <t>SELENOID DRAIN MESIN CUCI</t>
        </is>
      </c>
      <c r="C214" s="123" t="inlineStr">
        <is>
          <t>PCS</t>
        </is>
      </c>
      <c r="D214" s="26">
        <f>'[1]Week  (4)'!U214</f>
        <v/>
      </c>
      <c r="E214" s="124" t="n"/>
      <c r="F214" s="62" t="n"/>
      <c r="G214" s="25" t="n"/>
      <c r="H214" s="56" t="n"/>
      <c r="I214" s="19" t="n"/>
      <c r="J214" s="64" t="n"/>
      <c r="K214" s="18" t="n"/>
      <c r="L214" s="73" t="n"/>
      <c r="M214" s="73" t="n"/>
      <c r="N214" s="73" t="n"/>
      <c r="O214" s="19" t="n"/>
      <c r="P214" s="18" t="n"/>
      <c r="Q214" s="18" t="n"/>
      <c r="R214" s="73" t="n"/>
      <c r="S214" s="18" t="n"/>
      <c r="T214" s="18" t="n"/>
      <c r="U214" s="26">
        <f>D214+F214+-(H214+J214+L214+N214+P214+R214+T214)</f>
        <v/>
      </c>
      <c r="V214" t="inlineStr">
        <is>
          <t>SANITARY</t>
        </is>
      </c>
    </row>
    <row r="215" ht="15" customHeight="1">
      <c r="A215" s="22">
        <f>A214+1</f>
        <v/>
      </c>
      <c r="B215" s="128" t="inlineStr">
        <is>
          <t xml:space="preserve">Shower Curtain </t>
        </is>
      </c>
      <c r="C215" s="123" t="inlineStr">
        <is>
          <t>PCS</t>
        </is>
      </c>
      <c r="D215" s="26">
        <f>'[1]Week  (4)'!U215</f>
        <v/>
      </c>
      <c r="E215" s="125" t="n"/>
      <c r="F215" s="55" t="n"/>
      <c r="G215" s="52" t="n"/>
      <c r="H215" s="55" t="n"/>
      <c r="I215" s="71" t="n"/>
      <c r="J215" s="55" t="n"/>
      <c r="K215" s="18" t="n"/>
      <c r="L215" s="73" t="n"/>
      <c r="M215" s="73" t="n"/>
      <c r="N215" s="73" t="n"/>
      <c r="O215" s="19" t="n"/>
      <c r="P215" s="18" t="n"/>
      <c r="Q215" s="19" t="n"/>
      <c r="R215" s="73" t="n"/>
      <c r="S215" s="18" t="n"/>
      <c r="T215" s="18" t="n"/>
      <c r="U215" s="26">
        <f>D215+F215+-(H215+J215+L215+N215+P215+R215+T215)</f>
        <v/>
      </c>
      <c r="V215" t="inlineStr">
        <is>
          <t>CIVIL</t>
        </is>
      </c>
    </row>
    <row r="216" ht="15" customHeight="1">
      <c r="A216" s="22">
        <f>A215+1</f>
        <v/>
      </c>
      <c r="B216" s="128" t="inlineStr">
        <is>
          <t>Silicon Sealant Clear</t>
        </is>
      </c>
      <c r="C216" s="123" t="inlineStr">
        <is>
          <t>PCS</t>
        </is>
      </c>
      <c r="D216" s="26">
        <f>'[1]Week  (4)'!U216</f>
        <v/>
      </c>
      <c r="E216" s="124" t="n"/>
      <c r="F216" s="62" t="n"/>
      <c r="G216" s="25" t="n"/>
      <c r="H216" s="56" t="n"/>
      <c r="I216" s="19" t="n"/>
      <c r="J216" s="64" t="n"/>
      <c r="K216" s="19" t="n"/>
      <c r="L216" s="64" t="n"/>
      <c r="M216" s="73" t="n"/>
      <c r="N216" s="73" t="n"/>
      <c r="O216" s="19" t="n"/>
      <c r="P216" s="18" t="n"/>
      <c r="Q216" s="18" t="n"/>
      <c r="R216" s="73" t="n"/>
      <c r="S216" s="18" t="n"/>
      <c r="T216" s="18" t="n"/>
      <c r="U216" s="26">
        <f>D216+F216+-(H216+J216+L216+N216+P216+R216+T216)</f>
        <v/>
      </c>
      <c r="V216" t="inlineStr">
        <is>
          <t>CONSUMABLE</t>
        </is>
      </c>
    </row>
    <row r="217" ht="15" customHeight="1">
      <c r="A217" s="22">
        <f>A216+1</f>
        <v/>
      </c>
      <c r="B217" s="122" t="inlineStr">
        <is>
          <t>SEAL TAPE</t>
        </is>
      </c>
      <c r="C217" s="123" t="inlineStr">
        <is>
          <t>PCS</t>
        </is>
      </c>
      <c r="D217" s="26">
        <f>'[1]Week  (4)'!U217</f>
        <v/>
      </c>
      <c r="E217" s="125" t="n"/>
      <c r="F217" s="55" t="n"/>
      <c r="G217" s="72" t="n"/>
      <c r="H217" s="55" t="n"/>
      <c r="I217" s="71" t="n"/>
      <c r="J217" s="55" t="n"/>
      <c r="K217" s="19" t="n"/>
      <c r="L217" s="73" t="n"/>
      <c r="M217" s="73" t="n"/>
      <c r="N217" s="73" t="n"/>
      <c r="O217" s="19" t="n"/>
      <c r="P217" s="18" t="n"/>
      <c r="Q217" s="18" t="n"/>
      <c r="R217" s="73" t="n"/>
      <c r="S217" s="18" t="n"/>
      <c r="T217" s="18" t="n"/>
      <c r="U217" s="26">
        <f>D217+F217+-(H217+J217+L217+N217+P217+R217+T217)</f>
        <v/>
      </c>
      <c r="V217" t="inlineStr">
        <is>
          <t>CONSUMABLE</t>
        </is>
      </c>
    </row>
    <row r="218" ht="15" customHeight="1">
      <c r="A218" s="22">
        <f>A217+1</f>
        <v/>
      </c>
      <c r="B218" s="38" t="inlineStr">
        <is>
          <t>Sock Drat Dalam 20 x 1/2"</t>
        </is>
      </c>
      <c r="C218" s="123" t="inlineStr">
        <is>
          <t>PCS</t>
        </is>
      </c>
      <c r="D218" s="26">
        <f>'[1]Week  (4)'!U218</f>
        <v/>
      </c>
      <c r="E218" s="124" t="n"/>
      <c r="F218" s="62" t="n"/>
      <c r="G218" s="25" t="n"/>
      <c r="H218" s="56" t="n"/>
      <c r="I218" s="19" t="n"/>
      <c r="J218" s="64" t="n"/>
      <c r="K218" s="18" t="n"/>
      <c r="L218" s="73" t="n"/>
      <c r="M218" s="73" t="n"/>
      <c r="N218" s="73" t="n"/>
      <c r="O218" s="19" t="n"/>
      <c r="P218" s="18" t="n"/>
      <c r="Q218" s="18" t="n"/>
      <c r="R218" s="73" t="n"/>
      <c r="S218" s="18" t="n"/>
      <c r="T218" s="18" t="n"/>
      <c r="U218" s="26">
        <f>D218+F218+-(H218+J218+L218+N218+P218+R218+T218)</f>
        <v/>
      </c>
      <c r="V218" t="inlineStr">
        <is>
          <t>VALVE AND PIPE</t>
        </is>
      </c>
    </row>
    <row r="219">
      <c r="A219" s="22">
        <f>A218+1</f>
        <v/>
      </c>
      <c r="B219" s="79" t="inlineStr">
        <is>
          <t>Sock PVC AW  1"</t>
        </is>
      </c>
      <c r="C219" s="40" t="inlineStr">
        <is>
          <t>Pcs</t>
        </is>
      </c>
      <c r="D219" s="26">
        <f>'[1]Week  (4)'!U219</f>
        <v/>
      </c>
      <c r="E219" s="125" t="n"/>
      <c r="F219" s="55" t="n"/>
      <c r="G219" s="52" t="n"/>
      <c r="H219" s="55" t="n"/>
      <c r="I219" s="71" t="n"/>
      <c r="J219" s="55" t="n"/>
      <c r="K219" s="18" t="n"/>
      <c r="L219" s="73" t="n"/>
      <c r="M219" s="73" t="n"/>
      <c r="N219" s="73" t="n"/>
      <c r="O219" s="19" t="n"/>
      <c r="P219" s="18" t="n"/>
      <c r="Q219" s="18" t="n"/>
      <c r="R219" s="73" t="n"/>
      <c r="S219" s="18" t="n"/>
      <c r="T219" s="18" t="n"/>
      <c r="U219" s="26">
        <f>D219+F219+-(H219+J219+L219+N219+P219+R219+T219)</f>
        <v/>
      </c>
      <c r="V219" t="inlineStr">
        <is>
          <t>VALVE AND PIPE</t>
        </is>
      </c>
    </row>
    <row r="220">
      <c r="A220" s="22">
        <f>A219+1</f>
        <v/>
      </c>
      <c r="B220" s="79" t="inlineStr">
        <is>
          <t>Sock PVC AW  2"</t>
        </is>
      </c>
      <c r="C220" s="40" t="inlineStr">
        <is>
          <t>Pcs</t>
        </is>
      </c>
      <c r="D220" s="26">
        <f>'[1]Week  (4)'!U220</f>
        <v/>
      </c>
      <c r="E220" s="124" t="n"/>
      <c r="F220" s="62" t="n"/>
      <c r="G220" s="25" t="n"/>
      <c r="H220" s="56" t="n"/>
      <c r="I220" s="19" t="n"/>
      <c r="J220" s="64" t="n"/>
      <c r="K220" s="18" t="n"/>
      <c r="L220" s="73" t="n"/>
      <c r="M220" s="73" t="n"/>
      <c r="N220" s="73" t="n"/>
      <c r="O220" s="19" t="n"/>
      <c r="P220" s="18" t="n"/>
      <c r="Q220" s="18" t="n"/>
      <c r="R220" s="73" t="n"/>
      <c r="S220" s="18" t="n"/>
      <c r="T220" s="18" t="n"/>
      <c r="U220" s="26">
        <f>D220+F220+-(H220+J220+L220+N220+P220+R220+T220)</f>
        <v/>
      </c>
      <c r="V220" t="inlineStr">
        <is>
          <t>VALVE AND PIPE</t>
        </is>
      </c>
    </row>
    <row r="221">
      <c r="A221" s="22">
        <f>A220+1</f>
        <v/>
      </c>
      <c r="B221" s="79" t="inlineStr">
        <is>
          <t>Sock PVC AW  3/4"</t>
        </is>
      </c>
      <c r="C221" s="40" t="inlineStr">
        <is>
          <t>Pcs</t>
        </is>
      </c>
      <c r="D221" s="26">
        <f>'[1]Week  (4)'!U221</f>
        <v/>
      </c>
      <c r="E221" s="125" t="n"/>
      <c r="F221" s="55" t="n"/>
      <c r="G221" s="52" t="n"/>
      <c r="H221" s="55" t="n"/>
      <c r="I221" s="71" t="n"/>
      <c r="J221" s="55" t="n"/>
      <c r="K221" s="18" t="n"/>
      <c r="L221" s="73" t="n"/>
      <c r="M221" s="73" t="n"/>
      <c r="N221" s="73" t="n"/>
      <c r="O221" s="19" t="n"/>
      <c r="P221" s="18" t="n"/>
      <c r="Q221" s="18" t="n"/>
      <c r="R221" s="73" t="n"/>
      <c r="S221" s="18" t="n"/>
      <c r="T221" s="18" t="n"/>
      <c r="U221" s="26">
        <f>D221+F221+-(H221+J221+L221+N221+P221+R221+T221)</f>
        <v/>
      </c>
      <c r="V221" t="inlineStr">
        <is>
          <t>VALVE AND PIPE</t>
        </is>
      </c>
    </row>
    <row r="222">
      <c r="A222" s="22">
        <f>A221+1</f>
        <v/>
      </c>
      <c r="B222" s="79" t="inlineStr">
        <is>
          <t>Sock PVC AW 1/2"</t>
        </is>
      </c>
      <c r="C222" s="40" t="inlineStr">
        <is>
          <t>Pcs</t>
        </is>
      </c>
      <c r="D222" s="26">
        <f>'[1]Week  (4)'!U222</f>
        <v/>
      </c>
      <c r="E222" s="124" t="n"/>
      <c r="F222" s="62" t="n"/>
      <c r="G222" s="25" t="n"/>
      <c r="H222" s="56" t="n"/>
      <c r="I222" s="25" t="n"/>
      <c r="J222" s="56" t="n"/>
      <c r="K222" s="18" t="n"/>
      <c r="L222" s="73" t="n"/>
      <c r="M222" s="73" t="n"/>
      <c r="N222" s="73" t="n"/>
      <c r="O222" s="19" t="n"/>
      <c r="P222" s="18" t="n"/>
      <c r="Q222" s="18" t="n"/>
      <c r="R222" s="73" t="n"/>
      <c r="S222" s="18" t="n"/>
      <c r="T222" s="18" t="n"/>
      <c r="U222" s="26">
        <f>D222+F222+-(H222+J222+L222+N222+P222+R222+T222)</f>
        <v/>
      </c>
      <c r="V222" t="inlineStr">
        <is>
          <t>VALVE AND PIPE</t>
        </is>
      </c>
    </row>
    <row r="223" ht="30" customHeight="1">
      <c r="A223" s="22">
        <f>A222+1</f>
        <v/>
      </c>
      <c r="B223" s="122" t="inlineStr">
        <is>
          <t>Stater TLD 40 W (TLD-S10), Philips</t>
        </is>
      </c>
      <c r="C223" s="123" t="inlineStr">
        <is>
          <t>PCS</t>
        </is>
      </c>
      <c r="D223" s="26">
        <f>'[1]Week  (4)'!U223</f>
        <v/>
      </c>
      <c r="E223" s="125" t="n"/>
      <c r="F223" s="55" t="n"/>
      <c r="G223" s="52" t="n"/>
      <c r="H223" s="55" t="n"/>
      <c r="I223" s="71" t="n"/>
      <c r="J223" s="55" t="n"/>
      <c r="K223" s="18" t="n"/>
      <c r="L223" s="73" t="n"/>
      <c r="M223" s="73" t="n"/>
      <c r="N223" s="73" t="n"/>
      <c r="O223" s="19" t="n"/>
      <c r="P223" s="18" t="n"/>
      <c r="Q223" s="18" t="n"/>
      <c r="R223" s="73" t="n"/>
      <c r="S223" s="18" t="n"/>
      <c r="T223" s="18" t="n"/>
      <c r="U223" s="26">
        <f>D223+F223+-(H223+J223+L223+N223+P223+R223+T223)</f>
        <v/>
      </c>
      <c r="V223" t="inlineStr">
        <is>
          <t>LAMP</t>
        </is>
      </c>
    </row>
    <row r="224" ht="15" customHeight="1">
      <c r="A224" s="22">
        <f>A223+1</f>
        <v/>
      </c>
      <c r="B224" s="122" t="inlineStr">
        <is>
          <t>STECKER ARDE BROCO</t>
        </is>
      </c>
      <c r="C224" s="123" t="inlineStr">
        <is>
          <t>PCS</t>
        </is>
      </c>
      <c r="D224" s="26">
        <f>'[1]Week  (4)'!U224</f>
        <v/>
      </c>
      <c r="E224" s="124" t="n"/>
      <c r="F224" s="62" t="n"/>
      <c r="G224" s="25" t="n"/>
      <c r="H224" s="56" t="n"/>
      <c r="I224" s="19" t="n"/>
      <c r="J224" s="64" t="n"/>
      <c r="K224" s="19" t="n"/>
      <c r="L224" s="73" t="n"/>
      <c r="M224" s="73" t="n"/>
      <c r="N224" s="73" t="n"/>
      <c r="O224" s="19" t="n"/>
      <c r="P224" s="18" t="n"/>
      <c r="Q224" s="19" t="n"/>
      <c r="R224" s="73" t="n"/>
      <c r="S224" s="18" t="n"/>
      <c r="T224" s="18" t="n"/>
      <c r="U224" s="26">
        <f>D224+F224+-(H224+J224+L224+N224+P224+R224+T224)</f>
        <v/>
      </c>
      <c r="V224" t="inlineStr">
        <is>
          <t>ELECTRICAL</t>
        </is>
      </c>
    </row>
    <row r="225" ht="15" customHeight="1">
      <c r="A225" s="22">
        <f>A224+1</f>
        <v/>
      </c>
      <c r="B225" s="43" t="inlineStr">
        <is>
          <t>Stick of Shower Curtain</t>
        </is>
      </c>
      <c r="C225" s="123" t="inlineStr">
        <is>
          <t>PCS</t>
        </is>
      </c>
      <c r="D225" s="26">
        <f>'[1]Week  (4)'!U225</f>
        <v/>
      </c>
      <c r="E225" s="125" t="n"/>
      <c r="F225" s="55" t="n"/>
      <c r="G225" s="52" t="n"/>
      <c r="H225" s="55" t="n"/>
      <c r="I225" s="71" t="n"/>
      <c r="J225" s="55" t="n"/>
      <c r="K225" s="18" t="n"/>
      <c r="L225" s="73" t="n"/>
      <c r="M225" s="73" t="n"/>
      <c r="N225" s="73" t="n"/>
      <c r="O225" s="19" t="n"/>
      <c r="P225" s="18" t="n"/>
      <c r="Q225" s="19" t="n"/>
      <c r="R225" s="73" t="n"/>
      <c r="S225" s="18" t="n"/>
      <c r="T225" s="18" t="n"/>
      <c r="U225" s="26">
        <f>D225+F225+-(H225+J225+L225+N225+P225+R225+T225)</f>
        <v/>
      </c>
      <c r="V225" t="inlineStr">
        <is>
          <t>CIVIL</t>
        </is>
      </c>
    </row>
    <row r="226" ht="15" customHeight="1">
      <c r="A226" s="22">
        <f>A225+1</f>
        <v/>
      </c>
      <c r="B226" s="122" t="inlineStr">
        <is>
          <t>Stop Contact  AC</t>
        </is>
      </c>
      <c r="C226" s="123" t="inlineStr">
        <is>
          <t>PCS</t>
        </is>
      </c>
      <c r="D226" s="26">
        <f>'[1]Week  (4)'!U226</f>
        <v/>
      </c>
      <c r="E226" s="124" t="n"/>
      <c r="F226" s="62" t="n"/>
      <c r="G226" s="25" t="n"/>
      <c r="H226" s="56" t="n"/>
      <c r="I226" s="19" t="n"/>
      <c r="J226" s="64" t="n"/>
      <c r="K226" s="19" t="n"/>
      <c r="L226" s="64" t="n"/>
      <c r="M226" s="73" t="n"/>
      <c r="N226" s="73" t="n"/>
      <c r="O226" s="19" t="n"/>
      <c r="P226" s="18" t="n"/>
      <c r="Q226" s="19" t="n"/>
      <c r="R226" s="64" t="n"/>
      <c r="S226" s="18" t="n"/>
      <c r="T226" s="18" t="n"/>
      <c r="U226" s="26">
        <f>D226+F226+-(H226+J226+L226+N226+P226+R226+T226)</f>
        <v/>
      </c>
      <c r="V226" t="inlineStr">
        <is>
          <t>AC</t>
        </is>
      </c>
    </row>
    <row r="227" ht="15" customHeight="1">
      <c r="A227" s="22">
        <f>A226+1</f>
        <v/>
      </c>
      <c r="B227" s="122" t="inlineStr">
        <is>
          <t>Stop Contact  Tanam</t>
        </is>
      </c>
      <c r="C227" s="123" t="inlineStr">
        <is>
          <t>PCS</t>
        </is>
      </c>
      <c r="D227" s="26">
        <f>'[1]Week  (4)'!U227</f>
        <v/>
      </c>
      <c r="E227" s="124" t="n"/>
      <c r="F227" s="55" t="n"/>
      <c r="G227" s="52" t="n"/>
      <c r="H227" s="55" t="n"/>
      <c r="I227" s="71" t="n"/>
      <c r="J227" s="55" t="n"/>
      <c r="K227" s="18" t="n"/>
      <c r="L227" s="73" t="n"/>
      <c r="M227" s="73" t="n"/>
      <c r="N227" s="73" t="n"/>
      <c r="O227" s="19" t="n"/>
      <c r="P227" s="18" t="n"/>
      <c r="Q227" s="18" t="n"/>
      <c r="R227" s="73" t="n"/>
      <c r="S227" s="18" t="n"/>
      <c r="T227" s="18" t="n"/>
      <c r="U227" s="26">
        <f>D227+F227+-(H227+J227+L227+N227+P227+R227+T227)</f>
        <v/>
      </c>
      <c r="V227" t="inlineStr">
        <is>
          <t>ELECTRICAL</t>
        </is>
      </c>
    </row>
    <row r="228" ht="15" customHeight="1">
      <c r="A228" s="22">
        <f>A227+1</f>
        <v/>
      </c>
      <c r="B228" s="122" t="inlineStr">
        <is>
          <t>Stop Contact  TEMPEL</t>
        </is>
      </c>
      <c r="C228" s="123" t="inlineStr">
        <is>
          <t>PCS</t>
        </is>
      </c>
      <c r="D228" s="26">
        <f>'[1]Week  (4)'!U228</f>
        <v/>
      </c>
      <c r="E228" s="124" t="n"/>
      <c r="F228" s="62" t="n"/>
      <c r="G228" s="25" t="n"/>
      <c r="H228" s="56" t="n"/>
      <c r="I228" s="19" t="n"/>
      <c r="J228" s="64" t="n"/>
      <c r="K228" s="18" t="n"/>
      <c r="L228" s="73" t="n"/>
      <c r="M228" s="73" t="n"/>
      <c r="N228" s="73" t="n"/>
      <c r="O228" s="19" t="n"/>
      <c r="P228" s="18" t="n"/>
      <c r="Q228" s="19" t="n"/>
      <c r="R228" s="73" t="n"/>
      <c r="S228" s="18" t="n"/>
      <c r="T228" s="18" t="n"/>
      <c r="U228" s="26">
        <f>D228+F228+-(H228+J228+L228+N228+P228+R228+T228)</f>
        <v/>
      </c>
      <c r="V228" t="inlineStr">
        <is>
          <t>ELECTRICAL</t>
        </is>
      </c>
    </row>
    <row r="229" ht="15" customHeight="1">
      <c r="A229" s="22">
        <f>A228+1</f>
        <v/>
      </c>
      <c r="B229" s="38" t="inlineStr">
        <is>
          <t>Straight Coupler  25x 20</t>
        </is>
      </c>
      <c r="C229" s="123" t="inlineStr">
        <is>
          <t>PCS</t>
        </is>
      </c>
      <c r="D229" s="26">
        <f>'[1]Week  (4)'!U229</f>
        <v/>
      </c>
      <c r="E229" s="125" t="n"/>
      <c r="F229" s="55" t="n"/>
      <c r="G229" s="52" t="n"/>
      <c r="H229" s="55" t="n"/>
      <c r="I229" s="71" t="n"/>
      <c r="J229" s="55" t="n"/>
      <c r="K229" s="18" t="n"/>
      <c r="L229" s="73" t="n"/>
      <c r="M229" s="73" t="n"/>
      <c r="N229" s="73" t="n"/>
      <c r="O229" s="19" t="n"/>
      <c r="P229" s="18" t="n"/>
      <c r="Q229" s="18" t="n"/>
      <c r="R229" s="73" t="n"/>
      <c r="S229" s="18" t="n"/>
      <c r="T229" s="18" t="n"/>
      <c r="U229" s="26">
        <f>D229+F229+-(H229+J229+L229+N229+P229+R229+T229)</f>
        <v/>
      </c>
      <c r="V229" t="inlineStr">
        <is>
          <t>VALVE AND PIPE</t>
        </is>
      </c>
    </row>
    <row r="230" ht="15" customHeight="1">
      <c r="A230" s="22">
        <f>A229+1</f>
        <v/>
      </c>
      <c r="B230" s="38" t="inlineStr">
        <is>
          <t>Straight Coupler 32 x 25</t>
        </is>
      </c>
      <c r="C230" s="123" t="inlineStr">
        <is>
          <t>PCS</t>
        </is>
      </c>
      <c r="D230" s="26">
        <f>'[1]Week  (4)'!U230</f>
        <v/>
      </c>
      <c r="E230" s="124" t="n"/>
      <c r="F230" s="62" t="n"/>
      <c r="G230" s="25" t="n"/>
      <c r="H230" s="56" t="n"/>
      <c r="I230" s="19" t="n"/>
      <c r="J230" s="64" t="n"/>
      <c r="K230" s="18" t="n"/>
      <c r="L230" s="73" t="n"/>
      <c r="M230" s="73" t="n"/>
      <c r="N230" s="73" t="n"/>
      <c r="O230" s="19" t="n"/>
      <c r="P230" s="18" t="n"/>
      <c r="Q230" s="18" t="n"/>
      <c r="R230" s="73" t="n"/>
      <c r="S230" s="18" t="n"/>
      <c r="T230" s="18" t="n"/>
      <c r="U230" s="26">
        <f>D230+F230+-(H230+J230+L230+N230+P230+R230+T230)</f>
        <v/>
      </c>
      <c r="V230" t="inlineStr">
        <is>
          <t>VALVE AND PIPE</t>
        </is>
      </c>
    </row>
    <row r="231" ht="15" customHeight="1">
      <c r="A231" s="22">
        <f>A230+1</f>
        <v/>
      </c>
      <c r="B231" s="122" t="inlineStr">
        <is>
          <t>Switch Ceiling Fan</t>
        </is>
      </c>
      <c r="C231" s="123" t="inlineStr">
        <is>
          <t>PCS</t>
        </is>
      </c>
      <c r="D231" s="26">
        <f>'[1]Week  (4)'!U231</f>
        <v/>
      </c>
      <c r="E231" s="125" t="n"/>
      <c r="F231" s="55" t="n"/>
      <c r="G231" s="52" t="n"/>
      <c r="H231" s="55" t="n"/>
      <c r="I231" s="71" t="n"/>
      <c r="J231" s="55" t="n"/>
      <c r="K231" s="18" t="n"/>
      <c r="L231" s="73" t="n"/>
      <c r="M231" s="73" t="n"/>
      <c r="N231" s="73" t="n"/>
      <c r="O231" s="19" t="n"/>
      <c r="P231" s="18" t="n"/>
      <c r="Q231" s="18" t="n"/>
      <c r="R231" s="73" t="n"/>
      <c r="S231" s="18" t="n"/>
      <c r="T231" s="18" t="n"/>
      <c r="U231" s="26">
        <f>D231+F231+-(H231+J231+L231+N231+P231+R231+T231)</f>
        <v/>
      </c>
      <c r="V231" t="inlineStr">
        <is>
          <t>ELECTRICAL</t>
        </is>
      </c>
    </row>
    <row r="232" ht="15" customHeight="1">
      <c r="A232" s="22">
        <f>A231+1</f>
        <v/>
      </c>
      <c r="B232" s="122" t="inlineStr">
        <is>
          <t>Switch Ceiling Lamp</t>
        </is>
      </c>
      <c r="C232" s="131" t="inlineStr">
        <is>
          <t>PCS</t>
        </is>
      </c>
      <c r="D232" s="26">
        <f>'[1]Week  (4)'!U232</f>
        <v/>
      </c>
      <c r="E232" s="124" t="n"/>
      <c r="F232" s="62" t="n"/>
      <c r="G232" s="25" t="n"/>
      <c r="H232" s="56" t="n"/>
      <c r="I232" s="19" t="n"/>
      <c r="J232" s="64" t="n"/>
      <c r="K232" s="18" t="n"/>
      <c r="L232" s="73" t="n"/>
      <c r="M232" s="73" t="n"/>
      <c r="N232" s="73" t="n"/>
      <c r="O232" s="19" t="n"/>
      <c r="P232" s="18" t="n"/>
      <c r="Q232" s="19" t="inlineStr">
        <is>
          <t>Lombok 17</t>
        </is>
      </c>
      <c r="R232" s="18" t="n">
        <v>1</v>
      </c>
      <c r="S232" s="18" t="n"/>
      <c r="T232" s="18" t="n"/>
      <c r="U232" s="26">
        <f>D232+F232+-(H232+J232+L232+N232+P232+R232+T232)</f>
        <v/>
      </c>
      <c r="V232" t="inlineStr">
        <is>
          <t>ELECTRICAL</t>
        </is>
      </c>
    </row>
    <row r="233" ht="30" customHeight="1">
      <c r="A233" s="22">
        <f>A232+1</f>
        <v/>
      </c>
      <c r="B233" s="30" t="inlineStr">
        <is>
          <t>Tap  for Kitchen Sink Dupon 8938 NC, Hot and Cold</t>
        </is>
      </c>
      <c r="C233" s="46" t="inlineStr">
        <is>
          <t>SET</t>
        </is>
      </c>
      <c r="D233" s="26">
        <f>'[1]Week  (4)'!U233</f>
        <v/>
      </c>
      <c r="E233" s="125" t="n"/>
      <c r="F233" s="55" t="n"/>
      <c r="G233" s="52" t="n"/>
      <c r="H233" s="55" t="n"/>
      <c r="I233" s="71" t="n"/>
      <c r="J233" s="55" t="n"/>
      <c r="K233" s="18" t="n"/>
      <c r="L233" s="73" t="n"/>
      <c r="M233" s="73" t="n"/>
      <c r="N233" s="73" t="n"/>
      <c r="O233" s="19" t="n"/>
      <c r="P233" s="18" t="n"/>
      <c r="Q233" s="18" t="n"/>
      <c r="R233" s="73" t="n"/>
      <c r="S233" s="18" t="n"/>
      <c r="T233" s="18" t="n"/>
      <c r="U233" s="26">
        <f>D233+F233+-(H233+J233+L233+N233+P233+R233+T233)</f>
        <v/>
      </c>
      <c r="V233" t="inlineStr">
        <is>
          <t>VALVE AND PIPE</t>
        </is>
      </c>
    </row>
    <row r="234" ht="30" customHeight="1">
      <c r="A234" s="22">
        <f>A233+1</f>
        <v/>
      </c>
      <c r="B234" s="122" t="inlineStr">
        <is>
          <t>Tap  for Washbasin Dupon, Hot and Cold</t>
        </is>
      </c>
      <c r="C234" s="46" t="inlineStr">
        <is>
          <t>SET</t>
        </is>
      </c>
      <c r="D234" s="26">
        <f>'[1]Week  (4)'!U234</f>
        <v/>
      </c>
      <c r="E234" s="124" t="n"/>
      <c r="F234" s="62" t="n"/>
      <c r="G234" s="25" t="n"/>
      <c r="H234" s="56" t="n"/>
      <c r="I234" s="19" t="n"/>
      <c r="J234" s="64" t="n"/>
      <c r="K234" s="18" t="n"/>
      <c r="L234" s="73" t="n"/>
      <c r="M234" s="73" t="n"/>
      <c r="N234" s="73" t="n"/>
      <c r="O234" s="19" t="n"/>
      <c r="P234" s="18" t="n"/>
      <c r="Q234" s="18" t="n"/>
      <c r="R234" s="73" t="n"/>
      <c r="S234" s="18" t="n"/>
      <c r="T234" s="18" t="n"/>
      <c r="U234" s="26">
        <f>D234+F234+-(H234+J234+L234+N234+P234+R234+T234)</f>
        <v/>
      </c>
      <c r="V234" t="inlineStr">
        <is>
          <t>VALVE AND PIPE</t>
        </is>
      </c>
    </row>
    <row r="235" ht="30" customHeight="1">
      <c r="A235" s="22">
        <f>A234+1</f>
        <v/>
      </c>
      <c r="B235" s="122" t="inlineStr">
        <is>
          <t>Tap  for Washbasin FIORENTINO , Hot and Cold</t>
        </is>
      </c>
      <c r="C235" s="46" t="inlineStr">
        <is>
          <t>SET</t>
        </is>
      </c>
      <c r="D235" s="26">
        <f>'[1]Week  (4)'!U235</f>
        <v/>
      </c>
      <c r="E235" s="125" t="n"/>
      <c r="F235" s="55" t="n"/>
      <c r="G235" s="52" t="n"/>
      <c r="H235" s="55" t="n"/>
      <c r="I235" s="71" t="n"/>
      <c r="J235" s="55" t="n"/>
      <c r="K235" s="18" t="n"/>
      <c r="L235" s="73" t="n"/>
      <c r="M235" s="73" t="n"/>
      <c r="N235" s="73" t="n"/>
      <c r="O235" s="19" t="n"/>
      <c r="P235" s="18" t="n"/>
      <c r="Q235" s="18" t="n"/>
      <c r="R235" s="73" t="n"/>
      <c r="S235" s="18" t="n"/>
      <c r="T235" s="18" t="n"/>
      <c r="U235" s="26">
        <f>D235+F235+-(H235+J235+L235+N235+P235+R235+T235)</f>
        <v/>
      </c>
      <c r="V235" t="inlineStr">
        <is>
          <t>VALVE AND PIPE</t>
        </is>
      </c>
    </row>
    <row r="236" ht="15" customHeight="1">
      <c r="A236" s="22">
        <f>A235+1</f>
        <v/>
      </c>
      <c r="B236" s="122" t="inlineStr">
        <is>
          <t>Tap  Mono Wash Basin</t>
        </is>
      </c>
      <c r="C236" s="46" t="inlineStr">
        <is>
          <t>SET</t>
        </is>
      </c>
      <c r="D236" s="26">
        <f>'[1]Week  (4)'!U236</f>
        <v/>
      </c>
      <c r="E236" s="124" t="n"/>
      <c r="F236" s="62" t="n"/>
      <c r="G236" s="25" t="n"/>
      <c r="H236" s="56" t="n"/>
      <c r="I236" s="19" t="n"/>
      <c r="J236" s="64" t="n"/>
      <c r="K236" s="18" t="n"/>
      <c r="L236" s="73" t="n"/>
      <c r="M236" s="73" t="n"/>
      <c r="N236" s="73" t="n"/>
      <c r="O236" s="19" t="n"/>
      <c r="P236" s="18" t="n"/>
      <c r="Q236" s="18" t="n"/>
      <c r="R236" s="73" t="n"/>
      <c r="S236" s="18" t="n"/>
      <c r="T236" s="18" t="n"/>
      <c r="U236" s="26">
        <f>D236+F236+-(H236+J236+L236+N236+P236+R236+T236)</f>
        <v/>
      </c>
      <c r="V236" t="inlineStr">
        <is>
          <t>VALVE AND PIPE</t>
        </is>
      </c>
    </row>
    <row r="237" ht="28.5" customHeight="1">
      <c r="A237" s="22">
        <f>A236+1</f>
        <v/>
      </c>
      <c r="B237" s="122" t="inlineStr">
        <is>
          <t>Tap for Mono  Shower</t>
        </is>
      </c>
      <c r="C237" s="131" t="inlineStr">
        <is>
          <t>PCS</t>
        </is>
      </c>
      <c r="D237" s="26">
        <f>'[1]Week  (4)'!U237</f>
        <v/>
      </c>
      <c r="E237" s="125" t="n"/>
      <c r="F237" s="55" t="n"/>
      <c r="G237" s="25" t="n"/>
      <c r="H237" s="55" t="n"/>
      <c r="I237" s="71" t="n"/>
      <c r="J237" s="55" t="n"/>
      <c r="K237" s="18" t="n"/>
      <c r="L237" s="73" t="n"/>
      <c r="M237" s="73" t="n"/>
      <c r="N237" s="73" t="n"/>
      <c r="O237" s="19" t="n"/>
      <c r="P237" s="18" t="n"/>
      <c r="Q237" s="18" t="n"/>
      <c r="R237" s="73" t="n"/>
      <c r="S237" s="18" t="n"/>
      <c r="T237" s="18" t="n"/>
      <c r="U237" s="26">
        <f>D237+F237+-(H237+J237+L237+N237+P237+R237+T237)</f>
        <v/>
      </c>
      <c r="V237" t="inlineStr">
        <is>
          <t>VALVE AND PIPE</t>
        </is>
      </c>
    </row>
    <row r="238" ht="30" customHeight="1">
      <c r="A238" s="22">
        <f>A237+1</f>
        <v/>
      </c>
      <c r="B238" s="122" t="inlineStr">
        <is>
          <t xml:space="preserve">Tap for Shower, Dupon  Hot &amp; Clod </t>
        </is>
      </c>
      <c r="C238" s="131" t="inlineStr">
        <is>
          <t>SET</t>
        </is>
      </c>
      <c r="D238" s="26">
        <f>'[1]Week  (4)'!U238</f>
        <v/>
      </c>
      <c r="E238" s="124" t="n"/>
      <c r="F238" s="62" t="n"/>
      <c r="G238" s="25" t="n"/>
      <c r="H238" s="56" t="n"/>
      <c r="I238" s="19" t="n"/>
      <c r="J238" s="64" t="n"/>
      <c r="K238" s="18" t="n"/>
      <c r="L238" s="73" t="n"/>
      <c r="M238" s="73" t="n"/>
      <c r="N238" s="73" t="n"/>
      <c r="O238" s="19" t="n"/>
      <c r="P238" s="18" t="n"/>
      <c r="Q238" s="18" t="n"/>
      <c r="R238" s="73" t="n"/>
      <c r="S238" s="18" t="n"/>
      <c r="T238" s="18" t="n"/>
      <c r="U238" s="26">
        <f>D238+F238+-(H238+J238+L238+N238+P238+R238+T238)</f>
        <v/>
      </c>
      <c r="V238" t="inlineStr">
        <is>
          <t>VALVE AND PIPE</t>
        </is>
      </c>
    </row>
    <row r="239" ht="30" customHeight="1">
      <c r="A239" s="22">
        <f>A238+1</f>
        <v/>
      </c>
      <c r="B239" s="122" t="inlineStr">
        <is>
          <t xml:space="preserve">Tap for Shower, WASER  Hot &amp; Clod </t>
        </is>
      </c>
      <c r="C239" s="131" t="inlineStr">
        <is>
          <t>SET</t>
        </is>
      </c>
      <c r="D239" s="26">
        <f>'[1]Week  (4)'!U239</f>
        <v/>
      </c>
      <c r="E239" s="125" t="n"/>
      <c r="F239" s="55" t="n"/>
      <c r="G239" s="52" t="n"/>
      <c r="H239" s="55" t="n"/>
      <c r="I239" s="71" t="n"/>
      <c r="J239" s="55" t="n"/>
      <c r="K239" s="18" t="n"/>
      <c r="L239" s="73" t="n"/>
      <c r="M239" s="73" t="n"/>
      <c r="N239" s="73" t="n"/>
      <c r="O239" s="19" t="n"/>
      <c r="P239" s="18" t="n"/>
      <c r="Q239" s="18" t="n"/>
      <c r="R239" s="73" t="n"/>
      <c r="S239" s="18" t="n"/>
      <c r="T239" s="18" t="n"/>
      <c r="U239" s="26">
        <f>D239+F239+-(H239+J239+L239+N239+P239+R239+T239)</f>
        <v/>
      </c>
      <c r="V239" t="inlineStr">
        <is>
          <t>VALVE AND PIPE</t>
        </is>
      </c>
    </row>
    <row r="240" ht="15" customHeight="1">
      <c r="A240" s="22">
        <f>A239+1</f>
        <v/>
      </c>
      <c r="B240" s="43" t="inlineStr">
        <is>
          <t>Tap of Bath Tub, Dupon</t>
        </is>
      </c>
      <c r="C240" s="131" t="inlineStr">
        <is>
          <t>SET</t>
        </is>
      </c>
      <c r="D240" s="26">
        <f>'[1]Week  (4)'!U240</f>
        <v/>
      </c>
      <c r="E240" s="124" t="n"/>
      <c r="F240" s="62" t="n"/>
      <c r="G240" s="25" t="n"/>
      <c r="H240" s="56" t="n"/>
      <c r="I240" s="19" t="n"/>
      <c r="J240" s="64" t="n"/>
      <c r="K240" s="18" t="n"/>
      <c r="L240" s="73" t="n"/>
      <c r="M240" s="73" t="n"/>
      <c r="N240" s="73" t="n"/>
      <c r="O240" s="19" t="n"/>
      <c r="P240" s="18" t="n"/>
      <c r="Q240" s="18" t="n"/>
      <c r="R240" s="73" t="n"/>
      <c r="S240" s="18" t="n"/>
      <c r="T240" s="18" t="n"/>
      <c r="U240" s="26">
        <f>D240+F240+-(H240+J240+L240+N240+P240+R240+T240)</f>
        <v/>
      </c>
      <c r="V240" t="inlineStr">
        <is>
          <t>VALVE AND PIPE</t>
        </is>
      </c>
    </row>
    <row r="241" ht="15" customHeight="1">
      <c r="A241" s="22">
        <f>A240+1</f>
        <v/>
      </c>
      <c r="B241" s="43" t="inlineStr">
        <is>
          <t xml:space="preserve">Tap of Bath Tub, WASSER </t>
        </is>
      </c>
      <c r="C241" s="131" t="inlineStr">
        <is>
          <t>SET</t>
        </is>
      </c>
      <c r="D241" s="26">
        <f>'[1]Week  (4)'!U241</f>
        <v/>
      </c>
      <c r="E241" s="125" t="n"/>
      <c r="F241" s="55" t="n"/>
      <c r="G241" s="52" t="n"/>
      <c r="H241" s="55" t="n"/>
      <c r="I241" s="71" t="n"/>
      <c r="J241" s="55" t="n"/>
      <c r="K241" s="18" t="n"/>
      <c r="L241" s="73" t="n"/>
      <c r="M241" s="73" t="n"/>
      <c r="N241" s="73" t="n"/>
      <c r="O241" s="19" t="n"/>
      <c r="P241" s="18" t="n"/>
      <c r="Q241" s="18" t="n"/>
      <c r="R241" s="73" t="n"/>
      <c r="S241" s="18" t="n"/>
      <c r="T241" s="18" t="n"/>
      <c r="U241" s="26">
        <f>D241+F241+-(H241+J241+L241+N241+P241+R241+T241)</f>
        <v/>
      </c>
      <c r="V241" t="inlineStr">
        <is>
          <t>VALVE AND PIPE</t>
        </is>
      </c>
    </row>
    <row r="242" ht="15" customHeight="1">
      <c r="A242" s="22">
        <f>A241+1</f>
        <v/>
      </c>
      <c r="B242" s="122" t="inlineStr">
        <is>
          <t>Tap of Water Dispenser</t>
        </is>
      </c>
      <c r="C242" s="131" t="inlineStr">
        <is>
          <t>PCS</t>
        </is>
      </c>
      <c r="D242" s="26">
        <f>'[1]Week  (4)'!U242</f>
        <v/>
      </c>
      <c r="E242" s="124" t="n"/>
      <c r="F242" s="62" t="n"/>
      <c r="G242" s="25" t="n"/>
      <c r="H242" s="56" t="n"/>
      <c r="I242" s="19" t="n"/>
      <c r="J242" s="64" t="n"/>
      <c r="K242" s="18" t="n"/>
      <c r="L242" s="73" t="n"/>
      <c r="M242" s="73" t="n"/>
      <c r="N242" s="73" t="n"/>
      <c r="O242" s="19" t="n"/>
      <c r="P242" s="18" t="n"/>
      <c r="Q242" s="18" t="n"/>
      <c r="R242" s="73" t="n"/>
      <c r="S242" s="18" t="n"/>
      <c r="T242" s="18" t="n"/>
      <c r="U242" s="26">
        <f>D242+F242+-(H242+J242+L242+N242+P242+R242+T242)</f>
        <v/>
      </c>
      <c r="V242" t="inlineStr">
        <is>
          <t>CONSUMABLE</t>
        </is>
      </c>
    </row>
    <row r="243" ht="30" customHeight="1">
      <c r="A243" s="22">
        <f>A242+1</f>
        <v/>
      </c>
      <c r="B243" s="122" t="inlineStr">
        <is>
          <t>Tap size 0.5", ONDA ( KRAN ONDA )</t>
        </is>
      </c>
      <c r="C243" s="131" t="inlineStr">
        <is>
          <t>PCS</t>
        </is>
      </c>
      <c r="D243" s="26">
        <f>'[1]Week  (4)'!U243</f>
        <v/>
      </c>
      <c r="E243" s="125" t="n"/>
      <c r="F243" s="55" t="n"/>
      <c r="G243" s="125" t="n"/>
      <c r="H243" s="55" t="n"/>
      <c r="I243" s="71" t="n"/>
      <c r="J243" s="55" t="n"/>
      <c r="K243" s="18" t="n"/>
      <c r="L243" s="73" t="n"/>
      <c r="M243" s="73" t="n"/>
      <c r="N243" s="73" t="n"/>
      <c r="O243" s="19" t="n"/>
      <c r="P243" s="18" t="n"/>
      <c r="Q243" s="18" t="n"/>
      <c r="R243" s="73" t="n"/>
      <c r="S243" s="18" t="n"/>
      <c r="T243" s="18" t="n"/>
      <c r="U243" s="26">
        <f>D243+F243+-(H243+J243+L243+N243+P243+R243+T243)</f>
        <v/>
      </c>
      <c r="V243" t="inlineStr">
        <is>
          <t>VALVE AND PIPE</t>
        </is>
      </c>
    </row>
    <row r="244">
      <c r="A244" s="22">
        <f>A243+1</f>
        <v/>
      </c>
      <c r="B244" s="79" t="inlineStr">
        <is>
          <t>Tee Besi 1/2"</t>
        </is>
      </c>
      <c r="C244" s="18" t="inlineStr">
        <is>
          <t>Pcs</t>
        </is>
      </c>
      <c r="D244" s="26">
        <f>'[1]Week  (4)'!U244</f>
        <v/>
      </c>
      <c r="E244" s="124" t="n"/>
      <c r="F244" s="62" t="n"/>
      <c r="G244" s="25" t="n"/>
      <c r="H244" s="56" t="n"/>
      <c r="I244" s="19" t="n"/>
      <c r="J244" s="64" t="n"/>
      <c r="K244" s="18" t="n"/>
      <c r="L244" s="73" t="n"/>
      <c r="M244" s="73" t="n"/>
      <c r="N244" s="73" t="n"/>
      <c r="O244" s="19" t="n"/>
      <c r="P244" s="18" t="n"/>
      <c r="Q244" s="18" t="n"/>
      <c r="R244" s="73" t="n"/>
      <c r="S244" s="18" t="n"/>
      <c r="T244" s="18" t="n"/>
      <c r="U244" s="26">
        <f>D244+F244+-(H244+J244+L244+N244+P244+R244+T244)</f>
        <v/>
      </c>
      <c r="V244" t="inlineStr">
        <is>
          <t>VALVE AND PIPE</t>
        </is>
      </c>
    </row>
    <row r="245" ht="15" customHeight="1">
      <c r="A245" s="22">
        <f>A244+1</f>
        <v/>
      </c>
      <c r="B245" s="122" t="inlineStr">
        <is>
          <t>Tee Galvanis</t>
        </is>
      </c>
      <c r="C245" s="131" t="inlineStr">
        <is>
          <t>PCS</t>
        </is>
      </c>
      <c r="D245" s="26">
        <f>'[1]Week  (4)'!U245</f>
        <v/>
      </c>
      <c r="E245" s="125" t="n"/>
      <c r="F245" s="55" t="n"/>
      <c r="G245" s="52" t="n"/>
      <c r="H245" s="55" t="n"/>
      <c r="I245" s="71" t="n"/>
      <c r="J245" s="55" t="n"/>
      <c r="K245" s="18" t="n"/>
      <c r="L245" s="73" t="n"/>
      <c r="M245" s="73" t="n"/>
      <c r="N245" s="73" t="n"/>
      <c r="O245" s="19" t="n"/>
      <c r="P245" s="18" t="n"/>
      <c r="Q245" s="18" t="n"/>
      <c r="R245" s="73" t="n"/>
      <c r="S245" s="18" t="n"/>
      <c r="T245" s="18" t="n"/>
      <c r="U245" s="26">
        <f>D245+F245+-(H245+J245+L245+N245+P245+R245+T245)</f>
        <v/>
      </c>
      <c r="V245" t="inlineStr">
        <is>
          <t>VALVE AND PIPE</t>
        </is>
      </c>
    </row>
    <row r="246">
      <c r="A246" s="22">
        <f>A245+1</f>
        <v/>
      </c>
      <c r="B246" s="79" t="inlineStr">
        <is>
          <t>TEE PVC AW  1"</t>
        </is>
      </c>
      <c r="C246" s="18" t="inlineStr">
        <is>
          <t>Pcs</t>
        </is>
      </c>
      <c r="D246" s="26">
        <f>'[1]Week  (4)'!U246</f>
        <v/>
      </c>
      <c r="E246" s="124" t="n"/>
      <c r="F246" s="62" t="n"/>
      <c r="G246" s="25" t="n"/>
      <c r="H246" s="56" t="n"/>
      <c r="I246" s="19" t="n"/>
      <c r="J246" s="64" t="n"/>
      <c r="K246" s="18" t="n"/>
      <c r="L246" s="73" t="n"/>
      <c r="M246" s="73" t="n"/>
      <c r="N246" s="73" t="n"/>
      <c r="O246" s="19" t="n"/>
      <c r="P246" s="18" t="n"/>
      <c r="Q246" s="18" t="n"/>
      <c r="R246" s="73" t="n"/>
      <c r="S246" s="18" t="n"/>
      <c r="T246" s="18" t="n"/>
      <c r="U246" s="26">
        <f>D246+F246+-(H246+J246+L246+N246+P246+R246+T246)</f>
        <v/>
      </c>
      <c r="V246" t="inlineStr">
        <is>
          <t>VALVE AND PIPE</t>
        </is>
      </c>
    </row>
    <row r="247">
      <c r="A247" s="22">
        <f>A246+1</f>
        <v/>
      </c>
      <c r="B247" s="79" t="inlineStr">
        <is>
          <t>TEE PVC AW  3/4"</t>
        </is>
      </c>
      <c r="C247" s="18" t="inlineStr">
        <is>
          <t>Pcs</t>
        </is>
      </c>
      <c r="D247" s="26">
        <f>'[1]Week  (4)'!U247</f>
        <v/>
      </c>
      <c r="E247" s="124" t="n"/>
      <c r="F247" s="55" t="n"/>
      <c r="G247" s="52" t="n"/>
      <c r="H247" s="55" t="n"/>
      <c r="I247" s="71" t="n"/>
      <c r="J247" s="55" t="n"/>
      <c r="K247" s="18" t="n"/>
      <c r="L247" s="73" t="n"/>
      <c r="M247" s="73" t="n"/>
      <c r="N247" s="73" t="n"/>
      <c r="O247" s="19" t="n"/>
      <c r="P247" s="18" t="n"/>
      <c r="Q247" s="18" t="n"/>
      <c r="R247" s="73" t="n"/>
      <c r="S247" s="18" t="n"/>
      <c r="T247" s="18" t="n"/>
      <c r="U247" s="26">
        <f>D247+F247+-(H247+J247+L247+N247+P247+R247+T247)</f>
        <v/>
      </c>
      <c r="V247" t="inlineStr">
        <is>
          <t>VALVE AND PIPE</t>
        </is>
      </c>
    </row>
    <row r="248">
      <c r="A248" s="22">
        <f>A247+1</f>
        <v/>
      </c>
      <c r="B248" s="79" t="inlineStr">
        <is>
          <t>TEE PVC AW 1/2"</t>
        </is>
      </c>
      <c r="C248" s="18" t="inlineStr">
        <is>
          <t>Pcs</t>
        </is>
      </c>
      <c r="D248" s="26">
        <f>'[1]Week  (4)'!U248</f>
        <v/>
      </c>
      <c r="E248" s="124" t="n"/>
      <c r="F248" s="62" t="n"/>
      <c r="G248" s="25" t="n"/>
      <c r="H248" s="56" t="n"/>
      <c r="I248" s="19" t="n"/>
      <c r="J248" s="64" t="n"/>
      <c r="K248" s="18" t="n"/>
      <c r="L248" s="73" t="n"/>
      <c r="M248" s="73" t="n"/>
      <c r="N248" s="73" t="n"/>
      <c r="O248" s="19" t="n"/>
      <c r="P248" s="18" t="n"/>
      <c r="Q248" s="18" t="n"/>
      <c r="R248" s="73" t="n"/>
      <c r="S248" s="18" t="n"/>
      <c r="T248" s="18" t="n"/>
      <c r="U248" s="26">
        <f>D248+F248+-(H248+J248+L248+N248+P248+R248+T248)</f>
        <v/>
      </c>
      <c r="V248" t="inlineStr">
        <is>
          <t>VALVE AND PIPE</t>
        </is>
      </c>
    </row>
    <row r="249">
      <c r="A249" s="22">
        <f>A248+1</f>
        <v/>
      </c>
      <c r="B249" s="79" t="inlineStr">
        <is>
          <t>TEE PVC AW 2"</t>
        </is>
      </c>
      <c r="C249" s="18" t="inlineStr">
        <is>
          <t>Pcs</t>
        </is>
      </c>
      <c r="D249" s="26">
        <f>'[1]Week  (4)'!U249</f>
        <v/>
      </c>
      <c r="E249" s="125" t="n"/>
      <c r="F249" s="55" t="n"/>
      <c r="G249" s="52" t="n"/>
      <c r="H249" s="55" t="n"/>
      <c r="I249" s="71" t="n"/>
      <c r="J249" s="55" t="n"/>
      <c r="K249" s="18" t="n"/>
      <c r="L249" s="73" t="n"/>
      <c r="M249" s="73" t="n"/>
      <c r="N249" s="73" t="n"/>
      <c r="O249" s="19" t="n"/>
      <c r="P249" s="18" t="n"/>
      <c r="Q249" s="18" t="n"/>
      <c r="R249" s="73" t="n"/>
      <c r="S249" s="18" t="n"/>
      <c r="T249" s="18" t="n"/>
      <c r="U249" s="26">
        <f>D249+F249+-(H249+J249+L249+N249+P249+R249+T249)</f>
        <v/>
      </c>
      <c r="V249" t="inlineStr">
        <is>
          <t>VALVE AND PIPE</t>
        </is>
      </c>
    </row>
    <row r="250" ht="15" customHeight="1">
      <c r="A250" s="22">
        <f>A249+1</f>
        <v/>
      </c>
      <c r="B250" s="30" t="inlineStr">
        <is>
          <t>TERMINAL 4 PAIR</t>
        </is>
      </c>
      <c r="C250" s="46" t="inlineStr">
        <is>
          <t>PCS</t>
        </is>
      </c>
      <c r="D250" s="26">
        <f>'[1]Week  (4)'!U250</f>
        <v/>
      </c>
      <c r="E250" s="124" t="n"/>
      <c r="F250" s="62" t="n"/>
      <c r="G250" s="25" t="n"/>
      <c r="H250" s="56" t="n"/>
      <c r="I250" s="19" t="n"/>
      <c r="J250" s="64" t="n"/>
      <c r="K250" s="18" t="n"/>
      <c r="L250" s="73" t="n"/>
      <c r="M250" s="73" t="n"/>
      <c r="N250" s="73" t="n"/>
      <c r="O250" s="19" t="n"/>
      <c r="P250" s="18" t="n"/>
      <c r="Q250" s="18" t="n"/>
      <c r="R250" s="73" t="n"/>
      <c r="S250" s="18" t="n"/>
      <c r="T250" s="18" t="n"/>
      <c r="U250" s="26">
        <f>D250+F250+-(H250+J250+L250+N250+P250+R250+T250)</f>
        <v/>
      </c>
      <c r="V250" t="inlineStr">
        <is>
          <t>ELECTRICAL</t>
        </is>
      </c>
    </row>
    <row r="251" ht="15" customHeight="1">
      <c r="A251" s="22">
        <f>A250+1</f>
        <v/>
      </c>
      <c r="B251" s="30" t="inlineStr">
        <is>
          <t>TEMPAT HANDUK</t>
        </is>
      </c>
      <c r="C251" s="46" t="inlineStr">
        <is>
          <t>SET</t>
        </is>
      </c>
      <c r="D251" s="26">
        <f>'[1]Week  (4)'!U251</f>
        <v/>
      </c>
      <c r="E251" s="125" t="n"/>
      <c r="F251" s="55" t="n"/>
      <c r="G251" s="52" t="n"/>
      <c r="H251" s="55" t="n"/>
      <c r="I251" s="71" t="n"/>
      <c r="J251" s="55" t="n"/>
      <c r="K251" s="18" t="n"/>
      <c r="L251" s="73" t="n"/>
      <c r="M251" s="73" t="n"/>
      <c r="N251" s="73" t="n"/>
      <c r="O251" s="19" t="n"/>
      <c r="P251" s="18" t="n"/>
      <c r="Q251" s="18" t="n"/>
      <c r="R251" s="73" t="n"/>
      <c r="S251" s="18" t="n"/>
      <c r="T251" s="18" t="n"/>
      <c r="U251" s="26">
        <f>D251+F251+-(H251+J251+L251+N251+P251+R251+T251)</f>
        <v/>
      </c>
      <c r="V251" t="inlineStr">
        <is>
          <t>CONSUMABLE</t>
        </is>
      </c>
    </row>
    <row r="252" ht="60" customHeight="1">
      <c r="A252" s="22">
        <f>A251+1</f>
        <v/>
      </c>
      <c r="B252" s="43" t="inlineStr">
        <is>
          <t>Thinner A Special</t>
        </is>
      </c>
      <c r="C252" s="46" t="inlineStr">
        <is>
          <t>LTR</t>
        </is>
      </c>
      <c r="D252" s="26">
        <f>'[1]Week  (4)'!U252</f>
        <v/>
      </c>
      <c r="E252" s="129" t="n"/>
      <c r="F252" s="62" t="n"/>
      <c r="G252" s="19" t="n"/>
      <c r="H252" s="18" t="n"/>
      <c r="I252" s="19" t="n"/>
      <c r="J252" s="18" t="n"/>
      <c r="K252" s="19" t="n"/>
      <c r="L252" s="18" t="n"/>
      <c r="M252" s="19" t="n"/>
      <c r="N252" s="18" t="n"/>
      <c r="O252" s="19" t="n"/>
      <c r="P252" s="70" t="n"/>
      <c r="Q252" s="19" t="n"/>
      <c r="R252" s="70" t="n"/>
      <c r="S252" s="18" t="n"/>
      <c r="T252" s="18" t="n"/>
      <c r="U252" s="26">
        <f>D252+F252+-(H252+J252+L252+N252+P252+R252+T252)</f>
        <v/>
      </c>
      <c r="V252" t="inlineStr">
        <is>
          <t>CIVIL</t>
        </is>
      </c>
    </row>
    <row r="253" ht="15" customHeight="1">
      <c r="A253" s="22">
        <f>A252+1</f>
        <v/>
      </c>
      <c r="B253" s="122" t="inlineStr">
        <is>
          <t>TL Lamp 18 W, Ballas Philips</t>
        </is>
      </c>
      <c r="C253" s="131" t="inlineStr">
        <is>
          <t>PCS</t>
        </is>
      </c>
      <c r="D253" s="26">
        <f>'[1]Week  (4)'!U253</f>
        <v/>
      </c>
      <c r="E253" s="125" t="n"/>
      <c r="F253" s="55" t="n"/>
      <c r="G253" s="52" t="n"/>
      <c r="H253" s="55" t="n"/>
      <c r="I253" s="71" t="n"/>
      <c r="J253" s="55" t="n"/>
      <c r="K253" s="18" t="n"/>
      <c r="L253" s="73" t="n"/>
      <c r="M253" s="73" t="n"/>
      <c r="N253" s="73" t="n"/>
      <c r="O253" s="19" t="n"/>
      <c r="P253" s="18" t="n"/>
      <c r="Q253" s="18" t="n"/>
      <c r="R253" s="73" t="n"/>
      <c r="S253" s="18" t="n"/>
      <c r="T253" s="18" t="n"/>
      <c r="U253" s="26">
        <f>D253+F253+-(H253+J253+L253+N253+P253+R253+T253)</f>
        <v/>
      </c>
      <c r="V253" t="inlineStr">
        <is>
          <t>LAMP</t>
        </is>
      </c>
    </row>
    <row r="254" ht="15" customHeight="1">
      <c r="A254" s="22">
        <f>A253+1</f>
        <v/>
      </c>
      <c r="B254" s="122" t="inlineStr">
        <is>
          <t>TL Lamp 18 W, Philips</t>
        </is>
      </c>
      <c r="C254" s="131" t="inlineStr">
        <is>
          <t>PCS</t>
        </is>
      </c>
      <c r="D254" s="26">
        <f>'[1]Week  (4)'!U254</f>
        <v/>
      </c>
      <c r="E254" s="124" t="n"/>
      <c r="F254" s="62" t="n"/>
      <c r="G254" s="25" t="n"/>
      <c r="H254" s="56" t="n"/>
      <c r="I254" s="19" t="n"/>
      <c r="J254" s="64" t="n"/>
      <c r="K254" s="18" t="n"/>
      <c r="L254" s="73" t="n"/>
      <c r="M254" s="73" t="n"/>
      <c r="N254" s="73" t="n"/>
      <c r="O254" s="19" t="n"/>
      <c r="P254" s="18" t="n"/>
      <c r="Q254" s="18" t="n"/>
      <c r="R254" s="73" t="n"/>
      <c r="S254" s="18" t="n"/>
      <c r="T254" s="18" t="n"/>
      <c r="U254" s="26">
        <f>D254+F254+-(H254+J254+L254+N254+P254+R254+T254)</f>
        <v/>
      </c>
      <c r="V254" t="inlineStr">
        <is>
          <t>LAMP</t>
        </is>
      </c>
    </row>
    <row r="255" ht="15" customHeight="1">
      <c r="A255" s="22">
        <f>A254+1</f>
        <v/>
      </c>
      <c r="B255" s="122" t="inlineStr">
        <is>
          <t>TL Lamp 36 W, Ballas Philips</t>
        </is>
      </c>
      <c r="C255" s="131" t="inlineStr">
        <is>
          <t>PCS</t>
        </is>
      </c>
      <c r="D255" s="26">
        <f>'[1]Week  (4)'!U255</f>
        <v/>
      </c>
      <c r="E255" s="125" t="n"/>
      <c r="F255" s="55" t="n"/>
      <c r="G255" s="52" t="n"/>
      <c r="H255" s="55" t="n"/>
      <c r="I255" s="71" t="n"/>
      <c r="J255" s="55" t="n"/>
      <c r="K255" s="18" t="n"/>
      <c r="L255" s="73" t="n"/>
      <c r="M255" s="73" t="n"/>
      <c r="N255" s="73" t="n"/>
      <c r="O255" s="19" t="n"/>
      <c r="P255" s="18" t="n"/>
      <c r="Q255" s="18" t="n"/>
      <c r="R255" s="73" t="n"/>
      <c r="S255" s="18" t="n"/>
      <c r="T255" s="18" t="n"/>
      <c r="U255" s="26">
        <f>D255+F255+-(H255+J255+L255+N255+P255+R255+T255)</f>
        <v/>
      </c>
      <c r="V255" t="inlineStr">
        <is>
          <t>LAMP</t>
        </is>
      </c>
    </row>
    <row r="256" ht="15" customHeight="1">
      <c r="A256" s="22">
        <f>A255+1</f>
        <v/>
      </c>
      <c r="B256" s="30" t="inlineStr">
        <is>
          <t>TL Lamp 36/40 W, Philips</t>
        </is>
      </c>
      <c r="C256" s="47" t="inlineStr">
        <is>
          <t>PCS</t>
        </is>
      </c>
      <c r="D256" s="26">
        <f>'[1]Week  (4)'!U256</f>
        <v/>
      </c>
      <c r="E256" s="124" t="n"/>
      <c r="F256" s="62" t="n"/>
      <c r="G256" s="25" t="n"/>
      <c r="H256" s="56" t="n"/>
      <c r="I256" s="19" t="n"/>
      <c r="J256" s="64" t="n"/>
      <c r="K256" s="18" t="n"/>
      <c r="L256" s="73" t="n"/>
      <c r="M256" s="73" t="n"/>
      <c r="N256" s="73" t="n"/>
      <c r="O256" s="19" t="n"/>
      <c r="P256" s="18" t="n"/>
      <c r="Q256" s="18" t="n"/>
      <c r="R256" s="73" t="n"/>
      <c r="S256" s="18" t="n"/>
      <c r="T256" s="18" t="n"/>
      <c r="U256" s="26">
        <f>D256+F256+-(H256+J256+L256+N256+P256+R256+T256)</f>
        <v/>
      </c>
      <c r="V256" t="inlineStr">
        <is>
          <t>LAMP</t>
        </is>
      </c>
    </row>
    <row r="257" ht="15" customHeight="1">
      <c r="A257" s="22">
        <f>A256+1</f>
        <v/>
      </c>
      <c r="B257" s="122" t="inlineStr">
        <is>
          <t>TL RING 22 W, Philips</t>
        </is>
      </c>
      <c r="C257" s="47" t="inlineStr">
        <is>
          <t>PCS</t>
        </is>
      </c>
      <c r="D257" s="26">
        <f>'[1]Week  (4)'!U257</f>
        <v/>
      </c>
      <c r="E257" s="125" t="n"/>
      <c r="F257" s="55" t="n"/>
      <c r="G257" s="52" t="n"/>
      <c r="H257" s="55" t="n"/>
      <c r="I257" s="71" t="n"/>
      <c r="J257" s="55" t="n"/>
      <c r="K257" s="18" t="n"/>
      <c r="L257" s="73" t="n"/>
      <c r="M257" s="73" t="n"/>
      <c r="N257" s="73" t="n"/>
      <c r="O257" s="19" t="n"/>
      <c r="P257" s="18" t="n"/>
      <c r="Q257" s="18" t="n"/>
      <c r="R257" s="73" t="n"/>
      <c r="S257" s="18" t="n"/>
      <c r="T257" s="18" t="n"/>
      <c r="U257" s="26">
        <f>D257+F257+-(H257+J257+L257+N257+P257+R257+T257)</f>
        <v/>
      </c>
      <c r="V257" t="inlineStr">
        <is>
          <t>LAMP</t>
        </is>
      </c>
    </row>
    <row r="258" ht="15" customHeight="1">
      <c r="A258" s="22">
        <f>A257+1</f>
        <v/>
      </c>
      <c r="B258" s="122" t="inlineStr">
        <is>
          <t>TL RING 32 W, Philips</t>
        </is>
      </c>
      <c r="C258" s="132" t="inlineStr">
        <is>
          <t>PCS</t>
        </is>
      </c>
      <c r="D258" s="26">
        <f>'[1]Week  (4)'!U258</f>
        <v/>
      </c>
      <c r="E258" s="124" t="n"/>
      <c r="F258" s="62" t="n"/>
      <c r="G258" s="25" t="n"/>
      <c r="H258" s="56" t="n"/>
      <c r="I258" s="19" t="n"/>
      <c r="J258" s="64" t="n"/>
      <c r="K258" s="18" t="n"/>
      <c r="L258" s="73" t="n"/>
      <c r="M258" s="73" t="n"/>
      <c r="N258" s="73" t="n"/>
      <c r="O258" s="19" t="n"/>
      <c r="P258" s="18" t="n"/>
      <c r="Q258" s="18" t="n"/>
      <c r="R258" s="73" t="n"/>
      <c r="S258" s="18" t="n"/>
      <c r="T258" s="18" t="n"/>
      <c r="U258" s="26">
        <f>D258+F258+-(H258+J258+L258+N258+P258+R258+T258)</f>
        <v/>
      </c>
      <c r="V258" t="inlineStr">
        <is>
          <t>LAMP</t>
        </is>
      </c>
    </row>
    <row r="259" ht="25.5" customHeight="1">
      <c r="A259" s="22">
        <f>A258+1</f>
        <v/>
      </c>
      <c r="B259" s="122" t="inlineStr">
        <is>
          <t>Toilet Shower, San-Ei</t>
        </is>
      </c>
      <c r="C259" s="132" t="inlineStr">
        <is>
          <t>SET</t>
        </is>
      </c>
      <c r="D259" s="26">
        <f>'[1]Week  (4)'!U259</f>
        <v/>
      </c>
      <c r="E259" s="130" t="n"/>
      <c r="F259" s="55" t="n"/>
      <c r="G259" s="52" t="n"/>
      <c r="H259" s="55" t="n"/>
      <c r="I259" s="71" t="n"/>
      <c r="J259" s="55" t="n"/>
      <c r="K259" s="18" t="n"/>
      <c r="L259" s="73" t="n"/>
      <c r="M259" s="73" t="inlineStr">
        <is>
          <t>TK TM &amp; Bali 22</t>
        </is>
      </c>
      <c r="N259" s="73">
        <f>1+1</f>
        <v/>
      </c>
      <c r="O259" s="19" t="n"/>
      <c r="P259" s="18" t="n"/>
      <c r="Q259" s="18" t="n"/>
      <c r="R259" s="73" t="n"/>
      <c r="S259" s="18" t="n"/>
      <c r="T259" s="18" t="n"/>
      <c r="U259" s="26">
        <f>D259+F259+-(H259+J259+L259+N259+P259+R259+T259)</f>
        <v/>
      </c>
      <c r="V259" t="inlineStr">
        <is>
          <t>-</t>
        </is>
      </c>
    </row>
    <row r="260" ht="15" customHeight="1">
      <c r="A260" s="22">
        <f>A259+1</f>
        <v/>
      </c>
      <c r="B260" s="122" t="inlineStr">
        <is>
          <t>TL  LED 16 W, Philips</t>
        </is>
      </c>
      <c r="C260" s="132" t="inlineStr">
        <is>
          <t>PCS</t>
        </is>
      </c>
      <c r="D260" s="26">
        <f>'[1]Week  (4)'!U260</f>
        <v/>
      </c>
      <c r="E260" s="124" t="n"/>
      <c r="F260" s="62" t="n"/>
      <c r="G260" s="68" t="n"/>
      <c r="H260" s="56" t="n"/>
      <c r="I260" s="19" t="n"/>
      <c r="J260" s="64" t="n"/>
      <c r="K260" s="18" t="n"/>
      <c r="L260" s="73" t="n"/>
      <c r="M260" s="73" t="n"/>
      <c r="N260" s="73" t="n"/>
      <c r="O260" s="19" t="n"/>
      <c r="P260" s="18" t="n"/>
      <c r="Q260" s="19" t="n"/>
      <c r="R260" s="18" t="n"/>
      <c r="S260" s="18" t="n"/>
      <c r="T260" s="18" t="n"/>
      <c r="U260" s="26">
        <f>D260+F260+-(H260+J260+L260+N260+P260+R260+T260)</f>
        <v/>
      </c>
      <c r="V260" t="inlineStr">
        <is>
          <t>LAMP</t>
        </is>
      </c>
    </row>
    <row r="261" ht="15" customHeight="1">
      <c r="A261" s="22">
        <f>A260+1</f>
        <v/>
      </c>
      <c r="B261" s="122" t="inlineStr">
        <is>
          <t>TL  LED 8 W, Philips</t>
        </is>
      </c>
      <c r="C261" s="132" t="inlineStr">
        <is>
          <t>PCS</t>
        </is>
      </c>
      <c r="D261" s="26">
        <f>'[1]Week  (4)'!U261</f>
        <v/>
      </c>
      <c r="E261" s="125" t="n"/>
      <c r="F261" s="55" t="n"/>
      <c r="G261" s="52" t="n"/>
      <c r="H261" s="55" t="n"/>
      <c r="I261" s="71" t="n"/>
      <c r="J261" s="55" t="n"/>
      <c r="K261" s="18" t="n"/>
      <c r="L261" s="73" t="n"/>
      <c r="M261" s="73" t="n"/>
      <c r="N261" s="73" t="n"/>
      <c r="O261" s="19" t="n"/>
      <c r="P261" s="18" t="n"/>
      <c r="Q261" s="18" t="n"/>
      <c r="R261" s="73" t="n"/>
      <c r="S261" s="18" t="n"/>
      <c r="T261" s="18" t="n"/>
      <c r="U261" s="26">
        <f>D261+F261+-(H261+J261+L261+N261+P261+R261+T261)</f>
        <v/>
      </c>
      <c r="V261" t="inlineStr">
        <is>
          <t>LAMP</t>
        </is>
      </c>
    </row>
    <row r="262" ht="15" customHeight="1">
      <c r="A262" s="22">
        <f>A261+1</f>
        <v/>
      </c>
      <c r="B262" s="122" t="inlineStr">
        <is>
          <t>Tornado Lamp 20 W, Philips</t>
        </is>
      </c>
      <c r="C262" s="132" t="inlineStr">
        <is>
          <t>PCS</t>
        </is>
      </c>
      <c r="D262" s="26">
        <f>'[1]Week  (4)'!U262</f>
        <v/>
      </c>
      <c r="E262" s="124" t="n"/>
      <c r="F262" s="62" t="n"/>
      <c r="G262" s="25" t="n"/>
      <c r="H262" s="56" t="n"/>
      <c r="I262" s="19" t="n"/>
      <c r="J262" s="64" t="n"/>
      <c r="K262" s="18" t="n"/>
      <c r="L262" s="73" t="n"/>
      <c r="M262" s="73" t="n"/>
      <c r="N262" s="73" t="n"/>
      <c r="O262" s="19" t="n"/>
      <c r="P262" s="18" t="n"/>
      <c r="Q262" s="18" t="n"/>
      <c r="R262" s="73" t="n"/>
      <c r="S262" s="18" t="n"/>
      <c r="T262" s="18" t="n"/>
      <c r="U262" s="26">
        <f>D262+F262+-(H262+J262+L262+N262+P262+R262+T262)</f>
        <v/>
      </c>
      <c r="V262" t="inlineStr">
        <is>
          <t>LAMP</t>
        </is>
      </c>
    </row>
    <row r="263" ht="15" customHeight="1">
      <c r="A263" s="22">
        <f>A262+1</f>
        <v/>
      </c>
      <c r="B263" s="43" t="inlineStr">
        <is>
          <t>Tornado Lamp 5 W, Philips</t>
        </is>
      </c>
      <c r="C263" s="47" t="inlineStr">
        <is>
          <t>PCS</t>
        </is>
      </c>
      <c r="D263" s="26">
        <f>'[1]Week  (4)'!U263</f>
        <v/>
      </c>
      <c r="E263" s="125" t="n"/>
      <c r="F263" s="55" t="n"/>
      <c r="G263" s="52" t="n"/>
      <c r="H263" s="55" t="n"/>
      <c r="I263" s="71" t="n"/>
      <c r="J263" s="55" t="n"/>
      <c r="K263" s="18" t="n"/>
      <c r="L263" s="73" t="n"/>
      <c r="M263" s="73" t="n"/>
      <c r="N263" s="73" t="n"/>
      <c r="O263" s="19" t="n"/>
      <c r="P263" s="18" t="n"/>
      <c r="Q263" s="18" t="n"/>
      <c r="R263" s="73" t="n"/>
      <c r="S263" s="18" t="n"/>
      <c r="T263" s="18" t="n"/>
      <c r="U263" s="26">
        <f>D263+F263+-(H263+J263+L263+N263+P263+R263+T263)</f>
        <v/>
      </c>
      <c r="V263" t="inlineStr">
        <is>
          <t>LAMP</t>
        </is>
      </c>
    </row>
    <row r="264" ht="15" customHeight="1">
      <c r="A264" s="22">
        <f>A263+1</f>
        <v/>
      </c>
      <c r="B264" s="122" t="inlineStr">
        <is>
          <t>Tornado Lamp 8 W, Philips</t>
        </is>
      </c>
      <c r="C264" s="132" t="inlineStr">
        <is>
          <t>PCS</t>
        </is>
      </c>
      <c r="D264" s="26">
        <f>'[1]Week  (4)'!U264</f>
        <v/>
      </c>
      <c r="E264" s="124" t="n"/>
      <c r="F264" s="62" t="n"/>
      <c r="G264" s="25" t="n"/>
      <c r="H264" s="56" t="n"/>
      <c r="I264" s="19" t="n"/>
      <c r="J264" s="64" t="n"/>
      <c r="K264" s="18" t="n"/>
      <c r="L264" s="73" t="n"/>
      <c r="M264" s="73" t="n"/>
      <c r="N264" s="73" t="n"/>
      <c r="O264" s="19" t="n"/>
      <c r="P264" s="18" t="n"/>
      <c r="Q264" s="18" t="n"/>
      <c r="R264" s="73" t="n"/>
      <c r="S264" s="18" t="n"/>
      <c r="T264" s="18" t="n"/>
      <c r="U264" s="26">
        <f>D264+F264+-(H264+J264+L264+N264+P264+R264+T264)</f>
        <v/>
      </c>
      <c r="V264" t="inlineStr">
        <is>
          <t>LAMP</t>
        </is>
      </c>
    </row>
    <row r="265">
      <c r="A265" s="22">
        <f>A264+1</f>
        <v/>
      </c>
      <c r="B265" s="79" t="inlineStr">
        <is>
          <t>V Sock PVC  4" x 2  1/2"</t>
        </is>
      </c>
      <c r="C265" s="106" t="inlineStr">
        <is>
          <t>Pcs</t>
        </is>
      </c>
      <c r="D265" s="26">
        <f>'[1]Week  (4)'!U265</f>
        <v/>
      </c>
      <c r="E265" s="125" t="n"/>
      <c r="F265" s="55" t="n"/>
      <c r="G265" s="52" t="n"/>
      <c r="H265" s="55" t="n"/>
      <c r="I265" s="71" t="n"/>
      <c r="J265" s="55" t="n"/>
      <c r="K265" s="18" t="n"/>
      <c r="L265" s="73" t="n"/>
      <c r="M265" s="73" t="n"/>
      <c r="N265" s="73" t="n"/>
      <c r="O265" s="19" t="n"/>
      <c r="P265" s="18" t="n"/>
      <c r="Q265" s="18" t="n"/>
      <c r="R265" s="73" t="n"/>
      <c r="S265" s="18" t="n"/>
      <c r="T265" s="18" t="n"/>
      <c r="U265" s="26">
        <f>D265+F265+-(H265+J265+L265+N265+P265+R265+T265)</f>
        <v/>
      </c>
      <c r="V265" t="inlineStr">
        <is>
          <t>VALVE AND PIPE</t>
        </is>
      </c>
    </row>
    <row r="266">
      <c r="A266" s="22">
        <f>A265+1</f>
        <v/>
      </c>
      <c r="B266" s="79" t="inlineStr">
        <is>
          <t>V Sock PVC  4" x 2  "</t>
        </is>
      </c>
      <c r="C266" s="106" t="inlineStr">
        <is>
          <t>Pcs</t>
        </is>
      </c>
      <c r="D266" s="26">
        <f>'[1]Week  (4)'!U266</f>
        <v/>
      </c>
      <c r="E266" s="124" t="n"/>
      <c r="F266" s="62" t="n"/>
      <c r="G266" s="25" t="n"/>
      <c r="H266" s="56" t="n"/>
      <c r="I266" s="19" t="n"/>
      <c r="J266" s="64" t="n"/>
      <c r="K266" s="18" t="n"/>
      <c r="L266" s="73" t="n"/>
      <c r="M266" s="73" t="n"/>
      <c r="N266" s="73" t="n"/>
      <c r="O266" s="19" t="n"/>
      <c r="P266" s="18" t="n"/>
      <c r="Q266" s="18" t="n"/>
      <c r="R266" s="73" t="n"/>
      <c r="S266" s="18" t="n"/>
      <c r="T266" s="18" t="n"/>
      <c r="U266" s="26">
        <f>D266+F266+-(H266+J266+L266+N266+P266+R266+T266)</f>
        <v/>
      </c>
      <c r="V266" t="inlineStr">
        <is>
          <t>VALVE AND PIPE</t>
        </is>
      </c>
    </row>
    <row r="267">
      <c r="A267" s="22">
        <f>A266+1</f>
        <v/>
      </c>
      <c r="B267" s="79" t="inlineStr">
        <is>
          <t>V Sock PVC  2" x 2  1/2"</t>
        </is>
      </c>
      <c r="C267" s="106" t="inlineStr">
        <is>
          <t>Pcs</t>
        </is>
      </c>
      <c r="D267" s="26">
        <f>'[1]Week  (4)'!U267</f>
        <v/>
      </c>
      <c r="E267" s="125" t="n"/>
      <c r="F267" s="55" t="n"/>
      <c r="G267" s="52" t="n"/>
      <c r="H267" s="55" t="n"/>
      <c r="I267" s="71" t="n"/>
      <c r="J267" s="55" t="n"/>
      <c r="K267" s="18" t="n"/>
      <c r="L267" s="73" t="n"/>
      <c r="M267" s="73" t="n"/>
      <c r="N267" s="73" t="n"/>
      <c r="O267" s="19" t="n"/>
      <c r="P267" s="18" t="n"/>
      <c r="Q267" s="18" t="n"/>
      <c r="R267" s="73" t="n"/>
      <c r="S267" s="18" t="n"/>
      <c r="T267" s="18" t="n"/>
      <c r="U267" s="26">
        <f>D267+F267+-(H267+J267+L267+N267+P267+R267+T267)</f>
        <v/>
      </c>
      <c r="V267" t="inlineStr">
        <is>
          <t>VALVE AND PIPE</t>
        </is>
      </c>
    </row>
    <row r="268" ht="15" customHeight="1">
      <c r="A268" s="22">
        <f>A267+1</f>
        <v/>
      </c>
      <c r="B268" s="122" t="inlineStr">
        <is>
          <t>VALVE BALL 1/2' ONDA PVC</t>
        </is>
      </c>
      <c r="C268" s="132" t="inlineStr">
        <is>
          <t>PCS</t>
        </is>
      </c>
      <c r="D268" s="26">
        <f>'[1]Week  (4)'!U268</f>
        <v/>
      </c>
      <c r="E268" s="124" t="n"/>
      <c r="F268" s="62" t="n"/>
      <c r="G268" s="25" t="n"/>
      <c r="H268" s="56" t="n"/>
      <c r="I268" s="19" t="n"/>
      <c r="J268" s="64" t="n"/>
      <c r="K268" s="18" t="n"/>
      <c r="L268" s="73" t="n"/>
      <c r="M268" s="73" t="n"/>
      <c r="N268" s="73" t="n"/>
      <c r="O268" s="19" t="n"/>
      <c r="P268" s="18" t="n"/>
      <c r="Q268" s="18" t="inlineStr">
        <is>
          <t>Solar cell ashdiposal</t>
        </is>
      </c>
      <c r="R268" s="73" t="n">
        <v>1</v>
      </c>
      <c r="S268" s="18" t="n"/>
      <c r="T268" s="18" t="n"/>
      <c r="U268" s="26">
        <f>D268+F268+-(H268+J268+L268+N268+P268+R268+T268)</f>
        <v/>
      </c>
      <c r="V268" t="inlineStr">
        <is>
          <t>VALVE AND PIPE</t>
        </is>
      </c>
    </row>
    <row r="269" ht="15" customHeight="1">
      <c r="A269" s="22">
        <f>A268+1</f>
        <v/>
      </c>
      <c r="B269" s="122" t="inlineStr">
        <is>
          <t>VALVE BALL 3/4' ONDA PVC</t>
        </is>
      </c>
      <c r="C269" s="34" t="inlineStr">
        <is>
          <t>PCS</t>
        </is>
      </c>
      <c r="D269" s="26">
        <f>'[1]Week  (4)'!U269</f>
        <v/>
      </c>
      <c r="E269" s="125" t="n"/>
      <c r="F269" s="55" t="n"/>
      <c r="G269" s="52" t="n"/>
      <c r="H269" s="55" t="n"/>
      <c r="I269" s="71" t="n"/>
      <c r="J269" s="55" t="n"/>
      <c r="K269" s="18" t="n"/>
      <c r="L269" s="73" t="n"/>
      <c r="M269" s="73" t="n"/>
      <c r="N269" s="73" t="n"/>
      <c r="O269" s="19" t="n"/>
      <c r="P269" s="18" t="n"/>
      <c r="Q269" s="18" t="n"/>
      <c r="R269" s="73" t="n"/>
      <c r="S269" s="18" t="n"/>
      <c r="T269" s="18" t="n"/>
      <c r="U269" s="26">
        <f>D269+F269+-(H269+J269+L269+N269+P269+R269+T269)</f>
        <v/>
      </c>
      <c r="V269" t="inlineStr">
        <is>
          <t>VALVE AND PIPE</t>
        </is>
      </c>
    </row>
    <row r="270">
      <c r="A270" s="22">
        <f>A269+1</f>
        <v/>
      </c>
      <c r="B270" s="38" t="inlineStr">
        <is>
          <t>VALVE GATE 1/2" ONDA</t>
        </is>
      </c>
      <c r="C270" s="34" t="inlineStr">
        <is>
          <t>PCS</t>
        </is>
      </c>
      <c r="D270" s="26">
        <f>'[1]Week  (4)'!U270</f>
        <v/>
      </c>
      <c r="E270" s="124" t="n"/>
      <c r="F270" s="62" t="n"/>
      <c r="G270" s="25" t="n"/>
      <c r="H270" s="56" t="n"/>
      <c r="I270" s="19" t="n"/>
      <c r="J270" s="64" t="n"/>
      <c r="K270" s="18" t="n"/>
      <c r="L270" s="73" t="n"/>
      <c r="M270" s="73" t="n"/>
      <c r="N270" s="73" t="n"/>
      <c r="O270" s="19" t="n"/>
      <c r="P270" s="18" t="n"/>
      <c r="Q270" s="18" t="n"/>
      <c r="R270" s="73" t="n"/>
      <c r="S270" s="18" t="n"/>
      <c r="T270" s="18" t="n"/>
      <c r="U270" s="26">
        <f>D270+F270+-(H270+J270+L270+N270+P270+R270+T270)</f>
        <v/>
      </c>
      <c r="V270" t="inlineStr">
        <is>
          <t>VALVE AND PIPE</t>
        </is>
      </c>
    </row>
    <row r="271" ht="15" customHeight="1">
      <c r="A271" s="22">
        <f>A270+1</f>
        <v/>
      </c>
      <c r="B271" s="38" t="inlineStr">
        <is>
          <t>VALVE GATE 3/4" ONDA</t>
        </is>
      </c>
      <c r="C271" s="132" t="inlineStr">
        <is>
          <t>PCS</t>
        </is>
      </c>
      <c r="D271" s="26">
        <f>'[1]Week  (4)'!U271</f>
        <v/>
      </c>
      <c r="E271" s="125" t="n"/>
      <c r="F271" s="55" t="n"/>
      <c r="G271" s="52" t="n"/>
      <c r="H271" s="55" t="n"/>
      <c r="I271" s="71" t="n"/>
      <c r="J271" s="55" t="n"/>
      <c r="K271" s="18" t="n"/>
      <c r="L271" s="73" t="n"/>
      <c r="M271" s="73" t="n"/>
      <c r="N271" s="73" t="n"/>
      <c r="O271" s="19" t="n"/>
      <c r="P271" s="18" t="n"/>
      <c r="Q271" s="18" t="n"/>
      <c r="R271" s="73" t="n"/>
      <c r="S271" s="18" t="n"/>
      <c r="T271" s="18" t="n"/>
      <c r="U271" s="26">
        <f>D271+F271+-(H271+J271+L271+N271+P271+R271+T271)</f>
        <v/>
      </c>
      <c r="V271" t="inlineStr">
        <is>
          <t>VALVE AND PIPE</t>
        </is>
      </c>
    </row>
    <row r="272" ht="30" customHeight="1">
      <c r="A272" s="22">
        <f>A271+1</f>
        <v/>
      </c>
      <c r="B272" s="122" t="inlineStr">
        <is>
          <t>Washbasin Lamp, Essential Batten 7 W, Philips</t>
        </is>
      </c>
      <c r="C272" s="132" t="inlineStr">
        <is>
          <t>PCS</t>
        </is>
      </c>
      <c r="D272" s="26">
        <f>'[1]Week  (4)'!U272</f>
        <v/>
      </c>
      <c r="E272" s="124" t="n"/>
      <c r="F272" s="62" t="n"/>
      <c r="G272" s="25" t="n"/>
      <c r="H272" s="56" t="n"/>
      <c r="I272" s="19" t="n"/>
      <c r="J272" s="64" t="n"/>
      <c r="K272" s="18" t="n"/>
      <c r="L272" s="73" t="n"/>
      <c r="M272" s="73" t="n"/>
      <c r="N272" s="73" t="n"/>
      <c r="O272" s="19" t="n"/>
      <c r="P272" s="18" t="n"/>
      <c r="Q272" s="18" t="n"/>
      <c r="R272" s="73" t="n"/>
      <c r="S272" s="18" t="n"/>
      <c r="T272" s="18" t="n"/>
      <c r="U272" s="26">
        <f>D272+F272+-(H272+J272+L272+N272+P272+R272+T272)</f>
        <v/>
      </c>
      <c r="V272" t="inlineStr">
        <is>
          <t>LAMP</t>
        </is>
      </c>
    </row>
    <row r="273" ht="25.5" customHeight="1">
      <c r="A273" s="22">
        <f>A272+1</f>
        <v/>
      </c>
      <c r="B273" s="38" t="inlineStr">
        <is>
          <t>Wastavel American Standard ( Wash Basin )</t>
        </is>
      </c>
      <c r="C273" s="34" t="inlineStr">
        <is>
          <t>SET</t>
        </is>
      </c>
      <c r="D273" s="26">
        <f>'[1]Week  (4)'!U273</f>
        <v/>
      </c>
      <c r="E273" s="124" t="n"/>
      <c r="F273" s="55" t="n"/>
      <c r="G273" s="52" t="n"/>
      <c r="H273" s="55" t="n"/>
      <c r="I273" s="71" t="n"/>
      <c r="J273" s="55" t="n"/>
      <c r="K273" s="80" t="n"/>
      <c r="L273" s="73" t="n"/>
      <c r="M273" s="73" t="n"/>
      <c r="N273" s="73" t="n"/>
      <c r="O273" s="19" t="n"/>
      <c r="P273" s="18" t="n"/>
      <c r="Q273" s="18" t="n"/>
      <c r="R273" s="73" t="n"/>
      <c r="S273" s="18" t="n"/>
      <c r="T273" s="18" t="n"/>
      <c r="U273" s="26">
        <f>D273+F273+-(H273+J273+L273+N273+P273+R273+T273)</f>
        <v/>
      </c>
      <c r="V273" t="inlineStr">
        <is>
          <t>SANITARY</t>
        </is>
      </c>
    </row>
    <row r="274" ht="33" customHeight="1">
      <c r="A274" s="22">
        <f>A273+1</f>
        <v/>
      </c>
      <c r="B274" s="38" t="inlineStr">
        <is>
          <t>Water Closet American Standard</t>
        </is>
      </c>
      <c r="C274" s="34" t="inlineStr">
        <is>
          <t>SET</t>
        </is>
      </c>
      <c r="D274" s="26">
        <f>'[1]Week  (4)'!U274</f>
        <v/>
      </c>
      <c r="E274" s="124" t="n"/>
      <c r="F274" s="62" t="n"/>
      <c r="G274" s="25" t="n"/>
      <c r="H274" s="56" t="n"/>
      <c r="I274" s="19" t="n"/>
      <c r="J274" s="64" t="n"/>
      <c r="K274" s="18" t="n"/>
      <c r="L274" s="73" t="n"/>
      <c r="M274" s="73" t="n"/>
      <c r="N274" s="73" t="n"/>
      <c r="O274" s="19" t="n"/>
      <c r="P274" s="18" t="n"/>
      <c r="Q274" s="18" t="n"/>
      <c r="R274" s="73" t="n"/>
      <c r="S274" s="18" t="n"/>
      <c r="T274" s="18" t="n"/>
      <c r="U274" s="26">
        <f>D274+F274+-(H274+J274+L274+N274+P274+R274+T274)</f>
        <v/>
      </c>
      <c r="V274" t="inlineStr">
        <is>
          <t>SANITARY</t>
        </is>
      </c>
    </row>
    <row r="275">
      <c r="D275" s="26">
        <f>SUM(D6:D274)</f>
        <v/>
      </c>
      <c r="F275" s="63">
        <f>SUM(F6:F274)</f>
        <v/>
      </c>
      <c r="U275" s="1">
        <f>SUM(U6:U274)</f>
        <v/>
      </c>
      <c r="V275" t="inlineStr">
        <is>
          <t>-</t>
        </is>
      </c>
    </row>
  </sheetData>
  <mergeCells count="16">
    <mergeCell ref="A1:T1"/>
    <mergeCell ref="G4:H4"/>
    <mergeCell ref="G3:N3"/>
    <mergeCell ref="I4:J4"/>
    <mergeCell ref="B4:B5"/>
    <mergeCell ref="C4:C5"/>
    <mergeCell ref="A4:A5"/>
    <mergeCell ref="F4:F5"/>
    <mergeCell ref="D4:D5"/>
    <mergeCell ref="E4:E5"/>
    <mergeCell ref="U4:U5"/>
    <mergeCell ref="K4:L4"/>
    <mergeCell ref="O4:P4"/>
    <mergeCell ref="M4:N4"/>
    <mergeCell ref="S4:T4"/>
    <mergeCell ref="Q4:R4"/>
  </mergeCells>
  <pageMargins left="0.7086614173228347" right="0.1968503937007874" top="0.2362204724409449" bottom="0.2755905511811024" header="0.2362204724409449" footer="0.2755905511811024"/>
  <pageSetup orientation="portrait" paperSize="9" scale="92" horizont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P275"/>
  <sheetViews>
    <sheetView zoomScale="95" zoomScaleNormal="95" workbookViewId="0">
      <pane xSplit="4" ySplit="5" topLeftCell="L258" activePane="bottomRight" state="frozenSplit"/>
      <selection activeCell="P25" sqref="P25"/>
      <selection pane="topRight" activeCell="P25" sqref="P25"/>
      <selection pane="bottomLeft" activeCell="P25" sqref="P25"/>
      <selection pane="bottomRight" activeCell="O269" sqref="O269"/>
    </sheetView>
  </sheetViews>
  <sheetFormatPr baseColWidth="8" defaultRowHeight="12.75"/>
  <cols>
    <col width="9.5703125" customWidth="1" style="11" min="1" max="1"/>
    <col width="30.7109375" customWidth="1" style="49" min="2" max="2"/>
    <col width="14.7109375" customWidth="1" style="13" min="3" max="3"/>
    <col width="10.42578125" customWidth="1" style="14" min="4" max="4"/>
    <col width="11.85546875" customWidth="1" style="115" min="5" max="5"/>
    <col width="8.28515625" customWidth="1" style="63" min="6" max="6"/>
    <col width="17.28515625" customWidth="1" style="16" min="7" max="7"/>
    <col width="6.140625" customWidth="1" style="63" min="8" max="8"/>
    <col width="15.140625" customWidth="1" style="15" min="9" max="9"/>
    <col width="9.140625" customWidth="1" style="63" min="10" max="10"/>
    <col width="15.7109375" customWidth="1" style="16" min="11" max="11"/>
    <col width="6.85546875" customWidth="1" style="50" min="12" max="12"/>
    <col width="13.28515625" customWidth="1" style="16" min="13" max="13"/>
    <col width="9.42578125" customWidth="1" style="13" min="14" max="14"/>
    <col width="12.85546875" customWidth="1" style="15" min="15" max="15"/>
    <col width="10.140625" customWidth="1" style="13" min="16" max="16"/>
    <col width="11.140625" customWidth="1" style="16" min="17" max="17"/>
    <col width="7" customWidth="1" style="13" min="18" max="18"/>
    <col width="10.85546875" customWidth="1" style="13" min="19" max="19"/>
    <col width="5.85546875" customWidth="1" style="13" min="20" max="20"/>
    <col width="10" customWidth="1" style="1" min="21" max="21"/>
    <col width="18" customWidth="1" style="51" min="22" max="255"/>
    <col width="9.5703125" customWidth="1" style="51" min="256" max="256"/>
    <col width="30.7109375" customWidth="1" style="51" min="257" max="257"/>
    <col width="14.7109375" customWidth="1" style="51" min="258" max="258"/>
    <col width="8.28515625" customWidth="1" style="51" min="259" max="259"/>
    <col width="11.85546875" customWidth="1" style="51" min="260" max="260"/>
    <col width="8.28515625" customWidth="1" style="51" min="261" max="261"/>
    <col width="17.28515625" customWidth="1" style="51" min="262" max="262"/>
    <col width="6.140625" customWidth="1" style="51" min="263" max="263"/>
    <col width="15.140625" customWidth="1" style="51" min="264" max="264"/>
    <col width="9.140625" customWidth="1" style="51" min="265" max="265"/>
    <col width="15" customWidth="1" style="51" min="266" max="266"/>
    <col width="6.85546875" customWidth="1" style="51" min="267" max="267"/>
    <col width="13.28515625" customWidth="1" style="51" min="268" max="268"/>
    <col width="9.42578125" customWidth="1" style="51" min="269" max="269"/>
    <col width="11" customWidth="1" style="51" min="270" max="270"/>
    <col width="10.140625" customWidth="1" style="51" min="271" max="271"/>
    <col width="11.140625" customWidth="1" style="51" min="272" max="272"/>
    <col width="7" customWidth="1" style="51" min="273" max="273"/>
    <col width="10.85546875" customWidth="1" style="51" min="274" max="274"/>
    <col width="5.85546875" customWidth="1" style="51" min="275" max="275"/>
    <col width="10" customWidth="1" style="51" min="276" max="276"/>
    <col width="9.140625" customWidth="1" style="51" min="277" max="511"/>
    <col width="9.5703125" customWidth="1" style="51" min="512" max="512"/>
    <col width="30.7109375" customWidth="1" style="51" min="513" max="513"/>
    <col width="14.7109375" customWidth="1" style="51" min="514" max="514"/>
    <col width="8.28515625" customWidth="1" style="51" min="515" max="515"/>
    <col width="11.85546875" customWidth="1" style="51" min="516" max="516"/>
    <col width="8.28515625" customWidth="1" style="51" min="517" max="517"/>
    <col width="17.28515625" customWidth="1" style="51" min="518" max="518"/>
    <col width="6.140625" customWidth="1" style="51" min="519" max="519"/>
    <col width="15.140625" customWidth="1" style="51" min="520" max="520"/>
    <col width="9.140625" customWidth="1" style="51" min="521" max="521"/>
    <col width="15" customWidth="1" style="51" min="522" max="522"/>
    <col width="6.85546875" customWidth="1" style="51" min="523" max="523"/>
    <col width="13.28515625" customWidth="1" style="51" min="524" max="524"/>
    <col width="9.42578125" customWidth="1" style="51" min="525" max="525"/>
    <col width="11" customWidth="1" style="51" min="526" max="526"/>
    <col width="10.140625" customWidth="1" style="51" min="527" max="527"/>
    <col width="11.140625" customWidth="1" style="51" min="528" max="528"/>
    <col width="7" customWidth="1" style="51" min="529" max="529"/>
    <col width="10.85546875" customWidth="1" style="51" min="530" max="530"/>
    <col width="5.85546875" customWidth="1" style="51" min="531" max="531"/>
    <col width="10" customWidth="1" style="51" min="532" max="532"/>
    <col width="9.140625" customWidth="1" style="51" min="533" max="767"/>
    <col width="9.5703125" customWidth="1" style="51" min="768" max="768"/>
    <col width="30.7109375" customWidth="1" style="51" min="769" max="769"/>
    <col width="14.7109375" customWidth="1" style="51" min="770" max="770"/>
    <col width="8.28515625" customWidth="1" style="51" min="771" max="771"/>
    <col width="11.85546875" customWidth="1" style="51" min="772" max="772"/>
    <col width="8.28515625" customWidth="1" style="51" min="773" max="773"/>
    <col width="17.28515625" customWidth="1" style="51" min="774" max="774"/>
    <col width="6.140625" customWidth="1" style="51" min="775" max="775"/>
    <col width="15.140625" customWidth="1" style="51" min="776" max="776"/>
    <col width="9.140625" customWidth="1" style="51" min="777" max="777"/>
    <col width="15" customWidth="1" style="51" min="778" max="778"/>
    <col width="6.85546875" customWidth="1" style="51" min="779" max="779"/>
    <col width="13.28515625" customWidth="1" style="51" min="780" max="780"/>
    <col width="9.42578125" customWidth="1" style="51" min="781" max="781"/>
    <col width="11" customWidth="1" style="51" min="782" max="782"/>
    <col width="10.140625" customWidth="1" style="51" min="783" max="783"/>
    <col width="11.140625" customWidth="1" style="51" min="784" max="784"/>
    <col width="7" customWidth="1" style="51" min="785" max="785"/>
    <col width="10.85546875" customWidth="1" style="51" min="786" max="786"/>
    <col width="5.85546875" customWidth="1" style="51" min="787" max="787"/>
    <col width="10" customWidth="1" style="51" min="788" max="788"/>
    <col width="9.140625" customWidth="1" style="51" min="789" max="1023"/>
    <col width="9.5703125" customWidth="1" style="51" min="1024" max="1024"/>
    <col width="30.7109375" customWidth="1" style="51" min="1025" max="1025"/>
    <col width="14.7109375" customWidth="1" style="51" min="1026" max="1026"/>
    <col width="8.28515625" customWidth="1" style="51" min="1027" max="1027"/>
    <col width="11.85546875" customWidth="1" style="51" min="1028" max="1028"/>
    <col width="8.28515625" customWidth="1" style="51" min="1029" max="1029"/>
    <col width="17.28515625" customWidth="1" style="51" min="1030" max="1030"/>
    <col width="6.140625" customWidth="1" style="51" min="1031" max="1031"/>
    <col width="15.140625" customWidth="1" style="51" min="1032" max="1032"/>
    <col width="9.140625" customWidth="1" style="51" min="1033" max="1033"/>
    <col width="15" customWidth="1" style="51" min="1034" max="1034"/>
    <col width="6.85546875" customWidth="1" style="51" min="1035" max="1035"/>
    <col width="13.28515625" customWidth="1" style="51" min="1036" max="1036"/>
    <col width="9.42578125" customWidth="1" style="51" min="1037" max="1037"/>
    <col width="11" customWidth="1" style="51" min="1038" max="1038"/>
    <col width="10.140625" customWidth="1" style="51" min="1039" max="1039"/>
    <col width="11.140625" customWidth="1" style="51" min="1040" max="1040"/>
    <col width="7" customWidth="1" style="51" min="1041" max="1041"/>
    <col width="10.85546875" customWidth="1" style="51" min="1042" max="1042"/>
    <col width="5.85546875" customWidth="1" style="51" min="1043" max="1043"/>
    <col width="10" customWidth="1" style="51" min="1044" max="1044"/>
    <col width="9.140625" customWidth="1" style="51" min="1045" max="1279"/>
    <col width="9.5703125" customWidth="1" style="51" min="1280" max="1280"/>
    <col width="30.7109375" customWidth="1" style="51" min="1281" max="1281"/>
    <col width="14.7109375" customWidth="1" style="51" min="1282" max="1282"/>
    <col width="8.28515625" customWidth="1" style="51" min="1283" max="1283"/>
    <col width="11.85546875" customWidth="1" style="51" min="1284" max="1284"/>
    <col width="8.28515625" customWidth="1" style="51" min="1285" max="1285"/>
    <col width="17.28515625" customWidth="1" style="51" min="1286" max="1286"/>
    <col width="6.140625" customWidth="1" style="51" min="1287" max="1287"/>
    <col width="15.140625" customWidth="1" style="51" min="1288" max="1288"/>
    <col width="9.140625" customWidth="1" style="51" min="1289" max="1289"/>
    <col width="15" customWidth="1" style="51" min="1290" max="1290"/>
    <col width="6.85546875" customWidth="1" style="51" min="1291" max="1291"/>
    <col width="13.28515625" customWidth="1" style="51" min="1292" max="1292"/>
    <col width="9.42578125" customWidth="1" style="51" min="1293" max="1293"/>
    <col width="11" customWidth="1" style="51" min="1294" max="1294"/>
    <col width="10.140625" customWidth="1" style="51" min="1295" max="1295"/>
    <col width="11.140625" customWidth="1" style="51" min="1296" max="1296"/>
    <col width="7" customWidth="1" style="51" min="1297" max="1297"/>
    <col width="10.85546875" customWidth="1" style="51" min="1298" max="1298"/>
    <col width="5.85546875" customWidth="1" style="51" min="1299" max="1299"/>
    <col width="10" customWidth="1" style="51" min="1300" max="1300"/>
    <col width="9.140625" customWidth="1" style="51" min="1301" max="1535"/>
    <col width="9.5703125" customWidth="1" style="51" min="1536" max="1536"/>
    <col width="30.7109375" customWidth="1" style="51" min="1537" max="1537"/>
    <col width="14.7109375" customWidth="1" style="51" min="1538" max="1538"/>
    <col width="8.28515625" customWidth="1" style="51" min="1539" max="1539"/>
    <col width="11.85546875" customWidth="1" style="51" min="1540" max="1540"/>
    <col width="8.28515625" customWidth="1" style="51" min="1541" max="1541"/>
    <col width="17.28515625" customWidth="1" style="51" min="1542" max="1542"/>
    <col width="6.140625" customWidth="1" style="51" min="1543" max="1543"/>
    <col width="15.140625" customWidth="1" style="51" min="1544" max="1544"/>
    <col width="9.140625" customWidth="1" style="51" min="1545" max="1545"/>
    <col width="15" customWidth="1" style="51" min="1546" max="1546"/>
    <col width="6.85546875" customWidth="1" style="51" min="1547" max="1547"/>
    <col width="13.28515625" customWidth="1" style="51" min="1548" max="1548"/>
    <col width="9.42578125" customWidth="1" style="51" min="1549" max="1549"/>
    <col width="11" customWidth="1" style="51" min="1550" max="1550"/>
    <col width="10.140625" customWidth="1" style="51" min="1551" max="1551"/>
    <col width="11.140625" customWidth="1" style="51" min="1552" max="1552"/>
    <col width="7" customWidth="1" style="51" min="1553" max="1553"/>
    <col width="10.85546875" customWidth="1" style="51" min="1554" max="1554"/>
    <col width="5.85546875" customWidth="1" style="51" min="1555" max="1555"/>
    <col width="10" customWidth="1" style="51" min="1556" max="1556"/>
    <col width="9.140625" customWidth="1" style="51" min="1557" max="1791"/>
    <col width="9.5703125" customWidth="1" style="51" min="1792" max="1792"/>
    <col width="30.7109375" customWidth="1" style="51" min="1793" max="1793"/>
    <col width="14.7109375" customWidth="1" style="51" min="1794" max="1794"/>
    <col width="8.28515625" customWidth="1" style="51" min="1795" max="1795"/>
    <col width="11.85546875" customWidth="1" style="51" min="1796" max="1796"/>
    <col width="8.28515625" customWidth="1" style="51" min="1797" max="1797"/>
    <col width="17.28515625" customWidth="1" style="51" min="1798" max="1798"/>
    <col width="6.140625" customWidth="1" style="51" min="1799" max="1799"/>
    <col width="15.140625" customWidth="1" style="51" min="1800" max="1800"/>
    <col width="9.140625" customWidth="1" style="51" min="1801" max="1801"/>
    <col width="15" customWidth="1" style="51" min="1802" max="1802"/>
    <col width="6.85546875" customWidth="1" style="51" min="1803" max="1803"/>
    <col width="13.28515625" customWidth="1" style="51" min="1804" max="1804"/>
    <col width="9.42578125" customWidth="1" style="51" min="1805" max="1805"/>
    <col width="11" customWidth="1" style="51" min="1806" max="1806"/>
    <col width="10.140625" customWidth="1" style="51" min="1807" max="1807"/>
    <col width="11.140625" customWidth="1" style="51" min="1808" max="1808"/>
    <col width="7" customWidth="1" style="51" min="1809" max="1809"/>
    <col width="10.85546875" customWidth="1" style="51" min="1810" max="1810"/>
    <col width="5.85546875" customWidth="1" style="51" min="1811" max="1811"/>
    <col width="10" customWidth="1" style="51" min="1812" max="1812"/>
    <col width="9.140625" customWidth="1" style="51" min="1813" max="2047"/>
    <col width="9.5703125" customWidth="1" style="51" min="2048" max="2048"/>
    <col width="30.7109375" customWidth="1" style="51" min="2049" max="2049"/>
    <col width="14.7109375" customWidth="1" style="51" min="2050" max="2050"/>
    <col width="8.28515625" customWidth="1" style="51" min="2051" max="2051"/>
    <col width="11.85546875" customWidth="1" style="51" min="2052" max="2052"/>
    <col width="8.28515625" customWidth="1" style="51" min="2053" max="2053"/>
    <col width="17.28515625" customWidth="1" style="51" min="2054" max="2054"/>
    <col width="6.140625" customWidth="1" style="51" min="2055" max="2055"/>
    <col width="15.140625" customWidth="1" style="51" min="2056" max="2056"/>
    <col width="9.140625" customWidth="1" style="51" min="2057" max="2057"/>
    <col width="15" customWidth="1" style="51" min="2058" max="2058"/>
    <col width="6.85546875" customWidth="1" style="51" min="2059" max="2059"/>
    <col width="13.28515625" customWidth="1" style="51" min="2060" max="2060"/>
    <col width="9.42578125" customWidth="1" style="51" min="2061" max="2061"/>
    <col width="11" customWidth="1" style="51" min="2062" max="2062"/>
    <col width="10.140625" customWidth="1" style="51" min="2063" max="2063"/>
    <col width="11.140625" customWidth="1" style="51" min="2064" max="2064"/>
    <col width="7" customWidth="1" style="51" min="2065" max="2065"/>
    <col width="10.85546875" customWidth="1" style="51" min="2066" max="2066"/>
    <col width="5.85546875" customWidth="1" style="51" min="2067" max="2067"/>
    <col width="10" customWidth="1" style="51" min="2068" max="2068"/>
    <col width="9.140625" customWidth="1" style="51" min="2069" max="2303"/>
    <col width="9.5703125" customWidth="1" style="51" min="2304" max="2304"/>
    <col width="30.7109375" customWidth="1" style="51" min="2305" max="2305"/>
    <col width="14.7109375" customWidth="1" style="51" min="2306" max="2306"/>
    <col width="8.28515625" customWidth="1" style="51" min="2307" max="2307"/>
    <col width="11.85546875" customWidth="1" style="51" min="2308" max="2308"/>
    <col width="8.28515625" customWidth="1" style="51" min="2309" max="2309"/>
    <col width="17.28515625" customWidth="1" style="51" min="2310" max="2310"/>
    <col width="6.140625" customWidth="1" style="51" min="2311" max="2311"/>
    <col width="15.140625" customWidth="1" style="51" min="2312" max="2312"/>
    <col width="9.140625" customWidth="1" style="51" min="2313" max="2313"/>
    <col width="15" customWidth="1" style="51" min="2314" max="2314"/>
    <col width="6.85546875" customWidth="1" style="51" min="2315" max="2315"/>
    <col width="13.28515625" customWidth="1" style="51" min="2316" max="2316"/>
    <col width="9.42578125" customWidth="1" style="51" min="2317" max="2317"/>
    <col width="11" customWidth="1" style="51" min="2318" max="2318"/>
    <col width="10.140625" customWidth="1" style="51" min="2319" max="2319"/>
    <col width="11.140625" customWidth="1" style="51" min="2320" max="2320"/>
    <col width="7" customWidth="1" style="51" min="2321" max="2321"/>
    <col width="10.85546875" customWidth="1" style="51" min="2322" max="2322"/>
    <col width="5.85546875" customWidth="1" style="51" min="2323" max="2323"/>
    <col width="10" customWidth="1" style="51" min="2324" max="2324"/>
    <col width="9.140625" customWidth="1" style="51" min="2325" max="2559"/>
    <col width="9.5703125" customWidth="1" style="51" min="2560" max="2560"/>
    <col width="30.7109375" customWidth="1" style="51" min="2561" max="2561"/>
    <col width="14.7109375" customWidth="1" style="51" min="2562" max="2562"/>
    <col width="8.28515625" customWidth="1" style="51" min="2563" max="2563"/>
    <col width="11.85546875" customWidth="1" style="51" min="2564" max="2564"/>
    <col width="8.28515625" customWidth="1" style="51" min="2565" max="2565"/>
    <col width="17.28515625" customWidth="1" style="51" min="2566" max="2566"/>
    <col width="6.140625" customWidth="1" style="51" min="2567" max="2567"/>
    <col width="15.140625" customWidth="1" style="51" min="2568" max="2568"/>
    <col width="9.140625" customWidth="1" style="51" min="2569" max="2569"/>
    <col width="15" customWidth="1" style="51" min="2570" max="2570"/>
    <col width="6.85546875" customWidth="1" style="51" min="2571" max="2571"/>
    <col width="13.28515625" customWidth="1" style="51" min="2572" max="2572"/>
    <col width="9.42578125" customWidth="1" style="51" min="2573" max="2573"/>
    <col width="11" customWidth="1" style="51" min="2574" max="2574"/>
    <col width="10.140625" customWidth="1" style="51" min="2575" max="2575"/>
    <col width="11.140625" customWidth="1" style="51" min="2576" max="2576"/>
    <col width="7" customWidth="1" style="51" min="2577" max="2577"/>
    <col width="10.85546875" customWidth="1" style="51" min="2578" max="2578"/>
    <col width="5.85546875" customWidth="1" style="51" min="2579" max="2579"/>
    <col width="10" customWidth="1" style="51" min="2580" max="2580"/>
    <col width="9.140625" customWidth="1" style="51" min="2581" max="2815"/>
    <col width="9.5703125" customWidth="1" style="51" min="2816" max="2816"/>
    <col width="30.7109375" customWidth="1" style="51" min="2817" max="2817"/>
    <col width="14.7109375" customWidth="1" style="51" min="2818" max="2818"/>
    <col width="8.28515625" customWidth="1" style="51" min="2819" max="2819"/>
    <col width="11.85546875" customWidth="1" style="51" min="2820" max="2820"/>
    <col width="8.28515625" customWidth="1" style="51" min="2821" max="2821"/>
    <col width="17.28515625" customWidth="1" style="51" min="2822" max="2822"/>
    <col width="6.140625" customWidth="1" style="51" min="2823" max="2823"/>
    <col width="15.140625" customWidth="1" style="51" min="2824" max="2824"/>
    <col width="9.140625" customWidth="1" style="51" min="2825" max="2825"/>
    <col width="15" customWidth="1" style="51" min="2826" max="2826"/>
    <col width="6.85546875" customWidth="1" style="51" min="2827" max="2827"/>
    <col width="13.28515625" customWidth="1" style="51" min="2828" max="2828"/>
    <col width="9.42578125" customWidth="1" style="51" min="2829" max="2829"/>
    <col width="11" customWidth="1" style="51" min="2830" max="2830"/>
    <col width="10.140625" customWidth="1" style="51" min="2831" max="2831"/>
    <col width="11.140625" customWidth="1" style="51" min="2832" max="2832"/>
    <col width="7" customWidth="1" style="51" min="2833" max="2833"/>
    <col width="10.85546875" customWidth="1" style="51" min="2834" max="2834"/>
    <col width="5.85546875" customWidth="1" style="51" min="2835" max="2835"/>
    <col width="10" customWidth="1" style="51" min="2836" max="2836"/>
    <col width="9.140625" customWidth="1" style="51" min="2837" max="3071"/>
    <col width="9.5703125" customWidth="1" style="51" min="3072" max="3072"/>
    <col width="30.7109375" customWidth="1" style="51" min="3073" max="3073"/>
    <col width="14.7109375" customWidth="1" style="51" min="3074" max="3074"/>
    <col width="8.28515625" customWidth="1" style="51" min="3075" max="3075"/>
    <col width="11.85546875" customWidth="1" style="51" min="3076" max="3076"/>
    <col width="8.28515625" customWidth="1" style="51" min="3077" max="3077"/>
    <col width="17.28515625" customWidth="1" style="51" min="3078" max="3078"/>
    <col width="6.140625" customWidth="1" style="51" min="3079" max="3079"/>
    <col width="15.140625" customWidth="1" style="51" min="3080" max="3080"/>
    <col width="9.140625" customWidth="1" style="51" min="3081" max="3081"/>
    <col width="15" customWidth="1" style="51" min="3082" max="3082"/>
    <col width="6.85546875" customWidth="1" style="51" min="3083" max="3083"/>
    <col width="13.28515625" customWidth="1" style="51" min="3084" max="3084"/>
    <col width="9.42578125" customWidth="1" style="51" min="3085" max="3085"/>
    <col width="11" customWidth="1" style="51" min="3086" max="3086"/>
    <col width="10.140625" customWidth="1" style="51" min="3087" max="3087"/>
    <col width="11.140625" customWidth="1" style="51" min="3088" max="3088"/>
    <col width="7" customWidth="1" style="51" min="3089" max="3089"/>
    <col width="10.85546875" customWidth="1" style="51" min="3090" max="3090"/>
    <col width="5.85546875" customWidth="1" style="51" min="3091" max="3091"/>
    <col width="10" customWidth="1" style="51" min="3092" max="3092"/>
    <col width="9.140625" customWidth="1" style="51" min="3093" max="3327"/>
    <col width="9.5703125" customWidth="1" style="51" min="3328" max="3328"/>
    <col width="30.7109375" customWidth="1" style="51" min="3329" max="3329"/>
    <col width="14.7109375" customWidth="1" style="51" min="3330" max="3330"/>
    <col width="8.28515625" customWidth="1" style="51" min="3331" max="3331"/>
    <col width="11.85546875" customWidth="1" style="51" min="3332" max="3332"/>
    <col width="8.28515625" customWidth="1" style="51" min="3333" max="3333"/>
    <col width="17.28515625" customWidth="1" style="51" min="3334" max="3334"/>
    <col width="6.140625" customWidth="1" style="51" min="3335" max="3335"/>
    <col width="15.140625" customWidth="1" style="51" min="3336" max="3336"/>
    <col width="9.140625" customWidth="1" style="51" min="3337" max="3337"/>
    <col width="15" customWidth="1" style="51" min="3338" max="3338"/>
    <col width="6.85546875" customWidth="1" style="51" min="3339" max="3339"/>
    <col width="13.28515625" customWidth="1" style="51" min="3340" max="3340"/>
    <col width="9.42578125" customWidth="1" style="51" min="3341" max="3341"/>
    <col width="11" customWidth="1" style="51" min="3342" max="3342"/>
    <col width="10.140625" customWidth="1" style="51" min="3343" max="3343"/>
    <col width="11.140625" customWidth="1" style="51" min="3344" max="3344"/>
    <col width="7" customWidth="1" style="51" min="3345" max="3345"/>
    <col width="10.85546875" customWidth="1" style="51" min="3346" max="3346"/>
    <col width="5.85546875" customWidth="1" style="51" min="3347" max="3347"/>
    <col width="10" customWidth="1" style="51" min="3348" max="3348"/>
    <col width="9.140625" customWidth="1" style="51" min="3349" max="3583"/>
    <col width="9.5703125" customWidth="1" style="51" min="3584" max="3584"/>
    <col width="30.7109375" customWidth="1" style="51" min="3585" max="3585"/>
    <col width="14.7109375" customWidth="1" style="51" min="3586" max="3586"/>
    <col width="8.28515625" customWidth="1" style="51" min="3587" max="3587"/>
    <col width="11.85546875" customWidth="1" style="51" min="3588" max="3588"/>
    <col width="8.28515625" customWidth="1" style="51" min="3589" max="3589"/>
    <col width="17.28515625" customWidth="1" style="51" min="3590" max="3590"/>
    <col width="6.140625" customWidth="1" style="51" min="3591" max="3591"/>
    <col width="15.140625" customWidth="1" style="51" min="3592" max="3592"/>
    <col width="9.140625" customWidth="1" style="51" min="3593" max="3593"/>
    <col width="15" customWidth="1" style="51" min="3594" max="3594"/>
    <col width="6.85546875" customWidth="1" style="51" min="3595" max="3595"/>
    <col width="13.28515625" customWidth="1" style="51" min="3596" max="3596"/>
    <col width="9.42578125" customWidth="1" style="51" min="3597" max="3597"/>
    <col width="11" customWidth="1" style="51" min="3598" max="3598"/>
    <col width="10.140625" customWidth="1" style="51" min="3599" max="3599"/>
    <col width="11.140625" customWidth="1" style="51" min="3600" max="3600"/>
    <col width="7" customWidth="1" style="51" min="3601" max="3601"/>
    <col width="10.85546875" customWidth="1" style="51" min="3602" max="3602"/>
    <col width="5.85546875" customWidth="1" style="51" min="3603" max="3603"/>
    <col width="10" customWidth="1" style="51" min="3604" max="3604"/>
    <col width="9.140625" customWidth="1" style="51" min="3605" max="3839"/>
    <col width="9.5703125" customWidth="1" style="51" min="3840" max="3840"/>
    <col width="30.7109375" customWidth="1" style="51" min="3841" max="3841"/>
    <col width="14.7109375" customWidth="1" style="51" min="3842" max="3842"/>
    <col width="8.28515625" customWidth="1" style="51" min="3843" max="3843"/>
    <col width="11.85546875" customWidth="1" style="51" min="3844" max="3844"/>
    <col width="8.28515625" customWidth="1" style="51" min="3845" max="3845"/>
    <col width="17.28515625" customWidth="1" style="51" min="3846" max="3846"/>
    <col width="6.140625" customWidth="1" style="51" min="3847" max="3847"/>
    <col width="15.140625" customWidth="1" style="51" min="3848" max="3848"/>
    <col width="9.140625" customWidth="1" style="51" min="3849" max="3849"/>
    <col width="15" customWidth="1" style="51" min="3850" max="3850"/>
    <col width="6.85546875" customWidth="1" style="51" min="3851" max="3851"/>
    <col width="13.28515625" customWidth="1" style="51" min="3852" max="3852"/>
    <col width="9.42578125" customWidth="1" style="51" min="3853" max="3853"/>
    <col width="11" customWidth="1" style="51" min="3854" max="3854"/>
    <col width="10.140625" customWidth="1" style="51" min="3855" max="3855"/>
    <col width="11.140625" customWidth="1" style="51" min="3856" max="3856"/>
    <col width="7" customWidth="1" style="51" min="3857" max="3857"/>
    <col width="10.85546875" customWidth="1" style="51" min="3858" max="3858"/>
    <col width="5.85546875" customWidth="1" style="51" min="3859" max="3859"/>
    <col width="10" customWidth="1" style="51" min="3860" max="3860"/>
    <col width="9.140625" customWidth="1" style="51" min="3861" max="4095"/>
    <col width="9.5703125" customWidth="1" style="51" min="4096" max="4096"/>
    <col width="30.7109375" customWidth="1" style="51" min="4097" max="4097"/>
    <col width="14.7109375" customWidth="1" style="51" min="4098" max="4098"/>
    <col width="8.28515625" customWidth="1" style="51" min="4099" max="4099"/>
    <col width="11.85546875" customWidth="1" style="51" min="4100" max="4100"/>
    <col width="8.28515625" customWidth="1" style="51" min="4101" max="4101"/>
    <col width="17.28515625" customWidth="1" style="51" min="4102" max="4102"/>
    <col width="6.140625" customWidth="1" style="51" min="4103" max="4103"/>
    <col width="15.140625" customWidth="1" style="51" min="4104" max="4104"/>
    <col width="9.140625" customWidth="1" style="51" min="4105" max="4105"/>
    <col width="15" customWidth="1" style="51" min="4106" max="4106"/>
    <col width="6.85546875" customWidth="1" style="51" min="4107" max="4107"/>
    <col width="13.28515625" customWidth="1" style="51" min="4108" max="4108"/>
    <col width="9.42578125" customWidth="1" style="51" min="4109" max="4109"/>
    <col width="11" customWidth="1" style="51" min="4110" max="4110"/>
    <col width="10.140625" customWidth="1" style="51" min="4111" max="4111"/>
    <col width="11.140625" customWidth="1" style="51" min="4112" max="4112"/>
    <col width="7" customWidth="1" style="51" min="4113" max="4113"/>
    <col width="10.85546875" customWidth="1" style="51" min="4114" max="4114"/>
    <col width="5.85546875" customWidth="1" style="51" min="4115" max="4115"/>
    <col width="10" customWidth="1" style="51" min="4116" max="4116"/>
    <col width="9.140625" customWidth="1" style="51" min="4117" max="4351"/>
    <col width="9.5703125" customWidth="1" style="51" min="4352" max="4352"/>
    <col width="30.7109375" customWidth="1" style="51" min="4353" max="4353"/>
    <col width="14.7109375" customWidth="1" style="51" min="4354" max="4354"/>
    <col width="8.28515625" customWidth="1" style="51" min="4355" max="4355"/>
    <col width="11.85546875" customWidth="1" style="51" min="4356" max="4356"/>
    <col width="8.28515625" customWidth="1" style="51" min="4357" max="4357"/>
    <col width="17.28515625" customWidth="1" style="51" min="4358" max="4358"/>
    <col width="6.140625" customWidth="1" style="51" min="4359" max="4359"/>
    <col width="15.140625" customWidth="1" style="51" min="4360" max="4360"/>
    <col width="9.140625" customWidth="1" style="51" min="4361" max="4361"/>
    <col width="15" customWidth="1" style="51" min="4362" max="4362"/>
    <col width="6.85546875" customWidth="1" style="51" min="4363" max="4363"/>
    <col width="13.28515625" customWidth="1" style="51" min="4364" max="4364"/>
    <col width="9.42578125" customWidth="1" style="51" min="4365" max="4365"/>
    <col width="11" customWidth="1" style="51" min="4366" max="4366"/>
    <col width="10.140625" customWidth="1" style="51" min="4367" max="4367"/>
    <col width="11.140625" customWidth="1" style="51" min="4368" max="4368"/>
    <col width="7" customWidth="1" style="51" min="4369" max="4369"/>
    <col width="10.85546875" customWidth="1" style="51" min="4370" max="4370"/>
    <col width="5.85546875" customWidth="1" style="51" min="4371" max="4371"/>
    <col width="10" customWidth="1" style="51" min="4372" max="4372"/>
    <col width="9.140625" customWidth="1" style="51" min="4373" max="4607"/>
    <col width="9.5703125" customWidth="1" style="51" min="4608" max="4608"/>
    <col width="30.7109375" customWidth="1" style="51" min="4609" max="4609"/>
    <col width="14.7109375" customWidth="1" style="51" min="4610" max="4610"/>
    <col width="8.28515625" customWidth="1" style="51" min="4611" max="4611"/>
    <col width="11.85546875" customWidth="1" style="51" min="4612" max="4612"/>
    <col width="8.28515625" customWidth="1" style="51" min="4613" max="4613"/>
    <col width="17.28515625" customWidth="1" style="51" min="4614" max="4614"/>
    <col width="6.140625" customWidth="1" style="51" min="4615" max="4615"/>
    <col width="15.140625" customWidth="1" style="51" min="4616" max="4616"/>
    <col width="9.140625" customWidth="1" style="51" min="4617" max="4617"/>
    <col width="15" customWidth="1" style="51" min="4618" max="4618"/>
    <col width="6.85546875" customWidth="1" style="51" min="4619" max="4619"/>
    <col width="13.28515625" customWidth="1" style="51" min="4620" max="4620"/>
    <col width="9.42578125" customWidth="1" style="51" min="4621" max="4621"/>
    <col width="11" customWidth="1" style="51" min="4622" max="4622"/>
    <col width="10.140625" customWidth="1" style="51" min="4623" max="4623"/>
    <col width="11.140625" customWidth="1" style="51" min="4624" max="4624"/>
    <col width="7" customWidth="1" style="51" min="4625" max="4625"/>
    <col width="10.85546875" customWidth="1" style="51" min="4626" max="4626"/>
    <col width="5.85546875" customWidth="1" style="51" min="4627" max="4627"/>
    <col width="10" customWidth="1" style="51" min="4628" max="4628"/>
    <col width="9.140625" customWidth="1" style="51" min="4629" max="4863"/>
    <col width="9.5703125" customWidth="1" style="51" min="4864" max="4864"/>
    <col width="30.7109375" customWidth="1" style="51" min="4865" max="4865"/>
    <col width="14.7109375" customWidth="1" style="51" min="4866" max="4866"/>
    <col width="8.28515625" customWidth="1" style="51" min="4867" max="4867"/>
    <col width="11.85546875" customWidth="1" style="51" min="4868" max="4868"/>
    <col width="8.28515625" customWidth="1" style="51" min="4869" max="4869"/>
    <col width="17.28515625" customWidth="1" style="51" min="4870" max="4870"/>
    <col width="6.140625" customWidth="1" style="51" min="4871" max="4871"/>
    <col width="15.140625" customWidth="1" style="51" min="4872" max="4872"/>
    <col width="9.140625" customWidth="1" style="51" min="4873" max="4873"/>
    <col width="15" customWidth="1" style="51" min="4874" max="4874"/>
    <col width="6.85546875" customWidth="1" style="51" min="4875" max="4875"/>
    <col width="13.28515625" customWidth="1" style="51" min="4876" max="4876"/>
    <col width="9.42578125" customWidth="1" style="51" min="4877" max="4877"/>
    <col width="11" customWidth="1" style="51" min="4878" max="4878"/>
    <col width="10.140625" customWidth="1" style="51" min="4879" max="4879"/>
    <col width="11.140625" customWidth="1" style="51" min="4880" max="4880"/>
    <col width="7" customWidth="1" style="51" min="4881" max="4881"/>
    <col width="10.85546875" customWidth="1" style="51" min="4882" max="4882"/>
    <col width="5.85546875" customWidth="1" style="51" min="4883" max="4883"/>
    <col width="10" customWidth="1" style="51" min="4884" max="4884"/>
    <col width="9.140625" customWidth="1" style="51" min="4885" max="5119"/>
    <col width="9.5703125" customWidth="1" style="51" min="5120" max="5120"/>
    <col width="30.7109375" customWidth="1" style="51" min="5121" max="5121"/>
    <col width="14.7109375" customWidth="1" style="51" min="5122" max="5122"/>
    <col width="8.28515625" customWidth="1" style="51" min="5123" max="5123"/>
    <col width="11.85546875" customWidth="1" style="51" min="5124" max="5124"/>
    <col width="8.28515625" customWidth="1" style="51" min="5125" max="5125"/>
    <col width="17.28515625" customWidth="1" style="51" min="5126" max="5126"/>
    <col width="6.140625" customWidth="1" style="51" min="5127" max="5127"/>
    <col width="15.140625" customWidth="1" style="51" min="5128" max="5128"/>
    <col width="9.140625" customWidth="1" style="51" min="5129" max="5129"/>
    <col width="15" customWidth="1" style="51" min="5130" max="5130"/>
    <col width="6.85546875" customWidth="1" style="51" min="5131" max="5131"/>
    <col width="13.28515625" customWidth="1" style="51" min="5132" max="5132"/>
    <col width="9.42578125" customWidth="1" style="51" min="5133" max="5133"/>
    <col width="11" customWidth="1" style="51" min="5134" max="5134"/>
    <col width="10.140625" customWidth="1" style="51" min="5135" max="5135"/>
    <col width="11.140625" customWidth="1" style="51" min="5136" max="5136"/>
    <col width="7" customWidth="1" style="51" min="5137" max="5137"/>
    <col width="10.85546875" customWidth="1" style="51" min="5138" max="5138"/>
    <col width="5.85546875" customWidth="1" style="51" min="5139" max="5139"/>
    <col width="10" customWidth="1" style="51" min="5140" max="5140"/>
    <col width="9.140625" customWidth="1" style="51" min="5141" max="5375"/>
    <col width="9.5703125" customWidth="1" style="51" min="5376" max="5376"/>
    <col width="30.7109375" customWidth="1" style="51" min="5377" max="5377"/>
    <col width="14.7109375" customWidth="1" style="51" min="5378" max="5378"/>
    <col width="8.28515625" customWidth="1" style="51" min="5379" max="5379"/>
    <col width="11.85546875" customWidth="1" style="51" min="5380" max="5380"/>
    <col width="8.28515625" customWidth="1" style="51" min="5381" max="5381"/>
    <col width="17.28515625" customWidth="1" style="51" min="5382" max="5382"/>
    <col width="6.140625" customWidth="1" style="51" min="5383" max="5383"/>
    <col width="15.140625" customWidth="1" style="51" min="5384" max="5384"/>
    <col width="9.140625" customWidth="1" style="51" min="5385" max="5385"/>
    <col width="15" customWidth="1" style="51" min="5386" max="5386"/>
    <col width="6.85546875" customWidth="1" style="51" min="5387" max="5387"/>
    <col width="13.28515625" customWidth="1" style="51" min="5388" max="5388"/>
    <col width="9.42578125" customWidth="1" style="51" min="5389" max="5389"/>
    <col width="11" customWidth="1" style="51" min="5390" max="5390"/>
    <col width="10.140625" customWidth="1" style="51" min="5391" max="5391"/>
    <col width="11.140625" customWidth="1" style="51" min="5392" max="5392"/>
    <col width="7" customWidth="1" style="51" min="5393" max="5393"/>
    <col width="10.85546875" customWidth="1" style="51" min="5394" max="5394"/>
    <col width="5.85546875" customWidth="1" style="51" min="5395" max="5395"/>
    <col width="10" customWidth="1" style="51" min="5396" max="5396"/>
    <col width="9.140625" customWidth="1" style="51" min="5397" max="5631"/>
    <col width="9.5703125" customWidth="1" style="51" min="5632" max="5632"/>
    <col width="30.7109375" customWidth="1" style="51" min="5633" max="5633"/>
    <col width="14.7109375" customWidth="1" style="51" min="5634" max="5634"/>
    <col width="8.28515625" customWidth="1" style="51" min="5635" max="5635"/>
    <col width="11.85546875" customWidth="1" style="51" min="5636" max="5636"/>
    <col width="8.28515625" customWidth="1" style="51" min="5637" max="5637"/>
    <col width="17.28515625" customWidth="1" style="51" min="5638" max="5638"/>
    <col width="6.140625" customWidth="1" style="51" min="5639" max="5639"/>
    <col width="15.140625" customWidth="1" style="51" min="5640" max="5640"/>
    <col width="9.140625" customWidth="1" style="51" min="5641" max="5641"/>
    <col width="15" customWidth="1" style="51" min="5642" max="5642"/>
    <col width="6.85546875" customWidth="1" style="51" min="5643" max="5643"/>
    <col width="13.28515625" customWidth="1" style="51" min="5644" max="5644"/>
    <col width="9.42578125" customWidth="1" style="51" min="5645" max="5645"/>
    <col width="11" customWidth="1" style="51" min="5646" max="5646"/>
    <col width="10.140625" customWidth="1" style="51" min="5647" max="5647"/>
    <col width="11.140625" customWidth="1" style="51" min="5648" max="5648"/>
    <col width="7" customWidth="1" style="51" min="5649" max="5649"/>
    <col width="10.85546875" customWidth="1" style="51" min="5650" max="5650"/>
    <col width="5.85546875" customWidth="1" style="51" min="5651" max="5651"/>
    <col width="10" customWidth="1" style="51" min="5652" max="5652"/>
    <col width="9.140625" customWidth="1" style="51" min="5653" max="5887"/>
    <col width="9.5703125" customWidth="1" style="51" min="5888" max="5888"/>
    <col width="30.7109375" customWidth="1" style="51" min="5889" max="5889"/>
    <col width="14.7109375" customWidth="1" style="51" min="5890" max="5890"/>
    <col width="8.28515625" customWidth="1" style="51" min="5891" max="5891"/>
    <col width="11.85546875" customWidth="1" style="51" min="5892" max="5892"/>
    <col width="8.28515625" customWidth="1" style="51" min="5893" max="5893"/>
    <col width="17.28515625" customWidth="1" style="51" min="5894" max="5894"/>
    <col width="6.140625" customWidth="1" style="51" min="5895" max="5895"/>
    <col width="15.140625" customWidth="1" style="51" min="5896" max="5896"/>
    <col width="9.140625" customWidth="1" style="51" min="5897" max="5897"/>
    <col width="15" customWidth="1" style="51" min="5898" max="5898"/>
    <col width="6.85546875" customWidth="1" style="51" min="5899" max="5899"/>
    <col width="13.28515625" customWidth="1" style="51" min="5900" max="5900"/>
    <col width="9.42578125" customWidth="1" style="51" min="5901" max="5901"/>
    <col width="11" customWidth="1" style="51" min="5902" max="5902"/>
    <col width="10.140625" customWidth="1" style="51" min="5903" max="5903"/>
    <col width="11.140625" customWidth="1" style="51" min="5904" max="5904"/>
    <col width="7" customWidth="1" style="51" min="5905" max="5905"/>
    <col width="10.85546875" customWidth="1" style="51" min="5906" max="5906"/>
    <col width="5.85546875" customWidth="1" style="51" min="5907" max="5907"/>
    <col width="10" customWidth="1" style="51" min="5908" max="5908"/>
    <col width="9.140625" customWidth="1" style="51" min="5909" max="6143"/>
    <col width="9.5703125" customWidth="1" style="51" min="6144" max="6144"/>
    <col width="30.7109375" customWidth="1" style="51" min="6145" max="6145"/>
    <col width="14.7109375" customWidth="1" style="51" min="6146" max="6146"/>
    <col width="8.28515625" customWidth="1" style="51" min="6147" max="6147"/>
    <col width="11.85546875" customWidth="1" style="51" min="6148" max="6148"/>
    <col width="8.28515625" customWidth="1" style="51" min="6149" max="6149"/>
    <col width="17.28515625" customWidth="1" style="51" min="6150" max="6150"/>
    <col width="6.140625" customWidth="1" style="51" min="6151" max="6151"/>
    <col width="15.140625" customWidth="1" style="51" min="6152" max="6152"/>
    <col width="9.140625" customWidth="1" style="51" min="6153" max="6153"/>
    <col width="15" customWidth="1" style="51" min="6154" max="6154"/>
    <col width="6.85546875" customWidth="1" style="51" min="6155" max="6155"/>
    <col width="13.28515625" customWidth="1" style="51" min="6156" max="6156"/>
    <col width="9.42578125" customWidth="1" style="51" min="6157" max="6157"/>
    <col width="11" customWidth="1" style="51" min="6158" max="6158"/>
    <col width="10.140625" customWidth="1" style="51" min="6159" max="6159"/>
    <col width="11.140625" customWidth="1" style="51" min="6160" max="6160"/>
    <col width="7" customWidth="1" style="51" min="6161" max="6161"/>
    <col width="10.85546875" customWidth="1" style="51" min="6162" max="6162"/>
    <col width="5.85546875" customWidth="1" style="51" min="6163" max="6163"/>
    <col width="10" customWidth="1" style="51" min="6164" max="6164"/>
    <col width="9.140625" customWidth="1" style="51" min="6165" max="6399"/>
    <col width="9.5703125" customWidth="1" style="51" min="6400" max="6400"/>
    <col width="30.7109375" customWidth="1" style="51" min="6401" max="6401"/>
    <col width="14.7109375" customWidth="1" style="51" min="6402" max="6402"/>
    <col width="8.28515625" customWidth="1" style="51" min="6403" max="6403"/>
    <col width="11.85546875" customWidth="1" style="51" min="6404" max="6404"/>
    <col width="8.28515625" customWidth="1" style="51" min="6405" max="6405"/>
    <col width="17.28515625" customWidth="1" style="51" min="6406" max="6406"/>
    <col width="6.140625" customWidth="1" style="51" min="6407" max="6407"/>
    <col width="15.140625" customWidth="1" style="51" min="6408" max="6408"/>
    <col width="9.140625" customWidth="1" style="51" min="6409" max="6409"/>
    <col width="15" customWidth="1" style="51" min="6410" max="6410"/>
    <col width="6.85546875" customWidth="1" style="51" min="6411" max="6411"/>
    <col width="13.28515625" customWidth="1" style="51" min="6412" max="6412"/>
    <col width="9.42578125" customWidth="1" style="51" min="6413" max="6413"/>
    <col width="11" customWidth="1" style="51" min="6414" max="6414"/>
    <col width="10.140625" customWidth="1" style="51" min="6415" max="6415"/>
    <col width="11.140625" customWidth="1" style="51" min="6416" max="6416"/>
    <col width="7" customWidth="1" style="51" min="6417" max="6417"/>
    <col width="10.85546875" customWidth="1" style="51" min="6418" max="6418"/>
    <col width="5.85546875" customWidth="1" style="51" min="6419" max="6419"/>
    <col width="10" customWidth="1" style="51" min="6420" max="6420"/>
    <col width="9.140625" customWidth="1" style="51" min="6421" max="6655"/>
    <col width="9.5703125" customWidth="1" style="51" min="6656" max="6656"/>
    <col width="30.7109375" customWidth="1" style="51" min="6657" max="6657"/>
    <col width="14.7109375" customWidth="1" style="51" min="6658" max="6658"/>
    <col width="8.28515625" customWidth="1" style="51" min="6659" max="6659"/>
    <col width="11.85546875" customWidth="1" style="51" min="6660" max="6660"/>
    <col width="8.28515625" customWidth="1" style="51" min="6661" max="6661"/>
    <col width="17.28515625" customWidth="1" style="51" min="6662" max="6662"/>
    <col width="6.140625" customWidth="1" style="51" min="6663" max="6663"/>
    <col width="15.140625" customWidth="1" style="51" min="6664" max="6664"/>
    <col width="9.140625" customWidth="1" style="51" min="6665" max="6665"/>
    <col width="15" customWidth="1" style="51" min="6666" max="6666"/>
    <col width="6.85546875" customWidth="1" style="51" min="6667" max="6667"/>
    <col width="13.28515625" customWidth="1" style="51" min="6668" max="6668"/>
    <col width="9.42578125" customWidth="1" style="51" min="6669" max="6669"/>
    <col width="11" customWidth="1" style="51" min="6670" max="6670"/>
    <col width="10.140625" customWidth="1" style="51" min="6671" max="6671"/>
    <col width="11.140625" customWidth="1" style="51" min="6672" max="6672"/>
    <col width="7" customWidth="1" style="51" min="6673" max="6673"/>
    <col width="10.85546875" customWidth="1" style="51" min="6674" max="6674"/>
    <col width="5.85546875" customWidth="1" style="51" min="6675" max="6675"/>
    <col width="10" customWidth="1" style="51" min="6676" max="6676"/>
    <col width="9.140625" customWidth="1" style="51" min="6677" max="6911"/>
    <col width="9.5703125" customWidth="1" style="51" min="6912" max="6912"/>
    <col width="30.7109375" customWidth="1" style="51" min="6913" max="6913"/>
    <col width="14.7109375" customWidth="1" style="51" min="6914" max="6914"/>
    <col width="8.28515625" customWidth="1" style="51" min="6915" max="6915"/>
    <col width="11.85546875" customWidth="1" style="51" min="6916" max="6916"/>
    <col width="8.28515625" customWidth="1" style="51" min="6917" max="6917"/>
    <col width="17.28515625" customWidth="1" style="51" min="6918" max="6918"/>
    <col width="6.140625" customWidth="1" style="51" min="6919" max="6919"/>
    <col width="15.140625" customWidth="1" style="51" min="6920" max="6920"/>
    <col width="9.140625" customWidth="1" style="51" min="6921" max="6921"/>
    <col width="15" customWidth="1" style="51" min="6922" max="6922"/>
    <col width="6.85546875" customWidth="1" style="51" min="6923" max="6923"/>
    <col width="13.28515625" customWidth="1" style="51" min="6924" max="6924"/>
    <col width="9.42578125" customWidth="1" style="51" min="6925" max="6925"/>
    <col width="11" customWidth="1" style="51" min="6926" max="6926"/>
    <col width="10.140625" customWidth="1" style="51" min="6927" max="6927"/>
    <col width="11.140625" customWidth="1" style="51" min="6928" max="6928"/>
    <col width="7" customWidth="1" style="51" min="6929" max="6929"/>
    <col width="10.85546875" customWidth="1" style="51" min="6930" max="6930"/>
    <col width="5.85546875" customWidth="1" style="51" min="6931" max="6931"/>
    <col width="10" customWidth="1" style="51" min="6932" max="6932"/>
    <col width="9.140625" customWidth="1" style="51" min="6933" max="7167"/>
    <col width="9.5703125" customWidth="1" style="51" min="7168" max="7168"/>
    <col width="30.7109375" customWidth="1" style="51" min="7169" max="7169"/>
    <col width="14.7109375" customWidth="1" style="51" min="7170" max="7170"/>
    <col width="8.28515625" customWidth="1" style="51" min="7171" max="7171"/>
    <col width="11.85546875" customWidth="1" style="51" min="7172" max="7172"/>
    <col width="8.28515625" customWidth="1" style="51" min="7173" max="7173"/>
    <col width="17.28515625" customWidth="1" style="51" min="7174" max="7174"/>
    <col width="6.140625" customWidth="1" style="51" min="7175" max="7175"/>
    <col width="15.140625" customWidth="1" style="51" min="7176" max="7176"/>
    <col width="9.140625" customWidth="1" style="51" min="7177" max="7177"/>
    <col width="15" customWidth="1" style="51" min="7178" max="7178"/>
    <col width="6.85546875" customWidth="1" style="51" min="7179" max="7179"/>
    <col width="13.28515625" customWidth="1" style="51" min="7180" max="7180"/>
    <col width="9.42578125" customWidth="1" style="51" min="7181" max="7181"/>
    <col width="11" customWidth="1" style="51" min="7182" max="7182"/>
    <col width="10.140625" customWidth="1" style="51" min="7183" max="7183"/>
    <col width="11.140625" customWidth="1" style="51" min="7184" max="7184"/>
    <col width="7" customWidth="1" style="51" min="7185" max="7185"/>
    <col width="10.85546875" customWidth="1" style="51" min="7186" max="7186"/>
    <col width="5.85546875" customWidth="1" style="51" min="7187" max="7187"/>
    <col width="10" customWidth="1" style="51" min="7188" max="7188"/>
    <col width="9.140625" customWidth="1" style="51" min="7189" max="7423"/>
    <col width="9.5703125" customWidth="1" style="51" min="7424" max="7424"/>
    <col width="30.7109375" customWidth="1" style="51" min="7425" max="7425"/>
    <col width="14.7109375" customWidth="1" style="51" min="7426" max="7426"/>
    <col width="8.28515625" customWidth="1" style="51" min="7427" max="7427"/>
    <col width="11.85546875" customWidth="1" style="51" min="7428" max="7428"/>
    <col width="8.28515625" customWidth="1" style="51" min="7429" max="7429"/>
    <col width="17.28515625" customWidth="1" style="51" min="7430" max="7430"/>
    <col width="6.140625" customWidth="1" style="51" min="7431" max="7431"/>
    <col width="15.140625" customWidth="1" style="51" min="7432" max="7432"/>
    <col width="9.140625" customWidth="1" style="51" min="7433" max="7433"/>
    <col width="15" customWidth="1" style="51" min="7434" max="7434"/>
    <col width="6.85546875" customWidth="1" style="51" min="7435" max="7435"/>
    <col width="13.28515625" customWidth="1" style="51" min="7436" max="7436"/>
    <col width="9.42578125" customWidth="1" style="51" min="7437" max="7437"/>
    <col width="11" customWidth="1" style="51" min="7438" max="7438"/>
    <col width="10.140625" customWidth="1" style="51" min="7439" max="7439"/>
    <col width="11.140625" customWidth="1" style="51" min="7440" max="7440"/>
    <col width="7" customWidth="1" style="51" min="7441" max="7441"/>
    <col width="10.85546875" customWidth="1" style="51" min="7442" max="7442"/>
    <col width="5.85546875" customWidth="1" style="51" min="7443" max="7443"/>
    <col width="10" customWidth="1" style="51" min="7444" max="7444"/>
    <col width="9.140625" customWidth="1" style="51" min="7445" max="7679"/>
    <col width="9.5703125" customWidth="1" style="51" min="7680" max="7680"/>
    <col width="30.7109375" customWidth="1" style="51" min="7681" max="7681"/>
    <col width="14.7109375" customWidth="1" style="51" min="7682" max="7682"/>
    <col width="8.28515625" customWidth="1" style="51" min="7683" max="7683"/>
    <col width="11.85546875" customWidth="1" style="51" min="7684" max="7684"/>
    <col width="8.28515625" customWidth="1" style="51" min="7685" max="7685"/>
    <col width="17.28515625" customWidth="1" style="51" min="7686" max="7686"/>
    <col width="6.140625" customWidth="1" style="51" min="7687" max="7687"/>
    <col width="15.140625" customWidth="1" style="51" min="7688" max="7688"/>
    <col width="9.140625" customWidth="1" style="51" min="7689" max="7689"/>
    <col width="15" customWidth="1" style="51" min="7690" max="7690"/>
    <col width="6.85546875" customWidth="1" style="51" min="7691" max="7691"/>
    <col width="13.28515625" customWidth="1" style="51" min="7692" max="7692"/>
    <col width="9.42578125" customWidth="1" style="51" min="7693" max="7693"/>
    <col width="11" customWidth="1" style="51" min="7694" max="7694"/>
    <col width="10.140625" customWidth="1" style="51" min="7695" max="7695"/>
    <col width="11.140625" customWidth="1" style="51" min="7696" max="7696"/>
    <col width="7" customWidth="1" style="51" min="7697" max="7697"/>
    <col width="10.85546875" customWidth="1" style="51" min="7698" max="7698"/>
    <col width="5.85546875" customWidth="1" style="51" min="7699" max="7699"/>
    <col width="10" customWidth="1" style="51" min="7700" max="7700"/>
    <col width="9.140625" customWidth="1" style="51" min="7701" max="7935"/>
    <col width="9.5703125" customWidth="1" style="51" min="7936" max="7936"/>
    <col width="30.7109375" customWidth="1" style="51" min="7937" max="7937"/>
    <col width="14.7109375" customWidth="1" style="51" min="7938" max="7938"/>
    <col width="8.28515625" customWidth="1" style="51" min="7939" max="7939"/>
    <col width="11.85546875" customWidth="1" style="51" min="7940" max="7940"/>
    <col width="8.28515625" customWidth="1" style="51" min="7941" max="7941"/>
    <col width="17.28515625" customWidth="1" style="51" min="7942" max="7942"/>
    <col width="6.140625" customWidth="1" style="51" min="7943" max="7943"/>
    <col width="15.140625" customWidth="1" style="51" min="7944" max="7944"/>
    <col width="9.140625" customWidth="1" style="51" min="7945" max="7945"/>
    <col width="15" customWidth="1" style="51" min="7946" max="7946"/>
    <col width="6.85546875" customWidth="1" style="51" min="7947" max="7947"/>
    <col width="13.28515625" customWidth="1" style="51" min="7948" max="7948"/>
    <col width="9.42578125" customWidth="1" style="51" min="7949" max="7949"/>
    <col width="11" customWidth="1" style="51" min="7950" max="7950"/>
    <col width="10.140625" customWidth="1" style="51" min="7951" max="7951"/>
    <col width="11.140625" customWidth="1" style="51" min="7952" max="7952"/>
    <col width="7" customWidth="1" style="51" min="7953" max="7953"/>
    <col width="10.85546875" customWidth="1" style="51" min="7954" max="7954"/>
    <col width="5.85546875" customWidth="1" style="51" min="7955" max="7955"/>
    <col width="10" customWidth="1" style="51" min="7956" max="7956"/>
    <col width="9.140625" customWidth="1" style="51" min="7957" max="8191"/>
    <col width="9.5703125" customWidth="1" style="51" min="8192" max="8192"/>
    <col width="30.7109375" customWidth="1" style="51" min="8193" max="8193"/>
    <col width="14.7109375" customWidth="1" style="51" min="8194" max="8194"/>
    <col width="8.28515625" customWidth="1" style="51" min="8195" max="8195"/>
    <col width="11.85546875" customWidth="1" style="51" min="8196" max="8196"/>
    <col width="8.28515625" customWidth="1" style="51" min="8197" max="8197"/>
    <col width="17.28515625" customWidth="1" style="51" min="8198" max="8198"/>
    <col width="6.140625" customWidth="1" style="51" min="8199" max="8199"/>
    <col width="15.140625" customWidth="1" style="51" min="8200" max="8200"/>
    <col width="9.140625" customWidth="1" style="51" min="8201" max="8201"/>
    <col width="15" customWidth="1" style="51" min="8202" max="8202"/>
    <col width="6.85546875" customWidth="1" style="51" min="8203" max="8203"/>
    <col width="13.28515625" customWidth="1" style="51" min="8204" max="8204"/>
    <col width="9.42578125" customWidth="1" style="51" min="8205" max="8205"/>
    <col width="11" customWidth="1" style="51" min="8206" max="8206"/>
    <col width="10.140625" customWidth="1" style="51" min="8207" max="8207"/>
    <col width="11.140625" customWidth="1" style="51" min="8208" max="8208"/>
    <col width="7" customWidth="1" style="51" min="8209" max="8209"/>
    <col width="10.85546875" customWidth="1" style="51" min="8210" max="8210"/>
    <col width="5.85546875" customWidth="1" style="51" min="8211" max="8211"/>
    <col width="10" customWidth="1" style="51" min="8212" max="8212"/>
    <col width="9.140625" customWidth="1" style="51" min="8213" max="8447"/>
    <col width="9.5703125" customWidth="1" style="51" min="8448" max="8448"/>
    <col width="30.7109375" customWidth="1" style="51" min="8449" max="8449"/>
    <col width="14.7109375" customWidth="1" style="51" min="8450" max="8450"/>
    <col width="8.28515625" customWidth="1" style="51" min="8451" max="8451"/>
    <col width="11.85546875" customWidth="1" style="51" min="8452" max="8452"/>
    <col width="8.28515625" customWidth="1" style="51" min="8453" max="8453"/>
    <col width="17.28515625" customWidth="1" style="51" min="8454" max="8454"/>
    <col width="6.140625" customWidth="1" style="51" min="8455" max="8455"/>
    <col width="15.140625" customWidth="1" style="51" min="8456" max="8456"/>
    <col width="9.140625" customWidth="1" style="51" min="8457" max="8457"/>
    <col width="15" customWidth="1" style="51" min="8458" max="8458"/>
    <col width="6.85546875" customWidth="1" style="51" min="8459" max="8459"/>
    <col width="13.28515625" customWidth="1" style="51" min="8460" max="8460"/>
    <col width="9.42578125" customWidth="1" style="51" min="8461" max="8461"/>
    <col width="11" customWidth="1" style="51" min="8462" max="8462"/>
    <col width="10.140625" customWidth="1" style="51" min="8463" max="8463"/>
    <col width="11.140625" customWidth="1" style="51" min="8464" max="8464"/>
    <col width="7" customWidth="1" style="51" min="8465" max="8465"/>
    <col width="10.85546875" customWidth="1" style="51" min="8466" max="8466"/>
    <col width="5.85546875" customWidth="1" style="51" min="8467" max="8467"/>
    <col width="10" customWidth="1" style="51" min="8468" max="8468"/>
    <col width="9.140625" customWidth="1" style="51" min="8469" max="8703"/>
    <col width="9.5703125" customWidth="1" style="51" min="8704" max="8704"/>
    <col width="30.7109375" customWidth="1" style="51" min="8705" max="8705"/>
    <col width="14.7109375" customWidth="1" style="51" min="8706" max="8706"/>
    <col width="8.28515625" customWidth="1" style="51" min="8707" max="8707"/>
    <col width="11.85546875" customWidth="1" style="51" min="8708" max="8708"/>
    <col width="8.28515625" customWidth="1" style="51" min="8709" max="8709"/>
    <col width="17.28515625" customWidth="1" style="51" min="8710" max="8710"/>
    <col width="6.140625" customWidth="1" style="51" min="8711" max="8711"/>
    <col width="15.140625" customWidth="1" style="51" min="8712" max="8712"/>
    <col width="9.140625" customWidth="1" style="51" min="8713" max="8713"/>
    <col width="15" customWidth="1" style="51" min="8714" max="8714"/>
    <col width="6.85546875" customWidth="1" style="51" min="8715" max="8715"/>
    <col width="13.28515625" customWidth="1" style="51" min="8716" max="8716"/>
    <col width="9.42578125" customWidth="1" style="51" min="8717" max="8717"/>
    <col width="11" customWidth="1" style="51" min="8718" max="8718"/>
    <col width="10.140625" customWidth="1" style="51" min="8719" max="8719"/>
    <col width="11.140625" customWidth="1" style="51" min="8720" max="8720"/>
    <col width="7" customWidth="1" style="51" min="8721" max="8721"/>
    <col width="10.85546875" customWidth="1" style="51" min="8722" max="8722"/>
    <col width="5.85546875" customWidth="1" style="51" min="8723" max="8723"/>
    <col width="10" customWidth="1" style="51" min="8724" max="8724"/>
    <col width="9.140625" customWidth="1" style="51" min="8725" max="8959"/>
    <col width="9.5703125" customWidth="1" style="51" min="8960" max="8960"/>
    <col width="30.7109375" customWidth="1" style="51" min="8961" max="8961"/>
    <col width="14.7109375" customWidth="1" style="51" min="8962" max="8962"/>
    <col width="8.28515625" customWidth="1" style="51" min="8963" max="8963"/>
    <col width="11.85546875" customWidth="1" style="51" min="8964" max="8964"/>
    <col width="8.28515625" customWidth="1" style="51" min="8965" max="8965"/>
    <col width="17.28515625" customWidth="1" style="51" min="8966" max="8966"/>
    <col width="6.140625" customWidth="1" style="51" min="8967" max="8967"/>
    <col width="15.140625" customWidth="1" style="51" min="8968" max="8968"/>
    <col width="9.140625" customWidth="1" style="51" min="8969" max="8969"/>
    <col width="15" customWidth="1" style="51" min="8970" max="8970"/>
    <col width="6.85546875" customWidth="1" style="51" min="8971" max="8971"/>
    <col width="13.28515625" customWidth="1" style="51" min="8972" max="8972"/>
    <col width="9.42578125" customWidth="1" style="51" min="8973" max="8973"/>
    <col width="11" customWidth="1" style="51" min="8974" max="8974"/>
    <col width="10.140625" customWidth="1" style="51" min="8975" max="8975"/>
    <col width="11.140625" customWidth="1" style="51" min="8976" max="8976"/>
    <col width="7" customWidth="1" style="51" min="8977" max="8977"/>
    <col width="10.85546875" customWidth="1" style="51" min="8978" max="8978"/>
    <col width="5.85546875" customWidth="1" style="51" min="8979" max="8979"/>
    <col width="10" customWidth="1" style="51" min="8980" max="8980"/>
    <col width="9.140625" customWidth="1" style="51" min="8981" max="9215"/>
    <col width="9.5703125" customWidth="1" style="51" min="9216" max="9216"/>
    <col width="30.7109375" customWidth="1" style="51" min="9217" max="9217"/>
    <col width="14.7109375" customWidth="1" style="51" min="9218" max="9218"/>
    <col width="8.28515625" customWidth="1" style="51" min="9219" max="9219"/>
    <col width="11.85546875" customWidth="1" style="51" min="9220" max="9220"/>
    <col width="8.28515625" customWidth="1" style="51" min="9221" max="9221"/>
    <col width="17.28515625" customWidth="1" style="51" min="9222" max="9222"/>
    <col width="6.140625" customWidth="1" style="51" min="9223" max="9223"/>
    <col width="15.140625" customWidth="1" style="51" min="9224" max="9224"/>
    <col width="9.140625" customWidth="1" style="51" min="9225" max="9225"/>
    <col width="15" customWidth="1" style="51" min="9226" max="9226"/>
    <col width="6.85546875" customWidth="1" style="51" min="9227" max="9227"/>
    <col width="13.28515625" customWidth="1" style="51" min="9228" max="9228"/>
    <col width="9.42578125" customWidth="1" style="51" min="9229" max="9229"/>
    <col width="11" customWidth="1" style="51" min="9230" max="9230"/>
    <col width="10.140625" customWidth="1" style="51" min="9231" max="9231"/>
    <col width="11.140625" customWidth="1" style="51" min="9232" max="9232"/>
    <col width="7" customWidth="1" style="51" min="9233" max="9233"/>
    <col width="10.85546875" customWidth="1" style="51" min="9234" max="9234"/>
    <col width="5.85546875" customWidth="1" style="51" min="9235" max="9235"/>
    <col width="10" customWidth="1" style="51" min="9236" max="9236"/>
    <col width="9.140625" customWidth="1" style="51" min="9237" max="9471"/>
    <col width="9.5703125" customWidth="1" style="51" min="9472" max="9472"/>
    <col width="30.7109375" customWidth="1" style="51" min="9473" max="9473"/>
    <col width="14.7109375" customWidth="1" style="51" min="9474" max="9474"/>
    <col width="8.28515625" customWidth="1" style="51" min="9475" max="9475"/>
    <col width="11.85546875" customWidth="1" style="51" min="9476" max="9476"/>
    <col width="8.28515625" customWidth="1" style="51" min="9477" max="9477"/>
    <col width="17.28515625" customWidth="1" style="51" min="9478" max="9478"/>
    <col width="6.140625" customWidth="1" style="51" min="9479" max="9479"/>
    <col width="15.140625" customWidth="1" style="51" min="9480" max="9480"/>
    <col width="9.140625" customWidth="1" style="51" min="9481" max="9481"/>
    <col width="15" customWidth="1" style="51" min="9482" max="9482"/>
    <col width="6.85546875" customWidth="1" style="51" min="9483" max="9483"/>
    <col width="13.28515625" customWidth="1" style="51" min="9484" max="9484"/>
    <col width="9.42578125" customWidth="1" style="51" min="9485" max="9485"/>
    <col width="11" customWidth="1" style="51" min="9486" max="9486"/>
    <col width="10.140625" customWidth="1" style="51" min="9487" max="9487"/>
    <col width="11.140625" customWidth="1" style="51" min="9488" max="9488"/>
    <col width="7" customWidth="1" style="51" min="9489" max="9489"/>
    <col width="10.85546875" customWidth="1" style="51" min="9490" max="9490"/>
    <col width="5.85546875" customWidth="1" style="51" min="9491" max="9491"/>
    <col width="10" customWidth="1" style="51" min="9492" max="9492"/>
    <col width="9.140625" customWidth="1" style="51" min="9493" max="9727"/>
    <col width="9.5703125" customWidth="1" style="51" min="9728" max="9728"/>
    <col width="30.7109375" customWidth="1" style="51" min="9729" max="9729"/>
    <col width="14.7109375" customWidth="1" style="51" min="9730" max="9730"/>
    <col width="8.28515625" customWidth="1" style="51" min="9731" max="9731"/>
    <col width="11.85546875" customWidth="1" style="51" min="9732" max="9732"/>
    <col width="8.28515625" customWidth="1" style="51" min="9733" max="9733"/>
    <col width="17.28515625" customWidth="1" style="51" min="9734" max="9734"/>
    <col width="6.140625" customWidth="1" style="51" min="9735" max="9735"/>
    <col width="15.140625" customWidth="1" style="51" min="9736" max="9736"/>
    <col width="9.140625" customWidth="1" style="51" min="9737" max="9737"/>
    <col width="15" customWidth="1" style="51" min="9738" max="9738"/>
    <col width="6.85546875" customWidth="1" style="51" min="9739" max="9739"/>
    <col width="13.28515625" customWidth="1" style="51" min="9740" max="9740"/>
    <col width="9.42578125" customWidth="1" style="51" min="9741" max="9741"/>
    <col width="11" customWidth="1" style="51" min="9742" max="9742"/>
    <col width="10.140625" customWidth="1" style="51" min="9743" max="9743"/>
    <col width="11.140625" customWidth="1" style="51" min="9744" max="9744"/>
    <col width="7" customWidth="1" style="51" min="9745" max="9745"/>
    <col width="10.85546875" customWidth="1" style="51" min="9746" max="9746"/>
    <col width="5.85546875" customWidth="1" style="51" min="9747" max="9747"/>
    <col width="10" customWidth="1" style="51" min="9748" max="9748"/>
    <col width="9.140625" customWidth="1" style="51" min="9749" max="9983"/>
    <col width="9.5703125" customWidth="1" style="51" min="9984" max="9984"/>
    <col width="30.7109375" customWidth="1" style="51" min="9985" max="9985"/>
    <col width="14.7109375" customWidth="1" style="51" min="9986" max="9986"/>
    <col width="8.28515625" customWidth="1" style="51" min="9987" max="9987"/>
    <col width="11.85546875" customWidth="1" style="51" min="9988" max="9988"/>
    <col width="8.28515625" customWidth="1" style="51" min="9989" max="9989"/>
    <col width="17.28515625" customWidth="1" style="51" min="9990" max="9990"/>
    <col width="6.140625" customWidth="1" style="51" min="9991" max="9991"/>
    <col width="15.140625" customWidth="1" style="51" min="9992" max="9992"/>
    <col width="9.140625" customWidth="1" style="51" min="9993" max="9993"/>
    <col width="15" customWidth="1" style="51" min="9994" max="9994"/>
    <col width="6.85546875" customWidth="1" style="51" min="9995" max="9995"/>
    <col width="13.28515625" customWidth="1" style="51" min="9996" max="9996"/>
    <col width="9.42578125" customWidth="1" style="51" min="9997" max="9997"/>
    <col width="11" customWidth="1" style="51" min="9998" max="9998"/>
    <col width="10.140625" customWidth="1" style="51" min="9999" max="9999"/>
    <col width="11.140625" customWidth="1" style="51" min="10000" max="10000"/>
    <col width="7" customWidth="1" style="51" min="10001" max="10001"/>
    <col width="10.85546875" customWidth="1" style="51" min="10002" max="10002"/>
    <col width="5.85546875" customWidth="1" style="51" min="10003" max="10003"/>
    <col width="10" customWidth="1" style="51" min="10004" max="10004"/>
    <col width="9.140625" customWidth="1" style="51" min="10005" max="10239"/>
    <col width="9.5703125" customWidth="1" style="51" min="10240" max="10240"/>
    <col width="30.7109375" customWidth="1" style="51" min="10241" max="10241"/>
    <col width="14.7109375" customWidth="1" style="51" min="10242" max="10242"/>
    <col width="8.28515625" customWidth="1" style="51" min="10243" max="10243"/>
    <col width="11.85546875" customWidth="1" style="51" min="10244" max="10244"/>
    <col width="8.28515625" customWidth="1" style="51" min="10245" max="10245"/>
    <col width="17.28515625" customWidth="1" style="51" min="10246" max="10246"/>
    <col width="6.140625" customWidth="1" style="51" min="10247" max="10247"/>
    <col width="15.140625" customWidth="1" style="51" min="10248" max="10248"/>
    <col width="9.140625" customWidth="1" style="51" min="10249" max="10249"/>
    <col width="15" customWidth="1" style="51" min="10250" max="10250"/>
    <col width="6.85546875" customWidth="1" style="51" min="10251" max="10251"/>
    <col width="13.28515625" customWidth="1" style="51" min="10252" max="10252"/>
    <col width="9.42578125" customWidth="1" style="51" min="10253" max="10253"/>
    <col width="11" customWidth="1" style="51" min="10254" max="10254"/>
    <col width="10.140625" customWidth="1" style="51" min="10255" max="10255"/>
    <col width="11.140625" customWidth="1" style="51" min="10256" max="10256"/>
    <col width="7" customWidth="1" style="51" min="10257" max="10257"/>
    <col width="10.85546875" customWidth="1" style="51" min="10258" max="10258"/>
    <col width="5.85546875" customWidth="1" style="51" min="10259" max="10259"/>
    <col width="10" customWidth="1" style="51" min="10260" max="10260"/>
    <col width="9.140625" customWidth="1" style="51" min="10261" max="10495"/>
    <col width="9.5703125" customWidth="1" style="51" min="10496" max="10496"/>
    <col width="30.7109375" customWidth="1" style="51" min="10497" max="10497"/>
    <col width="14.7109375" customWidth="1" style="51" min="10498" max="10498"/>
    <col width="8.28515625" customWidth="1" style="51" min="10499" max="10499"/>
    <col width="11.85546875" customWidth="1" style="51" min="10500" max="10500"/>
    <col width="8.28515625" customWidth="1" style="51" min="10501" max="10501"/>
    <col width="17.28515625" customWidth="1" style="51" min="10502" max="10502"/>
    <col width="6.140625" customWidth="1" style="51" min="10503" max="10503"/>
    <col width="15.140625" customWidth="1" style="51" min="10504" max="10504"/>
    <col width="9.140625" customWidth="1" style="51" min="10505" max="10505"/>
    <col width="15" customWidth="1" style="51" min="10506" max="10506"/>
    <col width="6.85546875" customWidth="1" style="51" min="10507" max="10507"/>
    <col width="13.28515625" customWidth="1" style="51" min="10508" max="10508"/>
    <col width="9.42578125" customWidth="1" style="51" min="10509" max="10509"/>
    <col width="11" customWidth="1" style="51" min="10510" max="10510"/>
    <col width="10.140625" customWidth="1" style="51" min="10511" max="10511"/>
    <col width="11.140625" customWidth="1" style="51" min="10512" max="10512"/>
    <col width="7" customWidth="1" style="51" min="10513" max="10513"/>
    <col width="10.85546875" customWidth="1" style="51" min="10514" max="10514"/>
    <col width="5.85546875" customWidth="1" style="51" min="10515" max="10515"/>
    <col width="10" customWidth="1" style="51" min="10516" max="10516"/>
    <col width="9.140625" customWidth="1" style="51" min="10517" max="10751"/>
    <col width="9.5703125" customWidth="1" style="51" min="10752" max="10752"/>
    <col width="30.7109375" customWidth="1" style="51" min="10753" max="10753"/>
    <col width="14.7109375" customWidth="1" style="51" min="10754" max="10754"/>
    <col width="8.28515625" customWidth="1" style="51" min="10755" max="10755"/>
    <col width="11.85546875" customWidth="1" style="51" min="10756" max="10756"/>
    <col width="8.28515625" customWidth="1" style="51" min="10757" max="10757"/>
    <col width="17.28515625" customWidth="1" style="51" min="10758" max="10758"/>
    <col width="6.140625" customWidth="1" style="51" min="10759" max="10759"/>
    <col width="15.140625" customWidth="1" style="51" min="10760" max="10760"/>
    <col width="9.140625" customWidth="1" style="51" min="10761" max="10761"/>
    <col width="15" customWidth="1" style="51" min="10762" max="10762"/>
    <col width="6.85546875" customWidth="1" style="51" min="10763" max="10763"/>
    <col width="13.28515625" customWidth="1" style="51" min="10764" max="10764"/>
    <col width="9.42578125" customWidth="1" style="51" min="10765" max="10765"/>
    <col width="11" customWidth="1" style="51" min="10766" max="10766"/>
    <col width="10.140625" customWidth="1" style="51" min="10767" max="10767"/>
    <col width="11.140625" customWidth="1" style="51" min="10768" max="10768"/>
    <col width="7" customWidth="1" style="51" min="10769" max="10769"/>
    <col width="10.85546875" customWidth="1" style="51" min="10770" max="10770"/>
    <col width="5.85546875" customWidth="1" style="51" min="10771" max="10771"/>
    <col width="10" customWidth="1" style="51" min="10772" max="10772"/>
    <col width="9.140625" customWidth="1" style="51" min="10773" max="11007"/>
    <col width="9.5703125" customWidth="1" style="51" min="11008" max="11008"/>
    <col width="30.7109375" customWidth="1" style="51" min="11009" max="11009"/>
    <col width="14.7109375" customWidth="1" style="51" min="11010" max="11010"/>
    <col width="8.28515625" customWidth="1" style="51" min="11011" max="11011"/>
    <col width="11.85546875" customWidth="1" style="51" min="11012" max="11012"/>
    <col width="8.28515625" customWidth="1" style="51" min="11013" max="11013"/>
    <col width="17.28515625" customWidth="1" style="51" min="11014" max="11014"/>
    <col width="6.140625" customWidth="1" style="51" min="11015" max="11015"/>
    <col width="15.140625" customWidth="1" style="51" min="11016" max="11016"/>
    <col width="9.140625" customWidth="1" style="51" min="11017" max="11017"/>
    <col width="15" customWidth="1" style="51" min="11018" max="11018"/>
    <col width="6.85546875" customWidth="1" style="51" min="11019" max="11019"/>
    <col width="13.28515625" customWidth="1" style="51" min="11020" max="11020"/>
    <col width="9.42578125" customWidth="1" style="51" min="11021" max="11021"/>
    <col width="11" customWidth="1" style="51" min="11022" max="11022"/>
    <col width="10.140625" customWidth="1" style="51" min="11023" max="11023"/>
    <col width="11.140625" customWidth="1" style="51" min="11024" max="11024"/>
    <col width="7" customWidth="1" style="51" min="11025" max="11025"/>
    <col width="10.85546875" customWidth="1" style="51" min="11026" max="11026"/>
    <col width="5.85546875" customWidth="1" style="51" min="11027" max="11027"/>
    <col width="10" customWidth="1" style="51" min="11028" max="11028"/>
    <col width="9.140625" customWidth="1" style="51" min="11029" max="11263"/>
    <col width="9.5703125" customWidth="1" style="51" min="11264" max="11264"/>
    <col width="30.7109375" customWidth="1" style="51" min="11265" max="11265"/>
    <col width="14.7109375" customWidth="1" style="51" min="11266" max="11266"/>
    <col width="8.28515625" customWidth="1" style="51" min="11267" max="11267"/>
    <col width="11.85546875" customWidth="1" style="51" min="11268" max="11268"/>
    <col width="8.28515625" customWidth="1" style="51" min="11269" max="11269"/>
    <col width="17.28515625" customWidth="1" style="51" min="11270" max="11270"/>
    <col width="6.140625" customWidth="1" style="51" min="11271" max="11271"/>
    <col width="15.140625" customWidth="1" style="51" min="11272" max="11272"/>
    <col width="9.140625" customWidth="1" style="51" min="11273" max="11273"/>
    <col width="15" customWidth="1" style="51" min="11274" max="11274"/>
    <col width="6.85546875" customWidth="1" style="51" min="11275" max="11275"/>
    <col width="13.28515625" customWidth="1" style="51" min="11276" max="11276"/>
    <col width="9.42578125" customWidth="1" style="51" min="11277" max="11277"/>
    <col width="11" customWidth="1" style="51" min="11278" max="11278"/>
    <col width="10.140625" customWidth="1" style="51" min="11279" max="11279"/>
    <col width="11.140625" customWidth="1" style="51" min="11280" max="11280"/>
    <col width="7" customWidth="1" style="51" min="11281" max="11281"/>
    <col width="10.85546875" customWidth="1" style="51" min="11282" max="11282"/>
    <col width="5.85546875" customWidth="1" style="51" min="11283" max="11283"/>
    <col width="10" customWidth="1" style="51" min="11284" max="11284"/>
    <col width="9.140625" customWidth="1" style="51" min="11285" max="11519"/>
    <col width="9.5703125" customWidth="1" style="51" min="11520" max="11520"/>
    <col width="30.7109375" customWidth="1" style="51" min="11521" max="11521"/>
    <col width="14.7109375" customWidth="1" style="51" min="11522" max="11522"/>
    <col width="8.28515625" customWidth="1" style="51" min="11523" max="11523"/>
    <col width="11.85546875" customWidth="1" style="51" min="11524" max="11524"/>
    <col width="8.28515625" customWidth="1" style="51" min="11525" max="11525"/>
    <col width="17.28515625" customWidth="1" style="51" min="11526" max="11526"/>
    <col width="6.140625" customWidth="1" style="51" min="11527" max="11527"/>
    <col width="15.140625" customWidth="1" style="51" min="11528" max="11528"/>
    <col width="9.140625" customWidth="1" style="51" min="11529" max="11529"/>
    <col width="15" customWidth="1" style="51" min="11530" max="11530"/>
    <col width="6.85546875" customWidth="1" style="51" min="11531" max="11531"/>
    <col width="13.28515625" customWidth="1" style="51" min="11532" max="11532"/>
    <col width="9.42578125" customWidth="1" style="51" min="11533" max="11533"/>
    <col width="11" customWidth="1" style="51" min="11534" max="11534"/>
    <col width="10.140625" customWidth="1" style="51" min="11535" max="11535"/>
    <col width="11.140625" customWidth="1" style="51" min="11536" max="11536"/>
    <col width="7" customWidth="1" style="51" min="11537" max="11537"/>
    <col width="10.85546875" customWidth="1" style="51" min="11538" max="11538"/>
    <col width="5.85546875" customWidth="1" style="51" min="11539" max="11539"/>
    <col width="10" customWidth="1" style="51" min="11540" max="11540"/>
    <col width="9.140625" customWidth="1" style="51" min="11541" max="11775"/>
    <col width="9.5703125" customWidth="1" style="51" min="11776" max="11776"/>
    <col width="30.7109375" customWidth="1" style="51" min="11777" max="11777"/>
    <col width="14.7109375" customWidth="1" style="51" min="11778" max="11778"/>
    <col width="8.28515625" customWidth="1" style="51" min="11779" max="11779"/>
    <col width="11.85546875" customWidth="1" style="51" min="11780" max="11780"/>
    <col width="8.28515625" customWidth="1" style="51" min="11781" max="11781"/>
    <col width="17.28515625" customWidth="1" style="51" min="11782" max="11782"/>
    <col width="6.140625" customWidth="1" style="51" min="11783" max="11783"/>
    <col width="15.140625" customWidth="1" style="51" min="11784" max="11784"/>
    <col width="9.140625" customWidth="1" style="51" min="11785" max="11785"/>
    <col width="15" customWidth="1" style="51" min="11786" max="11786"/>
    <col width="6.85546875" customWidth="1" style="51" min="11787" max="11787"/>
    <col width="13.28515625" customWidth="1" style="51" min="11788" max="11788"/>
    <col width="9.42578125" customWidth="1" style="51" min="11789" max="11789"/>
    <col width="11" customWidth="1" style="51" min="11790" max="11790"/>
    <col width="10.140625" customWidth="1" style="51" min="11791" max="11791"/>
    <col width="11.140625" customWidth="1" style="51" min="11792" max="11792"/>
    <col width="7" customWidth="1" style="51" min="11793" max="11793"/>
    <col width="10.85546875" customWidth="1" style="51" min="11794" max="11794"/>
    <col width="5.85546875" customWidth="1" style="51" min="11795" max="11795"/>
    <col width="10" customWidth="1" style="51" min="11796" max="11796"/>
    <col width="9.140625" customWidth="1" style="51" min="11797" max="12031"/>
    <col width="9.5703125" customWidth="1" style="51" min="12032" max="12032"/>
    <col width="30.7109375" customWidth="1" style="51" min="12033" max="12033"/>
    <col width="14.7109375" customWidth="1" style="51" min="12034" max="12034"/>
    <col width="8.28515625" customWidth="1" style="51" min="12035" max="12035"/>
    <col width="11.85546875" customWidth="1" style="51" min="12036" max="12036"/>
    <col width="8.28515625" customWidth="1" style="51" min="12037" max="12037"/>
    <col width="17.28515625" customWidth="1" style="51" min="12038" max="12038"/>
    <col width="6.140625" customWidth="1" style="51" min="12039" max="12039"/>
    <col width="15.140625" customWidth="1" style="51" min="12040" max="12040"/>
    <col width="9.140625" customWidth="1" style="51" min="12041" max="12041"/>
    <col width="15" customWidth="1" style="51" min="12042" max="12042"/>
    <col width="6.85546875" customWidth="1" style="51" min="12043" max="12043"/>
    <col width="13.28515625" customWidth="1" style="51" min="12044" max="12044"/>
    <col width="9.42578125" customWidth="1" style="51" min="12045" max="12045"/>
    <col width="11" customWidth="1" style="51" min="12046" max="12046"/>
    <col width="10.140625" customWidth="1" style="51" min="12047" max="12047"/>
    <col width="11.140625" customWidth="1" style="51" min="12048" max="12048"/>
    <col width="7" customWidth="1" style="51" min="12049" max="12049"/>
    <col width="10.85546875" customWidth="1" style="51" min="12050" max="12050"/>
    <col width="5.85546875" customWidth="1" style="51" min="12051" max="12051"/>
    <col width="10" customWidth="1" style="51" min="12052" max="12052"/>
    <col width="9.140625" customWidth="1" style="51" min="12053" max="12287"/>
    <col width="9.5703125" customWidth="1" style="51" min="12288" max="12288"/>
    <col width="30.7109375" customWidth="1" style="51" min="12289" max="12289"/>
    <col width="14.7109375" customWidth="1" style="51" min="12290" max="12290"/>
    <col width="8.28515625" customWidth="1" style="51" min="12291" max="12291"/>
    <col width="11.85546875" customWidth="1" style="51" min="12292" max="12292"/>
    <col width="8.28515625" customWidth="1" style="51" min="12293" max="12293"/>
    <col width="17.28515625" customWidth="1" style="51" min="12294" max="12294"/>
    <col width="6.140625" customWidth="1" style="51" min="12295" max="12295"/>
    <col width="15.140625" customWidth="1" style="51" min="12296" max="12296"/>
    <col width="9.140625" customWidth="1" style="51" min="12297" max="12297"/>
    <col width="15" customWidth="1" style="51" min="12298" max="12298"/>
    <col width="6.85546875" customWidth="1" style="51" min="12299" max="12299"/>
    <col width="13.28515625" customWidth="1" style="51" min="12300" max="12300"/>
    <col width="9.42578125" customWidth="1" style="51" min="12301" max="12301"/>
    <col width="11" customWidth="1" style="51" min="12302" max="12302"/>
    <col width="10.140625" customWidth="1" style="51" min="12303" max="12303"/>
    <col width="11.140625" customWidth="1" style="51" min="12304" max="12304"/>
    <col width="7" customWidth="1" style="51" min="12305" max="12305"/>
    <col width="10.85546875" customWidth="1" style="51" min="12306" max="12306"/>
    <col width="5.85546875" customWidth="1" style="51" min="12307" max="12307"/>
    <col width="10" customWidth="1" style="51" min="12308" max="12308"/>
    <col width="9.140625" customWidth="1" style="51" min="12309" max="12543"/>
    <col width="9.5703125" customWidth="1" style="51" min="12544" max="12544"/>
    <col width="30.7109375" customWidth="1" style="51" min="12545" max="12545"/>
    <col width="14.7109375" customWidth="1" style="51" min="12546" max="12546"/>
    <col width="8.28515625" customWidth="1" style="51" min="12547" max="12547"/>
    <col width="11.85546875" customWidth="1" style="51" min="12548" max="12548"/>
    <col width="8.28515625" customWidth="1" style="51" min="12549" max="12549"/>
    <col width="17.28515625" customWidth="1" style="51" min="12550" max="12550"/>
    <col width="6.140625" customWidth="1" style="51" min="12551" max="12551"/>
    <col width="15.140625" customWidth="1" style="51" min="12552" max="12552"/>
    <col width="9.140625" customWidth="1" style="51" min="12553" max="12553"/>
    <col width="15" customWidth="1" style="51" min="12554" max="12554"/>
    <col width="6.85546875" customWidth="1" style="51" min="12555" max="12555"/>
    <col width="13.28515625" customWidth="1" style="51" min="12556" max="12556"/>
    <col width="9.42578125" customWidth="1" style="51" min="12557" max="12557"/>
    <col width="11" customWidth="1" style="51" min="12558" max="12558"/>
    <col width="10.140625" customWidth="1" style="51" min="12559" max="12559"/>
    <col width="11.140625" customWidth="1" style="51" min="12560" max="12560"/>
    <col width="7" customWidth="1" style="51" min="12561" max="12561"/>
    <col width="10.85546875" customWidth="1" style="51" min="12562" max="12562"/>
    <col width="5.85546875" customWidth="1" style="51" min="12563" max="12563"/>
    <col width="10" customWidth="1" style="51" min="12564" max="12564"/>
    <col width="9.140625" customWidth="1" style="51" min="12565" max="12799"/>
    <col width="9.5703125" customWidth="1" style="51" min="12800" max="12800"/>
    <col width="30.7109375" customWidth="1" style="51" min="12801" max="12801"/>
    <col width="14.7109375" customWidth="1" style="51" min="12802" max="12802"/>
    <col width="8.28515625" customWidth="1" style="51" min="12803" max="12803"/>
    <col width="11.85546875" customWidth="1" style="51" min="12804" max="12804"/>
    <col width="8.28515625" customWidth="1" style="51" min="12805" max="12805"/>
    <col width="17.28515625" customWidth="1" style="51" min="12806" max="12806"/>
    <col width="6.140625" customWidth="1" style="51" min="12807" max="12807"/>
    <col width="15.140625" customWidth="1" style="51" min="12808" max="12808"/>
    <col width="9.140625" customWidth="1" style="51" min="12809" max="12809"/>
    <col width="15" customWidth="1" style="51" min="12810" max="12810"/>
    <col width="6.85546875" customWidth="1" style="51" min="12811" max="12811"/>
    <col width="13.28515625" customWidth="1" style="51" min="12812" max="12812"/>
    <col width="9.42578125" customWidth="1" style="51" min="12813" max="12813"/>
    <col width="11" customWidth="1" style="51" min="12814" max="12814"/>
    <col width="10.140625" customWidth="1" style="51" min="12815" max="12815"/>
    <col width="11.140625" customWidth="1" style="51" min="12816" max="12816"/>
    <col width="7" customWidth="1" style="51" min="12817" max="12817"/>
    <col width="10.85546875" customWidth="1" style="51" min="12818" max="12818"/>
    <col width="5.85546875" customWidth="1" style="51" min="12819" max="12819"/>
    <col width="10" customWidth="1" style="51" min="12820" max="12820"/>
    <col width="9.140625" customWidth="1" style="51" min="12821" max="13055"/>
    <col width="9.5703125" customWidth="1" style="51" min="13056" max="13056"/>
    <col width="30.7109375" customWidth="1" style="51" min="13057" max="13057"/>
    <col width="14.7109375" customWidth="1" style="51" min="13058" max="13058"/>
    <col width="8.28515625" customWidth="1" style="51" min="13059" max="13059"/>
    <col width="11.85546875" customWidth="1" style="51" min="13060" max="13060"/>
    <col width="8.28515625" customWidth="1" style="51" min="13061" max="13061"/>
    <col width="17.28515625" customWidth="1" style="51" min="13062" max="13062"/>
    <col width="6.140625" customWidth="1" style="51" min="13063" max="13063"/>
    <col width="15.140625" customWidth="1" style="51" min="13064" max="13064"/>
    <col width="9.140625" customWidth="1" style="51" min="13065" max="13065"/>
    <col width="15" customWidth="1" style="51" min="13066" max="13066"/>
    <col width="6.85546875" customWidth="1" style="51" min="13067" max="13067"/>
    <col width="13.28515625" customWidth="1" style="51" min="13068" max="13068"/>
    <col width="9.42578125" customWidth="1" style="51" min="13069" max="13069"/>
    <col width="11" customWidth="1" style="51" min="13070" max="13070"/>
    <col width="10.140625" customWidth="1" style="51" min="13071" max="13071"/>
    <col width="11.140625" customWidth="1" style="51" min="13072" max="13072"/>
    <col width="7" customWidth="1" style="51" min="13073" max="13073"/>
    <col width="10.85546875" customWidth="1" style="51" min="13074" max="13074"/>
    <col width="5.85546875" customWidth="1" style="51" min="13075" max="13075"/>
    <col width="10" customWidth="1" style="51" min="13076" max="13076"/>
    <col width="9.140625" customWidth="1" style="51" min="13077" max="13311"/>
    <col width="9.5703125" customWidth="1" style="51" min="13312" max="13312"/>
    <col width="30.7109375" customWidth="1" style="51" min="13313" max="13313"/>
    <col width="14.7109375" customWidth="1" style="51" min="13314" max="13314"/>
    <col width="8.28515625" customWidth="1" style="51" min="13315" max="13315"/>
    <col width="11.85546875" customWidth="1" style="51" min="13316" max="13316"/>
    <col width="8.28515625" customWidth="1" style="51" min="13317" max="13317"/>
    <col width="17.28515625" customWidth="1" style="51" min="13318" max="13318"/>
    <col width="6.140625" customWidth="1" style="51" min="13319" max="13319"/>
    <col width="15.140625" customWidth="1" style="51" min="13320" max="13320"/>
    <col width="9.140625" customWidth="1" style="51" min="13321" max="13321"/>
    <col width="15" customWidth="1" style="51" min="13322" max="13322"/>
    <col width="6.85546875" customWidth="1" style="51" min="13323" max="13323"/>
    <col width="13.28515625" customWidth="1" style="51" min="13324" max="13324"/>
    <col width="9.42578125" customWidth="1" style="51" min="13325" max="13325"/>
    <col width="11" customWidth="1" style="51" min="13326" max="13326"/>
    <col width="10.140625" customWidth="1" style="51" min="13327" max="13327"/>
    <col width="11.140625" customWidth="1" style="51" min="13328" max="13328"/>
    <col width="7" customWidth="1" style="51" min="13329" max="13329"/>
    <col width="10.85546875" customWidth="1" style="51" min="13330" max="13330"/>
    <col width="5.85546875" customWidth="1" style="51" min="13331" max="13331"/>
    <col width="10" customWidth="1" style="51" min="13332" max="13332"/>
    <col width="9.140625" customWidth="1" style="51" min="13333" max="13567"/>
    <col width="9.5703125" customWidth="1" style="51" min="13568" max="13568"/>
    <col width="30.7109375" customWidth="1" style="51" min="13569" max="13569"/>
    <col width="14.7109375" customWidth="1" style="51" min="13570" max="13570"/>
    <col width="8.28515625" customWidth="1" style="51" min="13571" max="13571"/>
    <col width="11.85546875" customWidth="1" style="51" min="13572" max="13572"/>
    <col width="8.28515625" customWidth="1" style="51" min="13573" max="13573"/>
    <col width="17.28515625" customWidth="1" style="51" min="13574" max="13574"/>
    <col width="6.140625" customWidth="1" style="51" min="13575" max="13575"/>
    <col width="15.140625" customWidth="1" style="51" min="13576" max="13576"/>
    <col width="9.140625" customWidth="1" style="51" min="13577" max="13577"/>
    <col width="15" customWidth="1" style="51" min="13578" max="13578"/>
    <col width="6.85546875" customWidth="1" style="51" min="13579" max="13579"/>
    <col width="13.28515625" customWidth="1" style="51" min="13580" max="13580"/>
    <col width="9.42578125" customWidth="1" style="51" min="13581" max="13581"/>
    <col width="11" customWidth="1" style="51" min="13582" max="13582"/>
    <col width="10.140625" customWidth="1" style="51" min="13583" max="13583"/>
    <col width="11.140625" customWidth="1" style="51" min="13584" max="13584"/>
    <col width="7" customWidth="1" style="51" min="13585" max="13585"/>
    <col width="10.85546875" customWidth="1" style="51" min="13586" max="13586"/>
    <col width="5.85546875" customWidth="1" style="51" min="13587" max="13587"/>
    <col width="10" customWidth="1" style="51" min="13588" max="13588"/>
    <col width="9.140625" customWidth="1" style="51" min="13589" max="13823"/>
    <col width="9.5703125" customWidth="1" style="51" min="13824" max="13824"/>
    <col width="30.7109375" customWidth="1" style="51" min="13825" max="13825"/>
    <col width="14.7109375" customWidth="1" style="51" min="13826" max="13826"/>
    <col width="8.28515625" customWidth="1" style="51" min="13827" max="13827"/>
    <col width="11.85546875" customWidth="1" style="51" min="13828" max="13828"/>
    <col width="8.28515625" customWidth="1" style="51" min="13829" max="13829"/>
    <col width="17.28515625" customWidth="1" style="51" min="13830" max="13830"/>
    <col width="6.140625" customWidth="1" style="51" min="13831" max="13831"/>
    <col width="15.140625" customWidth="1" style="51" min="13832" max="13832"/>
    <col width="9.140625" customWidth="1" style="51" min="13833" max="13833"/>
    <col width="15" customWidth="1" style="51" min="13834" max="13834"/>
    <col width="6.85546875" customWidth="1" style="51" min="13835" max="13835"/>
    <col width="13.28515625" customWidth="1" style="51" min="13836" max="13836"/>
    <col width="9.42578125" customWidth="1" style="51" min="13837" max="13837"/>
    <col width="11" customWidth="1" style="51" min="13838" max="13838"/>
    <col width="10.140625" customWidth="1" style="51" min="13839" max="13839"/>
    <col width="11.140625" customWidth="1" style="51" min="13840" max="13840"/>
    <col width="7" customWidth="1" style="51" min="13841" max="13841"/>
    <col width="10.85546875" customWidth="1" style="51" min="13842" max="13842"/>
    <col width="5.85546875" customWidth="1" style="51" min="13843" max="13843"/>
    <col width="10" customWidth="1" style="51" min="13844" max="13844"/>
    <col width="9.140625" customWidth="1" style="51" min="13845" max="14079"/>
    <col width="9.5703125" customWidth="1" style="51" min="14080" max="14080"/>
    <col width="30.7109375" customWidth="1" style="51" min="14081" max="14081"/>
    <col width="14.7109375" customWidth="1" style="51" min="14082" max="14082"/>
    <col width="8.28515625" customWidth="1" style="51" min="14083" max="14083"/>
    <col width="11.85546875" customWidth="1" style="51" min="14084" max="14084"/>
    <col width="8.28515625" customWidth="1" style="51" min="14085" max="14085"/>
    <col width="17.28515625" customWidth="1" style="51" min="14086" max="14086"/>
    <col width="6.140625" customWidth="1" style="51" min="14087" max="14087"/>
    <col width="15.140625" customWidth="1" style="51" min="14088" max="14088"/>
    <col width="9.140625" customWidth="1" style="51" min="14089" max="14089"/>
    <col width="15" customWidth="1" style="51" min="14090" max="14090"/>
    <col width="6.85546875" customWidth="1" style="51" min="14091" max="14091"/>
    <col width="13.28515625" customWidth="1" style="51" min="14092" max="14092"/>
    <col width="9.42578125" customWidth="1" style="51" min="14093" max="14093"/>
    <col width="11" customWidth="1" style="51" min="14094" max="14094"/>
    <col width="10.140625" customWidth="1" style="51" min="14095" max="14095"/>
    <col width="11.140625" customWidth="1" style="51" min="14096" max="14096"/>
    <col width="7" customWidth="1" style="51" min="14097" max="14097"/>
    <col width="10.85546875" customWidth="1" style="51" min="14098" max="14098"/>
    <col width="5.85546875" customWidth="1" style="51" min="14099" max="14099"/>
    <col width="10" customWidth="1" style="51" min="14100" max="14100"/>
    <col width="9.140625" customWidth="1" style="51" min="14101" max="14335"/>
    <col width="9.5703125" customWidth="1" style="51" min="14336" max="14336"/>
    <col width="30.7109375" customWidth="1" style="51" min="14337" max="14337"/>
    <col width="14.7109375" customWidth="1" style="51" min="14338" max="14338"/>
    <col width="8.28515625" customWidth="1" style="51" min="14339" max="14339"/>
    <col width="11.85546875" customWidth="1" style="51" min="14340" max="14340"/>
    <col width="8.28515625" customWidth="1" style="51" min="14341" max="14341"/>
    <col width="17.28515625" customWidth="1" style="51" min="14342" max="14342"/>
    <col width="6.140625" customWidth="1" style="51" min="14343" max="14343"/>
    <col width="15.140625" customWidth="1" style="51" min="14344" max="14344"/>
    <col width="9.140625" customWidth="1" style="51" min="14345" max="14345"/>
    <col width="15" customWidth="1" style="51" min="14346" max="14346"/>
    <col width="6.85546875" customWidth="1" style="51" min="14347" max="14347"/>
    <col width="13.28515625" customWidth="1" style="51" min="14348" max="14348"/>
    <col width="9.42578125" customWidth="1" style="51" min="14349" max="14349"/>
    <col width="11" customWidth="1" style="51" min="14350" max="14350"/>
    <col width="10.140625" customWidth="1" style="51" min="14351" max="14351"/>
    <col width="11.140625" customWidth="1" style="51" min="14352" max="14352"/>
    <col width="7" customWidth="1" style="51" min="14353" max="14353"/>
    <col width="10.85546875" customWidth="1" style="51" min="14354" max="14354"/>
    <col width="5.85546875" customWidth="1" style="51" min="14355" max="14355"/>
    <col width="10" customWidth="1" style="51" min="14356" max="14356"/>
    <col width="9.140625" customWidth="1" style="51" min="14357" max="14591"/>
    <col width="9.5703125" customWidth="1" style="51" min="14592" max="14592"/>
    <col width="30.7109375" customWidth="1" style="51" min="14593" max="14593"/>
    <col width="14.7109375" customWidth="1" style="51" min="14594" max="14594"/>
    <col width="8.28515625" customWidth="1" style="51" min="14595" max="14595"/>
    <col width="11.85546875" customWidth="1" style="51" min="14596" max="14596"/>
    <col width="8.28515625" customWidth="1" style="51" min="14597" max="14597"/>
    <col width="17.28515625" customWidth="1" style="51" min="14598" max="14598"/>
    <col width="6.140625" customWidth="1" style="51" min="14599" max="14599"/>
    <col width="15.140625" customWidth="1" style="51" min="14600" max="14600"/>
    <col width="9.140625" customWidth="1" style="51" min="14601" max="14601"/>
    <col width="15" customWidth="1" style="51" min="14602" max="14602"/>
    <col width="6.85546875" customWidth="1" style="51" min="14603" max="14603"/>
    <col width="13.28515625" customWidth="1" style="51" min="14604" max="14604"/>
    <col width="9.42578125" customWidth="1" style="51" min="14605" max="14605"/>
    <col width="11" customWidth="1" style="51" min="14606" max="14606"/>
    <col width="10.140625" customWidth="1" style="51" min="14607" max="14607"/>
    <col width="11.140625" customWidth="1" style="51" min="14608" max="14608"/>
    <col width="7" customWidth="1" style="51" min="14609" max="14609"/>
    <col width="10.85546875" customWidth="1" style="51" min="14610" max="14610"/>
    <col width="5.85546875" customWidth="1" style="51" min="14611" max="14611"/>
    <col width="10" customWidth="1" style="51" min="14612" max="14612"/>
    <col width="9.140625" customWidth="1" style="51" min="14613" max="14847"/>
    <col width="9.5703125" customWidth="1" style="51" min="14848" max="14848"/>
    <col width="30.7109375" customWidth="1" style="51" min="14849" max="14849"/>
    <col width="14.7109375" customWidth="1" style="51" min="14850" max="14850"/>
    <col width="8.28515625" customWidth="1" style="51" min="14851" max="14851"/>
    <col width="11.85546875" customWidth="1" style="51" min="14852" max="14852"/>
    <col width="8.28515625" customWidth="1" style="51" min="14853" max="14853"/>
    <col width="17.28515625" customWidth="1" style="51" min="14854" max="14854"/>
    <col width="6.140625" customWidth="1" style="51" min="14855" max="14855"/>
    <col width="15.140625" customWidth="1" style="51" min="14856" max="14856"/>
    <col width="9.140625" customWidth="1" style="51" min="14857" max="14857"/>
    <col width="15" customWidth="1" style="51" min="14858" max="14858"/>
    <col width="6.85546875" customWidth="1" style="51" min="14859" max="14859"/>
    <col width="13.28515625" customWidth="1" style="51" min="14860" max="14860"/>
    <col width="9.42578125" customWidth="1" style="51" min="14861" max="14861"/>
    <col width="11" customWidth="1" style="51" min="14862" max="14862"/>
    <col width="10.140625" customWidth="1" style="51" min="14863" max="14863"/>
    <col width="11.140625" customWidth="1" style="51" min="14864" max="14864"/>
    <col width="7" customWidth="1" style="51" min="14865" max="14865"/>
    <col width="10.85546875" customWidth="1" style="51" min="14866" max="14866"/>
    <col width="5.85546875" customWidth="1" style="51" min="14867" max="14867"/>
    <col width="10" customWidth="1" style="51" min="14868" max="14868"/>
    <col width="9.140625" customWidth="1" style="51" min="14869" max="15103"/>
    <col width="9.5703125" customWidth="1" style="51" min="15104" max="15104"/>
    <col width="30.7109375" customWidth="1" style="51" min="15105" max="15105"/>
    <col width="14.7109375" customWidth="1" style="51" min="15106" max="15106"/>
    <col width="8.28515625" customWidth="1" style="51" min="15107" max="15107"/>
    <col width="11.85546875" customWidth="1" style="51" min="15108" max="15108"/>
    <col width="8.28515625" customWidth="1" style="51" min="15109" max="15109"/>
    <col width="17.28515625" customWidth="1" style="51" min="15110" max="15110"/>
    <col width="6.140625" customWidth="1" style="51" min="15111" max="15111"/>
    <col width="15.140625" customWidth="1" style="51" min="15112" max="15112"/>
    <col width="9.140625" customWidth="1" style="51" min="15113" max="15113"/>
    <col width="15" customWidth="1" style="51" min="15114" max="15114"/>
    <col width="6.85546875" customWidth="1" style="51" min="15115" max="15115"/>
    <col width="13.28515625" customWidth="1" style="51" min="15116" max="15116"/>
    <col width="9.42578125" customWidth="1" style="51" min="15117" max="15117"/>
    <col width="11" customWidth="1" style="51" min="15118" max="15118"/>
    <col width="10.140625" customWidth="1" style="51" min="15119" max="15119"/>
    <col width="11.140625" customWidth="1" style="51" min="15120" max="15120"/>
    <col width="7" customWidth="1" style="51" min="15121" max="15121"/>
    <col width="10.85546875" customWidth="1" style="51" min="15122" max="15122"/>
    <col width="5.85546875" customWidth="1" style="51" min="15123" max="15123"/>
    <col width="10" customWidth="1" style="51" min="15124" max="15124"/>
    <col width="9.140625" customWidth="1" style="51" min="15125" max="15359"/>
    <col width="9.5703125" customWidth="1" style="51" min="15360" max="15360"/>
    <col width="30.7109375" customWidth="1" style="51" min="15361" max="15361"/>
    <col width="14.7109375" customWidth="1" style="51" min="15362" max="15362"/>
    <col width="8.28515625" customWidth="1" style="51" min="15363" max="15363"/>
    <col width="11.85546875" customWidth="1" style="51" min="15364" max="15364"/>
    <col width="8.28515625" customWidth="1" style="51" min="15365" max="15365"/>
    <col width="17.28515625" customWidth="1" style="51" min="15366" max="15366"/>
    <col width="6.140625" customWidth="1" style="51" min="15367" max="15367"/>
    <col width="15.140625" customWidth="1" style="51" min="15368" max="15368"/>
    <col width="9.140625" customWidth="1" style="51" min="15369" max="15369"/>
    <col width="15" customWidth="1" style="51" min="15370" max="15370"/>
    <col width="6.85546875" customWidth="1" style="51" min="15371" max="15371"/>
    <col width="13.28515625" customWidth="1" style="51" min="15372" max="15372"/>
    <col width="9.42578125" customWidth="1" style="51" min="15373" max="15373"/>
    <col width="11" customWidth="1" style="51" min="15374" max="15374"/>
    <col width="10.140625" customWidth="1" style="51" min="15375" max="15375"/>
    <col width="11.140625" customWidth="1" style="51" min="15376" max="15376"/>
    <col width="7" customWidth="1" style="51" min="15377" max="15377"/>
    <col width="10.85546875" customWidth="1" style="51" min="15378" max="15378"/>
    <col width="5.85546875" customWidth="1" style="51" min="15379" max="15379"/>
    <col width="10" customWidth="1" style="51" min="15380" max="15380"/>
    <col width="9.140625" customWidth="1" style="51" min="15381" max="15615"/>
    <col width="9.5703125" customWidth="1" style="51" min="15616" max="15616"/>
    <col width="30.7109375" customWidth="1" style="51" min="15617" max="15617"/>
    <col width="14.7109375" customWidth="1" style="51" min="15618" max="15618"/>
    <col width="8.28515625" customWidth="1" style="51" min="15619" max="15619"/>
    <col width="11.85546875" customWidth="1" style="51" min="15620" max="15620"/>
    <col width="8.28515625" customWidth="1" style="51" min="15621" max="15621"/>
    <col width="17.28515625" customWidth="1" style="51" min="15622" max="15622"/>
    <col width="6.140625" customWidth="1" style="51" min="15623" max="15623"/>
    <col width="15.140625" customWidth="1" style="51" min="15624" max="15624"/>
    <col width="9.140625" customWidth="1" style="51" min="15625" max="15625"/>
    <col width="15" customWidth="1" style="51" min="15626" max="15626"/>
    <col width="6.85546875" customWidth="1" style="51" min="15627" max="15627"/>
    <col width="13.28515625" customWidth="1" style="51" min="15628" max="15628"/>
    <col width="9.42578125" customWidth="1" style="51" min="15629" max="15629"/>
    <col width="11" customWidth="1" style="51" min="15630" max="15630"/>
    <col width="10.140625" customWidth="1" style="51" min="15631" max="15631"/>
    <col width="11.140625" customWidth="1" style="51" min="15632" max="15632"/>
    <col width="7" customWidth="1" style="51" min="15633" max="15633"/>
    <col width="10.85546875" customWidth="1" style="51" min="15634" max="15634"/>
    <col width="5.85546875" customWidth="1" style="51" min="15635" max="15635"/>
    <col width="10" customWidth="1" style="51" min="15636" max="15636"/>
    <col width="9.140625" customWidth="1" style="51" min="15637" max="15871"/>
    <col width="9.5703125" customWidth="1" style="51" min="15872" max="15872"/>
    <col width="30.7109375" customWidth="1" style="51" min="15873" max="15873"/>
    <col width="14.7109375" customWidth="1" style="51" min="15874" max="15874"/>
    <col width="8.28515625" customWidth="1" style="51" min="15875" max="15875"/>
    <col width="11.85546875" customWidth="1" style="51" min="15876" max="15876"/>
    <col width="8.28515625" customWidth="1" style="51" min="15877" max="15877"/>
    <col width="17.28515625" customWidth="1" style="51" min="15878" max="15878"/>
    <col width="6.140625" customWidth="1" style="51" min="15879" max="15879"/>
    <col width="15.140625" customWidth="1" style="51" min="15880" max="15880"/>
    <col width="9.140625" customWidth="1" style="51" min="15881" max="15881"/>
    <col width="15" customWidth="1" style="51" min="15882" max="15882"/>
    <col width="6.85546875" customWidth="1" style="51" min="15883" max="15883"/>
    <col width="13.28515625" customWidth="1" style="51" min="15884" max="15884"/>
    <col width="9.42578125" customWidth="1" style="51" min="15885" max="15885"/>
    <col width="11" customWidth="1" style="51" min="15886" max="15886"/>
    <col width="10.140625" customWidth="1" style="51" min="15887" max="15887"/>
    <col width="11.140625" customWidth="1" style="51" min="15888" max="15888"/>
    <col width="7" customWidth="1" style="51" min="15889" max="15889"/>
    <col width="10.85546875" customWidth="1" style="51" min="15890" max="15890"/>
    <col width="5.85546875" customWidth="1" style="51" min="15891" max="15891"/>
    <col width="10" customWidth="1" style="51" min="15892" max="15892"/>
    <col width="9.140625" customWidth="1" style="51" min="15893" max="16127"/>
    <col width="9.5703125" customWidth="1" style="51" min="16128" max="16128"/>
    <col width="30.7109375" customWidth="1" style="51" min="16129" max="16129"/>
    <col width="14.7109375" customWidth="1" style="51" min="16130" max="16130"/>
    <col width="8.28515625" customWidth="1" style="51" min="16131" max="16131"/>
    <col width="11.85546875" customWidth="1" style="51" min="16132" max="16132"/>
    <col width="8.28515625" customWidth="1" style="51" min="16133" max="16133"/>
    <col width="17.28515625" customWidth="1" style="51" min="16134" max="16134"/>
    <col width="6.140625" customWidth="1" style="51" min="16135" max="16135"/>
    <col width="15.140625" customWidth="1" style="51" min="16136" max="16136"/>
    <col width="9.140625" customWidth="1" style="51" min="16137" max="16137"/>
    <col width="15" customWidth="1" style="51" min="16138" max="16138"/>
    <col width="6.85546875" customWidth="1" style="51" min="16139" max="16139"/>
    <col width="13.28515625" customWidth="1" style="51" min="16140" max="16140"/>
    <col width="9.42578125" customWidth="1" style="51" min="16141" max="16141"/>
    <col width="11" customWidth="1" style="51" min="16142" max="16142"/>
    <col width="10.140625" customWidth="1" style="51" min="16143" max="16143"/>
    <col width="11.140625" customWidth="1" style="51" min="16144" max="16144"/>
    <col width="7" customWidth="1" style="51" min="16145" max="16145"/>
    <col width="10.85546875" customWidth="1" style="51" min="16146" max="16146"/>
    <col width="5.85546875" customWidth="1" style="51" min="16147" max="16147"/>
    <col width="10" customWidth="1" style="51" min="16148" max="16148"/>
    <col width="9.140625" customWidth="1" style="51" min="16149" max="16384"/>
  </cols>
  <sheetData>
    <row r="1">
      <c r="A1" s="99" t="inlineStr">
        <is>
          <t>Weekly Issued (Buffer Stock POMI)- POH 1</t>
        </is>
      </c>
    </row>
    <row r="2" ht="15" customHeight="1">
      <c r="A2" s="3" t="inlineStr">
        <is>
          <t>Mnth</t>
        </is>
      </c>
      <c r="B2" s="4" t="n">
        <v>45992</v>
      </c>
      <c r="C2" s="5" t="n"/>
      <c r="D2" s="6" t="n"/>
      <c r="E2" s="116" t="n"/>
      <c r="F2" s="53" t="n"/>
      <c r="G2" s="7" t="n"/>
      <c r="H2" s="53" t="n"/>
      <c r="I2" s="8" t="n"/>
      <c r="J2" s="53" t="n"/>
      <c r="K2" s="7" t="n"/>
      <c r="L2" s="9" t="n"/>
      <c r="M2" s="7" t="n"/>
      <c r="N2" s="99" t="n"/>
      <c r="O2" s="10" t="n"/>
      <c r="P2" s="99" t="n"/>
      <c r="Q2" s="7" t="n"/>
      <c r="R2" s="99" t="n"/>
      <c r="S2" s="99" t="n"/>
      <c r="T2" s="99" t="n"/>
    </row>
    <row r="3">
      <c r="A3" s="11" t="inlineStr">
        <is>
          <t>Week</t>
        </is>
      </c>
      <c r="B3" s="49" t="inlineStr">
        <is>
          <t>II</t>
        </is>
      </c>
      <c r="G3" s="100" t="n"/>
      <c r="H3" s="117" t="n"/>
      <c r="I3" s="117" t="n"/>
      <c r="J3" s="117" t="n"/>
      <c r="K3" s="117" t="n"/>
      <c r="L3" s="117" t="n"/>
      <c r="M3" s="117" t="n"/>
      <c r="N3" s="117" t="n"/>
    </row>
    <row r="4">
      <c r="A4" s="22" t="inlineStr">
        <is>
          <t>No.</t>
        </is>
      </c>
      <c r="B4" s="79" t="inlineStr">
        <is>
          <t xml:space="preserve">Nama Barang </t>
        </is>
      </c>
      <c r="C4" s="18" t="inlineStr">
        <is>
          <t>Satuan</t>
        </is>
      </c>
      <c r="D4" s="77" t="inlineStr">
        <is>
          <t>Stock Awal</t>
        </is>
      </c>
      <c r="E4" s="118" t="inlineStr">
        <is>
          <t xml:space="preserve">Tanggal Buffer Stock </t>
        </is>
      </c>
      <c r="F4" s="64" t="inlineStr">
        <is>
          <t>Jumlah</t>
        </is>
      </c>
      <c r="G4" s="119" t="n">
        <v>45998</v>
      </c>
      <c r="H4" s="120" t="n"/>
      <c r="I4" s="119" t="n">
        <v>45999</v>
      </c>
      <c r="J4" s="120" t="n"/>
      <c r="K4" s="119" t="n">
        <v>46000</v>
      </c>
      <c r="L4" s="120" t="n"/>
      <c r="M4" s="119" t="n">
        <v>46001</v>
      </c>
      <c r="N4" s="120" t="n"/>
      <c r="O4" s="119" t="n">
        <v>46002</v>
      </c>
      <c r="P4" s="120" t="n"/>
      <c r="Q4" s="119" t="n">
        <v>46003</v>
      </c>
      <c r="R4" s="120" t="n"/>
      <c r="S4" s="119" t="n">
        <v>46004</v>
      </c>
      <c r="T4" s="120" t="n"/>
      <c r="U4" s="71" t="inlineStr">
        <is>
          <t>Ending Stock</t>
        </is>
      </c>
      <c r="V4" t="inlineStr">
        <is>
          <t>KATEGORI</t>
        </is>
      </c>
    </row>
    <row r="5">
      <c r="A5" s="121" t="n"/>
      <c r="B5" s="121" t="n"/>
      <c r="C5" s="121" t="n"/>
      <c r="D5" s="121" t="n"/>
      <c r="E5" s="121" t="n"/>
      <c r="F5" s="121" t="n"/>
      <c r="G5" s="17" t="inlineStr">
        <is>
          <t xml:space="preserve">Lokasi </t>
        </is>
      </c>
      <c r="H5" s="54" t="inlineStr">
        <is>
          <t>Jumlah</t>
        </is>
      </c>
      <c r="I5" s="19" t="inlineStr">
        <is>
          <t xml:space="preserve">Lokasi </t>
        </is>
      </c>
      <c r="J5" s="54" t="inlineStr">
        <is>
          <t>Jumlah</t>
        </is>
      </c>
      <c r="K5" s="73" t="inlineStr">
        <is>
          <t xml:space="preserve">Lokasi </t>
        </is>
      </c>
      <c r="L5" s="21" t="inlineStr">
        <is>
          <t>Jumlah</t>
        </is>
      </c>
      <c r="M5" s="73" t="inlineStr">
        <is>
          <t xml:space="preserve">Lokasi </t>
        </is>
      </c>
      <c r="N5" s="18" t="inlineStr">
        <is>
          <t>Jumlah</t>
        </is>
      </c>
      <c r="O5" s="19" t="inlineStr">
        <is>
          <t xml:space="preserve">Lokasi </t>
        </is>
      </c>
      <c r="P5" s="18" t="inlineStr">
        <is>
          <t>Jumlah</t>
        </is>
      </c>
      <c r="Q5" s="73" t="inlineStr">
        <is>
          <t xml:space="preserve">Lokasi </t>
        </is>
      </c>
      <c r="R5" s="18" t="inlineStr">
        <is>
          <t>Jumlah</t>
        </is>
      </c>
      <c r="S5" s="18" t="inlineStr">
        <is>
          <t xml:space="preserve">Lokasi </t>
        </is>
      </c>
      <c r="T5" s="18" t="inlineStr">
        <is>
          <t>Jumlah</t>
        </is>
      </c>
      <c r="U5" s="121" t="n"/>
    </row>
    <row r="6" ht="30" customHeight="1">
      <c r="A6" s="22" t="n">
        <v>1</v>
      </c>
      <c r="B6" s="122" t="inlineStr">
        <is>
          <t>AC Compressor 1 PK, PANASONIC R 22</t>
        </is>
      </c>
      <c r="C6" s="123" t="inlineStr">
        <is>
          <t>Unit</t>
        </is>
      </c>
      <c r="D6" s="26">
        <f>'Week  1'!U6</f>
        <v/>
      </c>
      <c r="E6" s="26" t="n"/>
      <c r="F6" s="26" t="n"/>
      <c r="G6" s="26" t="n"/>
      <c r="H6" s="26" t="n"/>
      <c r="I6" s="26" t="n"/>
      <c r="J6" s="26" t="n"/>
      <c r="K6" s="18" t="n"/>
      <c r="L6" s="73" t="n"/>
      <c r="M6" s="73" t="n"/>
      <c r="N6" s="73" t="n"/>
      <c r="O6" s="19" t="n"/>
      <c r="P6" s="18" t="n"/>
      <c r="Q6" s="18" t="n"/>
      <c r="R6" s="73" t="n"/>
      <c r="S6" s="18" t="n"/>
      <c r="T6" s="18" t="n"/>
      <c r="U6" s="26">
        <f>D6+F6+-(H6+J6+L6+N6+P6+R6+T6)</f>
        <v/>
      </c>
      <c r="V6" t="inlineStr">
        <is>
          <t>AC</t>
        </is>
      </c>
    </row>
    <row r="7" ht="30" customHeight="1">
      <c r="A7" s="22">
        <f>A6+1</f>
        <v/>
      </c>
      <c r="B7" s="122" t="inlineStr">
        <is>
          <t>AC Compressor 1,5  PK, PANASONIC R 22</t>
        </is>
      </c>
      <c r="C7" s="123" t="inlineStr">
        <is>
          <t>Unit</t>
        </is>
      </c>
      <c r="D7" s="26">
        <f>'Week  1'!U7</f>
        <v/>
      </c>
      <c r="E7" s="124" t="n"/>
      <c r="F7" s="62" t="n"/>
      <c r="G7" s="25" t="n"/>
      <c r="H7" s="56" t="n"/>
      <c r="I7" s="19" t="n"/>
      <c r="J7" s="64" t="n"/>
      <c r="K7" s="18" t="n"/>
      <c r="L7" s="73" t="n"/>
      <c r="M7" s="73" t="n"/>
      <c r="N7" s="73" t="n"/>
      <c r="O7" s="19" t="n"/>
      <c r="P7" s="18" t="n"/>
      <c r="Q7" s="18" t="n"/>
      <c r="R7" s="73" t="n"/>
      <c r="S7" s="18" t="n"/>
      <c r="T7" s="18" t="n"/>
      <c r="U7" s="26">
        <f>D7+F7+-(H7+J7+L7+N7+P7+R7+T7)</f>
        <v/>
      </c>
      <c r="V7" t="inlineStr">
        <is>
          <t>AC</t>
        </is>
      </c>
    </row>
    <row r="8" ht="30" customHeight="1">
      <c r="A8" s="22">
        <f>A7+1</f>
        <v/>
      </c>
      <c r="B8" s="122" t="inlineStr">
        <is>
          <t>AC Compressor 2 PK, PANASONIC</t>
        </is>
      </c>
      <c r="C8" s="123" t="inlineStr">
        <is>
          <t>Unit</t>
        </is>
      </c>
      <c r="D8" s="26">
        <f>'Week  1'!U8</f>
        <v/>
      </c>
      <c r="E8" s="125" t="n"/>
      <c r="F8" s="55" t="n"/>
      <c r="G8" s="52" t="n"/>
      <c r="H8" s="55" t="n"/>
      <c r="I8" s="71" t="n"/>
      <c r="J8" s="55" t="n"/>
      <c r="K8" s="18" t="n"/>
      <c r="L8" s="73" t="n"/>
      <c r="M8" s="73" t="n"/>
      <c r="N8" s="73" t="n"/>
      <c r="O8" s="19" t="n"/>
      <c r="P8" s="18" t="n"/>
      <c r="Q8" s="18" t="n"/>
      <c r="R8" s="73" t="n"/>
      <c r="S8" s="18" t="n"/>
      <c r="T8" s="18" t="n"/>
      <c r="U8" s="26">
        <f>D8+F8+-(H8+J8+L8+N8+P8+R8+T8)</f>
        <v/>
      </c>
      <c r="V8" t="inlineStr">
        <is>
          <t>AC</t>
        </is>
      </c>
    </row>
    <row r="9" ht="30" customHeight="1">
      <c r="A9" s="22">
        <f>A8+1</f>
        <v/>
      </c>
      <c r="B9" s="122" t="inlineStr">
        <is>
          <t>AC Compressor 3 PK, PANASONIC</t>
        </is>
      </c>
      <c r="C9" s="123" t="inlineStr">
        <is>
          <t>Unit</t>
        </is>
      </c>
      <c r="D9" s="26">
        <f>'Week  1'!U9</f>
        <v/>
      </c>
      <c r="E9" s="124" t="n"/>
      <c r="F9" s="62" t="n"/>
      <c r="G9" s="25" t="n"/>
      <c r="H9" s="56" t="n"/>
      <c r="I9" s="19" t="n"/>
      <c r="J9" s="64" t="n"/>
      <c r="K9" s="18" t="n"/>
      <c r="L9" s="73" t="n"/>
      <c r="M9" s="73" t="n"/>
      <c r="N9" s="73" t="n"/>
      <c r="O9" s="19" t="n"/>
      <c r="P9" s="18" t="n"/>
      <c r="Q9" s="18" t="n"/>
      <c r="R9" s="73" t="n"/>
      <c r="S9" s="18" t="n"/>
      <c r="T9" s="18" t="n"/>
      <c r="U9" s="26">
        <f>D9+F9+-(H9+J9+L9+N9+P9+R9+T9)</f>
        <v/>
      </c>
      <c r="V9" t="inlineStr">
        <is>
          <t>AC</t>
        </is>
      </c>
    </row>
    <row r="10" ht="30" customHeight="1">
      <c r="A10" s="22">
        <f>A9+1</f>
        <v/>
      </c>
      <c r="B10" s="122" t="inlineStr">
        <is>
          <t>AC Compressor 1 PK, PANASONIC R 32</t>
        </is>
      </c>
      <c r="C10" s="123" t="inlineStr">
        <is>
          <t>Unit</t>
        </is>
      </c>
      <c r="D10" s="26">
        <f>'Week  1'!U10</f>
        <v/>
      </c>
      <c r="E10" s="125" t="n"/>
      <c r="F10" s="55" t="n"/>
      <c r="G10" s="52" t="n"/>
      <c r="H10" s="55" t="n"/>
      <c r="I10" s="71" t="n"/>
      <c r="J10" s="55" t="n"/>
      <c r="K10" s="18" t="n"/>
      <c r="L10" s="73" t="n"/>
      <c r="M10" s="73" t="n"/>
      <c r="N10" s="73" t="n"/>
      <c r="O10" s="19" t="n"/>
      <c r="P10" s="18" t="n"/>
      <c r="Q10" s="18" t="n"/>
      <c r="R10" s="73" t="n"/>
      <c r="S10" s="18" t="n"/>
      <c r="T10" s="18" t="n"/>
      <c r="U10" s="26">
        <f>D10+F10+-(H10+J10+L10+N10+P10+R10+T10)</f>
        <v/>
      </c>
      <c r="V10" t="inlineStr">
        <is>
          <t>AC</t>
        </is>
      </c>
    </row>
    <row r="11" ht="30" customHeight="1">
      <c r="A11" s="22">
        <f>A10+1</f>
        <v/>
      </c>
      <c r="B11" s="122" t="inlineStr">
        <is>
          <t>AC Compressor 1,5  PK, PANASONIC R 32</t>
        </is>
      </c>
      <c r="C11" s="123" t="inlineStr">
        <is>
          <t>Unit</t>
        </is>
      </c>
      <c r="D11" s="26">
        <f>'Week  1'!U11</f>
        <v/>
      </c>
      <c r="E11" s="124" t="n"/>
      <c r="F11" s="62" t="n"/>
      <c r="G11" s="25" t="n"/>
      <c r="H11" s="56" t="n"/>
      <c r="I11" s="19" t="n"/>
      <c r="J11" s="64" t="n"/>
      <c r="K11" s="18" t="n"/>
      <c r="L11" s="73" t="n"/>
      <c r="M11" s="73" t="n"/>
      <c r="N11" s="73" t="n"/>
      <c r="O11" s="19" t="n"/>
      <c r="P11" s="18" t="n"/>
      <c r="Q11" s="18" t="n"/>
      <c r="R11" s="73" t="n"/>
      <c r="S11" s="18" t="n"/>
      <c r="T11" s="18" t="n"/>
      <c r="U11" s="26">
        <f>D11+F11+-(H11+J11+L11+N11+P11+R11+T11)</f>
        <v/>
      </c>
      <c r="V11" t="inlineStr">
        <is>
          <t>AC</t>
        </is>
      </c>
    </row>
    <row r="12" ht="15" customHeight="1">
      <c r="A12" s="22">
        <f>A11+1</f>
        <v/>
      </c>
      <c r="B12" s="27" t="inlineStr">
        <is>
          <t>Amplas NO 1</t>
        </is>
      </c>
      <c r="C12" s="123" t="inlineStr">
        <is>
          <t xml:space="preserve">Lbr </t>
        </is>
      </c>
      <c r="D12" s="26">
        <f>'Week  1'!U12</f>
        <v/>
      </c>
      <c r="E12" s="125" t="n"/>
      <c r="F12" s="55" t="n"/>
      <c r="G12" s="52" t="n"/>
      <c r="H12" s="55" t="n"/>
      <c r="I12" s="71" t="n"/>
      <c r="J12" s="55" t="n"/>
      <c r="K12" s="52" t="n"/>
      <c r="L12" s="55" t="n"/>
      <c r="M12" s="73" t="n"/>
      <c r="N12" s="73" t="n"/>
      <c r="O12" s="19" t="n"/>
      <c r="P12" s="18" t="n"/>
      <c r="Q12" s="18" t="n"/>
      <c r="R12" s="73" t="n"/>
      <c r="S12" s="18" t="n"/>
      <c r="T12" s="18" t="n"/>
      <c r="U12" s="26">
        <f>D12+F12+-(H12+J12+L12+N12+P12+R12+T12)</f>
        <v/>
      </c>
      <c r="V12" t="inlineStr">
        <is>
          <t>CONSUMABLE</t>
        </is>
      </c>
    </row>
    <row r="13" ht="15" customHeight="1">
      <c r="A13" s="22">
        <f>A12+1</f>
        <v/>
      </c>
      <c r="B13" s="27" t="inlineStr">
        <is>
          <t>Amplas NO 180</t>
        </is>
      </c>
      <c r="C13" s="123" t="inlineStr">
        <is>
          <t xml:space="preserve">Lbr </t>
        </is>
      </c>
      <c r="D13" s="26">
        <f>'Week  1'!U13</f>
        <v/>
      </c>
      <c r="E13" s="124" t="n"/>
      <c r="F13" s="62" t="n"/>
      <c r="G13" s="52" t="n"/>
      <c r="H13" s="56" t="n"/>
      <c r="I13" s="71" t="n"/>
      <c r="J13" s="64" t="n"/>
      <c r="K13" s="52" t="n"/>
      <c r="L13" s="55" t="n"/>
      <c r="M13" s="73" t="n"/>
      <c r="N13" s="73" t="n"/>
      <c r="O13" s="19" t="n"/>
      <c r="P13" s="18" t="n"/>
      <c r="Q13" s="18" t="n"/>
      <c r="R13" s="73" t="n"/>
      <c r="S13" s="18" t="n"/>
      <c r="T13" s="18" t="n"/>
      <c r="U13" s="26">
        <f>D13+F13+-(H13+J13+L13+N13+P13+R13+T13)</f>
        <v/>
      </c>
      <c r="V13" t="inlineStr">
        <is>
          <t>CONSUMABLE</t>
        </is>
      </c>
    </row>
    <row r="14" ht="15" customHeight="1">
      <c r="A14" s="22">
        <f>A13+1</f>
        <v/>
      </c>
      <c r="B14" s="27" t="inlineStr">
        <is>
          <t>Avur bak cuci piring</t>
        </is>
      </c>
      <c r="C14" s="123" t="inlineStr">
        <is>
          <t>pcs</t>
        </is>
      </c>
      <c r="D14" s="26">
        <f>'Week  1'!U14</f>
        <v/>
      </c>
      <c r="E14" s="125" t="n"/>
      <c r="F14" s="55" t="n"/>
      <c r="G14" s="52" t="n"/>
      <c r="H14" s="55" t="n"/>
      <c r="I14" s="71" t="n"/>
      <c r="J14" s="55" t="n"/>
      <c r="K14" s="18" t="n"/>
      <c r="L14" s="73" t="n"/>
      <c r="M14" s="73" t="n"/>
      <c r="N14" s="73" t="n"/>
      <c r="O14" s="19" t="n"/>
      <c r="P14" s="18" t="n"/>
      <c r="Q14" s="18" t="n"/>
      <c r="R14" s="73" t="n"/>
      <c r="S14" s="18" t="n"/>
      <c r="T14" s="18" t="n"/>
      <c r="U14" s="26">
        <f>D14+F14+-(H14+J14+L14+N14+P14+R14+T14)</f>
        <v/>
      </c>
      <c r="V14" t="inlineStr">
        <is>
          <t>SANITARY</t>
        </is>
      </c>
    </row>
    <row r="15" ht="15" customHeight="1">
      <c r="A15" s="22">
        <f>A14+1</f>
        <v/>
      </c>
      <c r="B15" s="27" t="inlineStr">
        <is>
          <t>RESIBON CUTTING WHEEL</t>
        </is>
      </c>
      <c r="C15" s="123" t="inlineStr">
        <is>
          <t xml:space="preserve">Lbr </t>
        </is>
      </c>
      <c r="D15" s="26">
        <f>'Week  1'!U15</f>
        <v/>
      </c>
      <c r="E15" s="125" t="n"/>
      <c r="F15" s="62" t="n"/>
      <c r="G15" s="25" t="n"/>
      <c r="H15" s="56" t="n"/>
      <c r="I15" s="25" t="n"/>
      <c r="J15" s="56" t="n"/>
      <c r="K15" s="25" t="n"/>
      <c r="L15" s="56" t="n"/>
      <c r="M15" s="25" t="n"/>
      <c r="N15" s="56" t="n"/>
      <c r="O15" s="25" t="n"/>
      <c r="P15" s="18" t="n"/>
      <c r="Q15" s="25" t="n"/>
      <c r="R15" s="18" t="n"/>
      <c r="S15" s="18" t="n"/>
      <c r="T15" s="18" t="n"/>
      <c r="U15" s="26">
        <f>D15+F15+-(H15+J15+L15+N15+P15+R15+T15)</f>
        <v/>
      </c>
      <c r="V15" t="inlineStr">
        <is>
          <t>CONSUMABLE</t>
        </is>
      </c>
    </row>
    <row r="16" ht="15" customHeight="1">
      <c r="A16" s="22">
        <f>A15+1</f>
        <v/>
      </c>
      <c r="B16" s="27" t="inlineStr">
        <is>
          <t>RESIBON GRINDING WHEEL</t>
        </is>
      </c>
      <c r="C16" s="123" t="inlineStr">
        <is>
          <t xml:space="preserve">Lbr </t>
        </is>
      </c>
      <c r="D16" s="26">
        <f>'Week  1'!U16</f>
        <v/>
      </c>
      <c r="E16" s="125" t="n"/>
      <c r="F16" s="55" t="n"/>
      <c r="G16" s="25" t="n"/>
      <c r="H16" s="55" t="n"/>
      <c r="I16" s="19" t="n"/>
      <c r="J16" s="55" t="n"/>
      <c r="K16" s="18" t="n"/>
      <c r="L16" s="73" t="n"/>
      <c r="M16" s="25" t="n"/>
      <c r="N16" s="56" t="n"/>
      <c r="O16" s="19" t="n"/>
      <c r="P16" s="18" t="n"/>
      <c r="Q16" s="18" t="n"/>
      <c r="R16" s="73" t="n"/>
      <c r="S16" s="18" t="n"/>
      <c r="T16" s="18" t="n"/>
      <c r="U16" s="26">
        <f>D16+F16+-(H16+J16+L16+N16+P16+R16+T16)</f>
        <v/>
      </c>
      <c r="V16" t="inlineStr">
        <is>
          <t>CONSUMABLE</t>
        </is>
      </c>
    </row>
    <row r="17" ht="13.5" customHeight="1">
      <c r="A17" s="22">
        <f>A16+1</f>
        <v/>
      </c>
      <c r="B17" s="79" t="inlineStr">
        <is>
          <t>Ball Valve 1/2" ONDA Kuningan</t>
        </is>
      </c>
      <c r="C17" s="29" t="inlineStr">
        <is>
          <t>Pcs</t>
        </is>
      </c>
      <c r="D17" s="26">
        <f>'Week  1'!U17</f>
        <v/>
      </c>
      <c r="E17" s="124" t="n"/>
      <c r="F17" s="62" t="n"/>
      <c r="G17" s="25" t="n"/>
      <c r="H17" s="56" t="n"/>
      <c r="I17" s="19" t="n"/>
      <c r="J17" s="64" t="n"/>
      <c r="K17" s="18" t="n"/>
      <c r="L17" s="73" t="n"/>
      <c r="M17" s="73" t="n"/>
      <c r="N17" s="73" t="n"/>
      <c r="O17" s="19" t="n"/>
      <c r="P17" s="18" t="n"/>
      <c r="Q17" s="18" t="n"/>
      <c r="R17" s="73" t="n"/>
      <c r="S17" s="18" t="n"/>
      <c r="T17" s="18" t="n"/>
      <c r="U17" s="26">
        <f>D17+F17+-(H17+J17+L17+N17+P17+R17+T17)</f>
        <v/>
      </c>
      <c r="V17" t="inlineStr">
        <is>
          <t>VALVE AND PIPE</t>
        </is>
      </c>
    </row>
    <row r="18" ht="13.5" customHeight="1">
      <c r="A18" s="22">
        <f>A17+1</f>
        <v/>
      </c>
      <c r="B18" s="79" t="inlineStr">
        <is>
          <t>Ball Valve 3/4" ONDA Kuningan</t>
        </is>
      </c>
      <c r="C18" s="29" t="inlineStr">
        <is>
          <t>Pcs</t>
        </is>
      </c>
      <c r="D18" s="26">
        <f>'Week  1'!U18</f>
        <v/>
      </c>
      <c r="E18" s="124" t="n"/>
      <c r="F18" s="55" t="n"/>
      <c r="G18" s="52" t="n"/>
      <c r="H18" s="55" t="n"/>
      <c r="I18" s="71" t="n"/>
      <c r="J18" s="55" t="n"/>
      <c r="K18" s="18" t="n"/>
      <c r="L18" s="73" t="n"/>
      <c r="M18" s="73" t="n"/>
      <c r="N18" s="73" t="n"/>
      <c r="O18" s="19" t="n"/>
      <c r="P18" s="18" t="n"/>
      <c r="Q18" s="18" t="n"/>
      <c r="R18" s="73" t="n"/>
      <c r="S18" s="18" t="n"/>
      <c r="T18" s="18" t="n"/>
      <c r="U18" s="26">
        <f>D18+F18+-(H18+J18+L18+N18+P18+R18+T18)</f>
        <v/>
      </c>
      <c r="V18" t="inlineStr">
        <is>
          <t>VALVE AND PIPE</t>
        </is>
      </c>
    </row>
    <row r="19" ht="15" customHeight="1">
      <c r="A19" s="22">
        <f>A18+1</f>
        <v/>
      </c>
      <c r="B19" s="30" t="inlineStr">
        <is>
          <t>BATTERY ALKALINE AA</t>
        </is>
      </c>
      <c r="C19" s="31" t="inlineStr">
        <is>
          <t>PCS</t>
        </is>
      </c>
      <c r="D19" s="26">
        <f>'Week  1'!U19</f>
        <v/>
      </c>
      <c r="E19" s="124" t="n"/>
      <c r="F19" s="62" t="n"/>
      <c r="G19" s="25" t="n"/>
      <c r="H19" s="56" t="n"/>
      <c r="I19" s="68" t="n"/>
      <c r="J19" s="56" t="n"/>
      <c r="K19" s="18" t="n"/>
      <c r="L19" s="73" t="n"/>
      <c r="M19" s="73" t="n"/>
      <c r="N19" s="73" t="n"/>
      <c r="O19" s="19" t="n"/>
      <c r="P19" s="18" t="n"/>
      <c r="Q19" s="19" t="n"/>
      <c r="R19" s="73" t="n"/>
      <c r="S19" s="18" t="n"/>
      <c r="T19" s="18" t="n"/>
      <c r="U19" s="26">
        <f>D19+F19+-(H19+J19+L19+N19+P19+R19+T19)</f>
        <v/>
      </c>
      <c r="V19" t="inlineStr">
        <is>
          <t>CONSUMABLE</t>
        </is>
      </c>
    </row>
    <row r="20" ht="45.75" customHeight="1">
      <c r="A20" s="22">
        <f>A19+1</f>
        <v/>
      </c>
      <c r="B20" s="30" t="inlineStr">
        <is>
          <t>BATTERY ALKALINE AAA</t>
        </is>
      </c>
      <c r="C20" s="123" t="inlineStr">
        <is>
          <t>PCS</t>
        </is>
      </c>
      <c r="D20" s="26">
        <f>'Week  1'!U20</f>
        <v/>
      </c>
      <c r="E20" s="124" t="n"/>
      <c r="F20" s="55" t="n"/>
      <c r="G20" s="25" t="n"/>
      <c r="H20" s="55" t="n"/>
      <c r="I20" s="71" t="n"/>
      <c r="J20" s="55" t="n"/>
      <c r="K20" s="18" t="n"/>
      <c r="L20" s="73" t="n"/>
      <c r="M20" s="73" t="inlineStr">
        <is>
          <t>gym=2, Sumatera 10=2</t>
        </is>
      </c>
      <c r="N20" s="73">
        <f>2+2</f>
        <v/>
      </c>
      <c r="O20" s="19" t="n"/>
      <c r="P20" s="18" t="n"/>
      <c r="Q20" s="21" t="n"/>
      <c r="R20" s="73" t="n"/>
      <c r="S20" s="18" t="n"/>
      <c r="T20" s="18" t="n"/>
      <c r="U20" s="26">
        <f>D20+F20+-(H20+J20+L20+N20+P20+R20+T20)</f>
        <v/>
      </c>
      <c r="V20" t="inlineStr">
        <is>
          <t>CONSUMABLE</t>
        </is>
      </c>
    </row>
    <row r="21" ht="15" customHeight="1">
      <c r="A21" s="22">
        <f>A20+1</f>
        <v/>
      </c>
      <c r="B21" s="30" t="inlineStr">
        <is>
          <t>BATTERY KERING 6 VOLT</t>
        </is>
      </c>
      <c r="C21" s="123" t="inlineStr">
        <is>
          <t>PCS</t>
        </is>
      </c>
      <c r="D21" s="26">
        <f>'Week  1'!U21</f>
        <v/>
      </c>
      <c r="E21" s="124" t="n"/>
      <c r="F21" s="62" t="n"/>
      <c r="G21" s="25" t="n"/>
      <c r="H21" s="56" t="n"/>
      <c r="I21" s="19" t="n"/>
      <c r="J21" s="64" t="n"/>
      <c r="K21" s="18" t="n"/>
      <c r="L21" s="73" t="n"/>
      <c r="M21" s="73" t="n"/>
      <c r="N21" s="73" t="n"/>
      <c r="O21" s="19" t="n"/>
      <c r="P21" s="18" t="n"/>
      <c r="Q21" s="18" t="n"/>
      <c r="R21" s="73" t="n"/>
      <c r="S21" s="18" t="n"/>
      <c r="T21" s="18" t="n"/>
      <c r="U21" s="26">
        <f>D21+F21+-(H21+J21+L21+N21+P21+R21+T21)</f>
        <v/>
      </c>
      <c r="V21" t="inlineStr">
        <is>
          <t>CONSUMABLE</t>
        </is>
      </c>
    </row>
    <row r="22" ht="15" customFormat="1" customHeight="1" s="32">
      <c r="A22" s="22">
        <f>A21+1</f>
        <v/>
      </c>
      <c r="B22" s="122" t="inlineStr">
        <is>
          <t>Battery Kotak 9 Volt</t>
        </is>
      </c>
      <c r="C22" s="123" t="inlineStr">
        <is>
          <t>PCS</t>
        </is>
      </c>
      <c r="D22" s="26">
        <f>'Week  1'!U22</f>
        <v/>
      </c>
      <c r="E22" s="125" t="n"/>
      <c r="F22" s="55" t="n"/>
      <c r="G22" s="52" t="n"/>
      <c r="H22" s="55" t="n"/>
      <c r="I22" s="71" t="n"/>
      <c r="J22" s="55" t="n"/>
      <c r="K22" s="19" t="n"/>
      <c r="L22" s="73" t="n"/>
      <c r="M22" s="73" t="n"/>
      <c r="N22" s="73" t="n"/>
      <c r="O22" s="19" t="n"/>
      <c r="P22" s="18" t="n"/>
      <c r="Q22" s="19" t="n"/>
      <c r="R22" s="73" t="n"/>
      <c r="S22" s="18" t="n"/>
      <c r="T22" s="18" t="n"/>
      <c r="U22" s="26">
        <f>D22+F22+-(H22+J22+L22+N22+P22+R22+T22)</f>
        <v/>
      </c>
      <c r="V22" s="51" t="inlineStr">
        <is>
          <t>CONSUMABLE</t>
        </is>
      </c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  <c r="FX22" s="51" t="n"/>
      <c r="FY22" s="51" t="n"/>
      <c r="FZ22" s="51" t="n"/>
      <c r="GA22" s="51" t="n"/>
      <c r="GB22" s="51" t="n"/>
      <c r="GC22" s="51" t="n"/>
      <c r="GD22" s="51" t="n"/>
      <c r="GE22" s="51" t="n"/>
      <c r="GF22" s="51" t="n"/>
      <c r="GG22" s="51" t="n"/>
      <c r="GH22" s="51" t="n"/>
      <c r="GI22" s="51" t="n"/>
      <c r="GJ22" s="51" t="n"/>
      <c r="GK22" s="51" t="n"/>
      <c r="GL22" s="51" t="n"/>
      <c r="GM22" s="51" t="n"/>
      <c r="GN22" s="51" t="n"/>
      <c r="GO22" s="51" t="n"/>
      <c r="GP22" s="51" t="n"/>
      <c r="GQ22" s="51" t="n"/>
      <c r="GR22" s="51" t="n"/>
      <c r="GS22" s="51" t="n"/>
      <c r="GT22" s="51" t="n"/>
      <c r="GU22" s="51" t="n"/>
      <c r="GV22" s="51" t="n"/>
      <c r="GW22" s="51" t="n"/>
      <c r="GX22" s="51" t="n"/>
      <c r="GY22" s="51" t="n"/>
      <c r="GZ22" s="51" t="n"/>
      <c r="HA22" s="51" t="n"/>
      <c r="HB22" s="51" t="n"/>
      <c r="HC22" s="51" t="n"/>
      <c r="HD22" s="51" t="n"/>
      <c r="HE22" s="51" t="n"/>
      <c r="HF22" s="51" t="n"/>
      <c r="HG22" s="51" t="n"/>
      <c r="HH22" s="51" t="n"/>
      <c r="HI22" s="51" t="n"/>
      <c r="HJ22" s="51" t="n"/>
      <c r="HK22" s="51" t="n"/>
      <c r="HL22" s="51" t="n"/>
      <c r="HM22" s="51" t="n"/>
      <c r="HN22" s="51" t="n"/>
      <c r="HO22" s="51" t="n"/>
      <c r="HP22" s="51" t="n"/>
      <c r="HQ22" s="51" t="n"/>
      <c r="HR22" s="51" t="n"/>
      <c r="HS22" s="51" t="n"/>
      <c r="HT22" s="51" t="n"/>
      <c r="HU22" s="51" t="n"/>
      <c r="HV22" s="51" t="n"/>
      <c r="HW22" s="51" t="n"/>
      <c r="HX22" s="51" t="n"/>
      <c r="HY22" s="51" t="n"/>
      <c r="HZ22" s="51" t="n"/>
      <c r="IA22" s="51" t="n"/>
      <c r="IB22" s="51" t="n"/>
      <c r="IC22" s="51" t="n"/>
      <c r="ID22" s="51" t="n"/>
      <c r="IE22" s="51" t="n"/>
      <c r="IF22" s="51" t="n"/>
      <c r="IG22" s="51" t="n"/>
      <c r="IH22" s="51" t="n"/>
      <c r="II22" s="51" t="n"/>
      <c r="IJ22" s="51" t="n"/>
      <c r="IK22" s="51" t="n"/>
      <c r="IL22" s="51" t="n"/>
      <c r="IM22" s="51" t="n"/>
      <c r="IN22" s="51" t="n"/>
      <c r="IO22" s="51" t="n"/>
      <c r="IP22" s="51" t="n"/>
      <c r="IQ22" s="51" t="n"/>
      <c r="IR22" s="51" t="n"/>
      <c r="IS22" s="51" t="n"/>
      <c r="IT22" s="51" t="n"/>
      <c r="IU22" s="51" t="n"/>
      <c r="IV22" s="51" t="n"/>
      <c r="IW22" s="51" t="n"/>
      <c r="IX22" s="51" t="n"/>
      <c r="IY22" s="51" t="n"/>
      <c r="IZ22" s="51" t="n"/>
      <c r="JA22" s="51" t="n"/>
      <c r="JB22" s="51" t="n"/>
      <c r="JC22" s="51" t="n"/>
      <c r="JD22" s="51" t="n"/>
      <c r="JE22" s="51" t="n"/>
      <c r="JF22" s="51" t="n"/>
      <c r="JG22" s="51" t="n"/>
      <c r="JH22" s="51" t="n"/>
      <c r="JI22" s="51" t="n"/>
      <c r="JJ22" s="51" t="n"/>
      <c r="JK22" s="51" t="n"/>
      <c r="JL22" s="51" t="n"/>
      <c r="JM22" s="51" t="n"/>
      <c r="JN22" s="51" t="n"/>
      <c r="JO22" s="51" t="n"/>
      <c r="JP22" s="51" t="n"/>
      <c r="JQ22" s="51" t="n"/>
      <c r="JR22" s="51" t="n"/>
      <c r="JS22" s="51" t="n"/>
      <c r="JT22" s="51" t="n"/>
      <c r="JU22" s="51" t="n"/>
      <c r="JV22" s="51" t="n"/>
      <c r="JW22" s="51" t="n"/>
      <c r="JX22" s="51" t="n"/>
      <c r="JY22" s="51" t="n"/>
      <c r="JZ22" s="51" t="n"/>
      <c r="KA22" s="51" t="n"/>
      <c r="KB22" s="51" t="n"/>
      <c r="KC22" s="51" t="n"/>
      <c r="KD22" s="51" t="n"/>
      <c r="KE22" s="51" t="n"/>
      <c r="KF22" s="51" t="n"/>
      <c r="KG22" s="51" t="n"/>
      <c r="KH22" s="51" t="n"/>
      <c r="KI22" s="51" t="n"/>
      <c r="KJ22" s="51" t="n"/>
      <c r="KK22" s="51" t="n"/>
      <c r="KL22" s="51" t="n"/>
      <c r="KM22" s="51" t="n"/>
      <c r="KN22" s="51" t="n"/>
      <c r="KO22" s="51" t="n"/>
      <c r="KP22" s="51" t="n"/>
      <c r="KQ22" s="51" t="n"/>
      <c r="KR22" s="51" t="n"/>
      <c r="KS22" s="51" t="n"/>
      <c r="KT22" s="51" t="n"/>
      <c r="KU22" s="51" t="n"/>
      <c r="KV22" s="51" t="n"/>
      <c r="KW22" s="51" t="n"/>
      <c r="KX22" s="51" t="n"/>
      <c r="KY22" s="51" t="n"/>
      <c r="KZ22" s="51" t="n"/>
      <c r="LA22" s="51" t="n"/>
      <c r="LB22" s="51" t="n"/>
      <c r="LC22" s="51" t="n"/>
      <c r="LD22" s="51" t="n"/>
      <c r="LE22" s="51" t="n"/>
      <c r="LF22" s="51" t="n"/>
      <c r="LG22" s="51" t="n"/>
      <c r="LH22" s="51" t="n"/>
      <c r="LI22" s="51" t="n"/>
      <c r="LJ22" s="51" t="n"/>
      <c r="LK22" s="51" t="n"/>
      <c r="LL22" s="51" t="n"/>
      <c r="LM22" s="51" t="n"/>
      <c r="LN22" s="51" t="n"/>
      <c r="LO22" s="51" t="n"/>
      <c r="LP22" s="51" t="n"/>
      <c r="LQ22" s="51" t="n"/>
      <c r="LR22" s="51" t="n"/>
      <c r="LS22" s="51" t="n"/>
      <c r="LT22" s="51" t="n"/>
      <c r="LU22" s="51" t="n"/>
      <c r="LV22" s="51" t="n"/>
      <c r="LW22" s="51" t="n"/>
      <c r="LX22" s="51" t="n"/>
      <c r="LY22" s="51" t="n"/>
      <c r="LZ22" s="51" t="n"/>
      <c r="MA22" s="51" t="n"/>
      <c r="MB22" s="51" t="n"/>
      <c r="MC22" s="51" t="n"/>
      <c r="MD22" s="51" t="n"/>
      <c r="ME22" s="51" t="n"/>
      <c r="MF22" s="51" t="n"/>
      <c r="MG22" s="51" t="n"/>
      <c r="MH22" s="51" t="n"/>
      <c r="MI22" s="51" t="n"/>
      <c r="MJ22" s="51" t="n"/>
      <c r="MK22" s="51" t="n"/>
      <c r="ML22" s="51" t="n"/>
      <c r="MM22" s="51" t="n"/>
      <c r="MN22" s="51" t="n"/>
      <c r="MO22" s="51" t="n"/>
      <c r="MP22" s="51" t="n"/>
      <c r="MQ22" s="51" t="n"/>
      <c r="MR22" s="51" t="n"/>
      <c r="MS22" s="51" t="n"/>
      <c r="MT22" s="51" t="n"/>
      <c r="MU22" s="51" t="n"/>
      <c r="MV22" s="51" t="n"/>
      <c r="MW22" s="51" t="n"/>
      <c r="MX22" s="51" t="n"/>
      <c r="MY22" s="51" t="n"/>
      <c r="MZ22" s="51" t="n"/>
      <c r="NA22" s="51" t="n"/>
      <c r="NB22" s="51" t="n"/>
      <c r="NC22" s="51" t="n"/>
      <c r="ND22" s="51" t="n"/>
      <c r="NE22" s="51" t="n"/>
      <c r="NF22" s="51" t="n"/>
      <c r="NG22" s="51" t="n"/>
      <c r="NH22" s="51" t="n"/>
      <c r="NI22" s="51" t="n"/>
      <c r="NJ22" s="51" t="n"/>
      <c r="NK22" s="51" t="n"/>
      <c r="NL22" s="51" t="n"/>
      <c r="NM22" s="51" t="n"/>
      <c r="NN22" s="51" t="n"/>
      <c r="NO22" s="51" t="n"/>
      <c r="NP22" s="51" t="n"/>
      <c r="NQ22" s="51" t="n"/>
      <c r="NR22" s="51" t="n"/>
      <c r="NS22" s="51" t="n"/>
      <c r="NT22" s="51" t="n"/>
      <c r="NU22" s="51" t="n"/>
      <c r="NV22" s="51" t="n"/>
      <c r="NW22" s="51" t="n"/>
      <c r="NX22" s="51" t="n"/>
      <c r="NY22" s="51" t="n"/>
      <c r="NZ22" s="51" t="n"/>
      <c r="OA22" s="51" t="n"/>
      <c r="OB22" s="51" t="n"/>
      <c r="OC22" s="51" t="n"/>
      <c r="OD22" s="51" t="n"/>
      <c r="OE22" s="51" t="n"/>
      <c r="OF22" s="51" t="n"/>
      <c r="OG22" s="51" t="n"/>
      <c r="OH22" s="51" t="n"/>
      <c r="OI22" s="51" t="n"/>
      <c r="OJ22" s="51" t="n"/>
      <c r="OK22" s="51" t="n"/>
      <c r="OL22" s="51" t="n"/>
      <c r="OM22" s="51" t="n"/>
      <c r="ON22" s="51" t="n"/>
      <c r="OO22" s="51" t="n"/>
      <c r="OP22" s="51" t="n"/>
      <c r="OQ22" s="51" t="n"/>
      <c r="OR22" s="51" t="n"/>
      <c r="OS22" s="51" t="n"/>
      <c r="OT22" s="51" t="n"/>
      <c r="OU22" s="51" t="n"/>
      <c r="OV22" s="51" t="n"/>
      <c r="OW22" s="51" t="n"/>
      <c r="OX22" s="51" t="n"/>
      <c r="OY22" s="51" t="n"/>
      <c r="OZ22" s="51" t="n"/>
      <c r="PA22" s="51" t="n"/>
      <c r="PB22" s="51" t="n"/>
      <c r="PC22" s="51" t="n"/>
      <c r="PD22" s="51" t="n"/>
      <c r="PE22" s="51" t="n"/>
      <c r="PF22" s="51" t="n"/>
      <c r="PG22" s="51" t="n"/>
      <c r="PH22" s="51" t="n"/>
      <c r="PI22" s="51" t="n"/>
      <c r="PJ22" s="51" t="n"/>
      <c r="PK22" s="51" t="n"/>
      <c r="PL22" s="51" t="n"/>
      <c r="PM22" s="51" t="n"/>
      <c r="PN22" s="51" t="n"/>
      <c r="PO22" s="51" t="n"/>
      <c r="PP22" s="51" t="n"/>
      <c r="PQ22" s="51" t="n"/>
      <c r="PR22" s="51" t="n"/>
      <c r="PS22" s="51" t="n"/>
      <c r="PT22" s="51" t="n"/>
      <c r="PU22" s="51" t="n"/>
      <c r="PV22" s="51" t="n"/>
      <c r="PW22" s="51" t="n"/>
      <c r="PX22" s="51" t="n"/>
      <c r="PY22" s="51" t="n"/>
      <c r="PZ22" s="51" t="n"/>
      <c r="QA22" s="51" t="n"/>
      <c r="QB22" s="51" t="n"/>
      <c r="QC22" s="51" t="n"/>
      <c r="QD22" s="51" t="n"/>
      <c r="QE22" s="51" t="n"/>
      <c r="QF22" s="51" t="n"/>
      <c r="QG22" s="51" t="n"/>
      <c r="QH22" s="51" t="n"/>
      <c r="QI22" s="51" t="n"/>
      <c r="QJ22" s="51" t="n"/>
      <c r="QK22" s="51" t="n"/>
      <c r="QL22" s="51" t="n"/>
      <c r="QM22" s="51" t="n"/>
      <c r="QN22" s="51" t="n"/>
      <c r="QO22" s="51" t="n"/>
      <c r="QP22" s="51" t="n"/>
      <c r="QQ22" s="51" t="n"/>
      <c r="QR22" s="51" t="n"/>
      <c r="QS22" s="51" t="n"/>
      <c r="QT22" s="51" t="n"/>
      <c r="QU22" s="51" t="n"/>
      <c r="QV22" s="51" t="n"/>
      <c r="QW22" s="51" t="n"/>
      <c r="QX22" s="51" t="n"/>
      <c r="QY22" s="51" t="n"/>
      <c r="QZ22" s="51" t="n"/>
      <c r="RA22" s="51" t="n"/>
      <c r="RB22" s="51" t="n"/>
      <c r="RC22" s="51" t="n"/>
      <c r="RD22" s="51" t="n"/>
      <c r="RE22" s="51" t="n"/>
      <c r="RF22" s="51" t="n"/>
      <c r="RG22" s="51" t="n"/>
      <c r="RH22" s="51" t="n"/>
      <c r="RI22" s="51" t="n"/>
      <c r="RJ22" s="51" t="n"/>
      <c r="RK22" s="51" t="n"/>
      <c r="RL22" s="51" t="n"/>
      <c r="RM22" s="51" t="n"/>
      <c r="RN22" s="51" t="n"/>
      <c r="RO22" s="51" t="n"/>
      <c r="RP22" s="51" t="n"/>
      <c r="RQ22" s="51" t="n"/>
      <c r="RR22" s="51" t="n"/>
      <c r="RS22" s="51" t="n"/>
      <c r="RT22" s="51" t="n"/>
      <c r="RU22" s="51" t="n"/>
      <c r="RV22" s="51" t="n"/>
      <c r="RW22" s="51" t="n"/>
      <c r="RX22" s="51" t="n"/>
      <c r="RY22" s="51" t="n"/>
      <c r="RZ22" s="51" t="n"/>
      <c r="SA22" s="51" t="n"/>
      <c r="SB22" s="51" t="n"/>
      <c r="SC22" s="51" t="n"/>
      <c r="SD22" s="51" t="n"/>
      <c r="SE22" s="51" t="n"/>
      <c r="SF22" s="51" t="n"/>
      <c r="SG22" s="51" t="n"/>
      <c r="SH22" s="51" t="n"/>
      <c r="SI22" s="51" t="n"/>
      <c r="SJ22" s="51" t="n"/>
      <c r="SK22" s="51" t="n"/>
      <c r="SL22" s="51" t="n"/>
      <c r="SM22" s="51" t="n"/>
      <c r="SN22" s="51" t="n"/>
      <c r="SO22" s="51" t="n"/>
      <c r="SP22" s="51" t="n"/>
      <c r="SQ22" s="51" t="n"/>
      <c r="SR22" s="51" t="n"/>
      <c r="SS22" s="51" t="n"/>
      <c r="ST22" s="51" t="n"/>
      <c r="SU22" s="51" t="n"/>
      <c r="SV22" s="51" t="n"/>
      <c r="SW22" s="51" t="n"/>
      <c r="SX22" s="51" t="n"/>
      <c r="SY22" s="51" t="n"/>
      <c r="SZ22" s="51" t="n"/>
      <c r="TA22" s="51" t="n"/>
      <c r="TB22" s="51" t="n"/>
      <c r="TC22" s="51" t="n"/>
      <c r="TD22" s="51" t="n"/>
      <c r="TE22" s="51" t="n"/>
      <c r="TF22" s="51" t="n"/>
      <c r="TG22" s="51" t="n"/>
      <c r="TH22" s="51" t="n"/>
      <c r="TI22" s="51" t="n"/>
      <c r="TJ22" s="51" t="n"/>
      <c r="TK22" s="51" t="n"/>
      <c r="TL22" s="51" t="n"/>
      <c r="TM22" s="51" t="n"/>
      <c r="TN22" s="51" t="n"/>
      <c r="TO22" s="51" t="n"/>
      <c r="TP22" s="51" t="n"/>
      <c r="TQ22" s="51" t="n"/>
      <c r="TR22" s="51" t="n"/>
      <c r="TS22" s="51" t="n"/>
      <c r="TT22" s="51" t="n"/>
      <c r="TU22" s="51" t="n"/>
      <c r="TV22" s="51" t="n"/>
      <c r="TW22" s="51" t="n"/>
      <c r="TX22" s="51" t="n"/>
      <c r="TY22" s="51" t="n"/>
      <c r="TZ22" s="51" t="n"/>
      <c r="UA22" s="51" t="n"/>
      <c r="UB22" s="51" t="n"/>
      <c r="UC22" s="51" t="n"/>
      <c r="UD22" s="51" t="n"/>
      <c r="UE22" s="51" t="n"/>
      <c r="UF22" s="51" t="n"/>
      <c r="UG22" s="51" t="n"/>
      <c r="UH22" s="51" t="n"/>
      <c r="UI22" s="51" t="n"/>
      <c r="UJ22" s="51" t="n"/>
      <c r="UK22" s="51" t="n"/>
      <c r="UL22" s="51" t="n"/>
      <c r="UM22" s="51" t="n"/>
      <c r="UN22" s="51" t="n"/>
      <c r="UO22" s="51" t="n"/>
      <c r="UP22" s="51" t="n"/>
      <c r="UQ22" s="51" t="n"/>
      <c r="UR22" s="51" t="n"/>
      <c r="US22" s="51" t="n"/>
      <c r="UT22" s="51" t="n"/>
      <c r="UU22" s="51" t="n"/>
      <c r="UV22" s="51" t="n"/>
      <c r="UW22" s="51" t="n"/>
      <c r="UX22" s="51" t="n"/>
      <c r="UY22" s="51" t="n"/>
      <c r="UZ22" s="51" t="n"/>
      <c r="VA22" s="51" t="n"/>
      <c r="VB22" s="51" t="n"/>
      <c r="VC22" s="51" t="n"/>
      <c r="VD22" s="51" t="n"/>
      <c r="VE22" s="51" t="n"/>
      <c r="VF22" s="51" t="n"/>
      <c r="VG22" s="51" t="n"/>
      <c r="VH22" s="51" t="n"/>
      <c r="VI22" s="51" t="n"/>
      <c r="VJ22" s="51" t="n"/>
      <c r="VK22" s="51" t="n"/>
      <c r="VL22" s="51" t="n"/>
      <c r="VM22" s="51" t="n"/>
      <c r="VN22" s="51" t="n"/>
      <c r="VO22" s="51" t="n"/>
      <c r="VP22" s="51" t="n"/>
      <c r="VQ22" s="51" t="n"/>
      <c r="VR22" s="51" t="n"/>
      <c r="VS22" s="51" t="n"/>
      <c r="VT22" s="51" t="n"/>
      <c r="VU22" s="51" t="n"/>
      <c r="VV22" s="51" t="n"/>
      <c r="VW22" s="51" t="n"/>
      <c r="VX22" s="51" t="n"/>
      <c r="VY22" s="51" t="n"/>
      <c r="VZ22" s="51" t="n"/>
      <c r="WA22" s="51" t="n"/>
      <c r="WB22" s="51" t="n"/>
      <c r="WC22" s="51" t="n"/>
      <c r="WD22" s="51" t="n"/>
      <c r="WE22" s="51" t="n"/>
      <c r="WF22" s="51" t="n"/>
      <c r="WG22" s="51" t="n"/>
      <c r="WH22" s="51" t="n"/>
      <c r="WI22" s="51" t="n"/>
      <c r="WJ22" s="51" t="n"/>
      <c r="WK22" s="51" t="n"/>
      <c r="WL22" s="51" t="n"/>
      <c r="WM22" s="51" t="n"/>
      <c r="WN22" s="51" t="n"/>
      <c r="WO22" s="51" t="n"/>
      <c r="WP22" s="51" t="n"/>
      <c r="WQ22" s="51" t="n"/>
      <c r="WR22" s="51" t="n"/>
      <c r="WS22" s="51" t="n"/>
      <c r="WT22" s="51" t="n"/>
      <c r="WU22" s="51" t="n"/>
      <c r="WV22" s="51" t="n"/>
      <c r="WW22" s="51" t="n"/>
      <c r="WX22" s="51" t="n"/>
      <c r="WY22" s="51" t="n"/>
      <c r="WZ22" s="51" t="n"/>
      <c r="XA22" s="51" t="n"/>
      <c r="XB22" s="51" t="n"/>
      <c r="XC22" s="51" t="n"/>
      <c r="XD22" s="51" t="n"/>
      <c r="XE22" s="51" t="n"/>
      <c r="XF22" s="51" t="n"/>
      <c r="XG22" s="51" t="n"/>
      <c r="XH22" s="51" t="n"/>
      <c r="XI22" s="51" t="n"/>
      <c r="XJ22" s="51" t="n"/>
      <c r="XK22" s="51" t="n"/>
      <c r="XL22" s="51" t="n"/>
      <c r="XM22" s="51" t="n"/>
      <c r="XN22" s="51" t="n"/>
      <c r="XO22" s="51" t="n"/>
      <c r="XP22" s="51" t="n"/>
      <c r="XQ22" s="51" t="n"/>
      <c r="XR22" s="51" t="n"/>
      <c r="XS22" s="51" t="n"/>
      <c r="XT22" s="51" t="n"/>
      <c r="XU22" s="51" t="n"/>
      <c r="XV22" s="51" t="n"/>
      <c r="XW22" s="51" t="n"/>
      <c r="XX22" s="51" t="n"/>
      <c r="XY22" s="51" t="n"/>
      <c r="XZ22" s="51" t="n"/>
      <c r="YA22" s="51" t="n"/>
      <c r="YB22" s="51" t="n"/>
      <c r="YC22" s="51" t="n"/>
      <c r="YD22" s="51" t="n"/>
      <c r="YE22" s="51" t="n"/>
      <c r="YF22" s="51" t="n"/>
      <c r="YG22" s="51" t="n"/>
      <c r="YH22" s="51" t="n"/>
      <c r="YI22" s="51" t="n"/>
      <c r="YJ22" s="51" t="n"/>
      <c r="YK22" s="51" t="n"/>
      <c r="YL22" s="51" t="n"/>
      <c r="YM22" s="51" t="n"/>
      <c r="YN22" s="51" t="n"/>
      <c r="YO22" s="51" t="n"/>
      <c r="YP22" s="51" t="n"/>
      <c r="YQ22" s="51" t="n"/>
      <c r="YR22" s="51" t="n"/>
      <c r="YS22" s="51" t="n"/>
      <c r="YT22" s="51" t="n"/>
      <c r="YU22" s="51" t="n"/>
      <c r="YV22" s="51" t="n"/>
      <c r="YW22" s="51" t="n"/>
      <c r="YX22" s="51" t="n"/>
      <c r="YY22" s="51" t="n"/>
      <c r="YZ22" s="51" t="n"/>
      <c r="ZA22" s="51" t="n"/>
      <c r="ZB22" s="51" t="n"/>
      <c r="ZC22" s="51" t="n"/>
      <c r="ZD22" s="51" t="n"/>
      <c r="ZE22" s="51" t="n"/>
      <c r="ZF22" s="51" t="n"/>
      <c r="ZG22" s="51" t="n"/>
      <c r="ZH22" s="51" t="n"/>
      <c r="ZI22" s="51" t="n"/>
      <c r="ZJ22" s="51" t="n"/>
      <c r="ZK22" s="51" t="n"/>
      <c r="ZL22" s="51" t="n"/>
      <c r="ZM22" s="51" t="n"/>
      <c r="ZN22" s="51" t="n"/>
      <c r="ZO22" s="51" t="n"/>
      <c r="ZP22" s="51" t="n"/>
      <c r="ZQ22" s="51" t="n"/>
      <c r="ZR22" s="51" t="n"/>
      <c r="ZS22" s="51" t="n"/>
      <c r="ZT22" s="51" t="n"/>
      <c r="ZU22" s="51" t="n"/>
      <c r="ZV22" s="51" t="n"/>
      <c r="ZW22" s="51" t="n"/>
      <c r="ZX22" s="51" t="n"/>
      <c r="ZY22" s="51" t="n"/>
      <c r="ZZ22" s="51" t="n"/>
      <c r="AAA22" s="51" t="n"/>
      <c r="AAB22" s="51" t="n"/>
      <c r="AAC22" s="51" t="n"/>
      <c r="AAD22" s="51" t="n"/>
      <c r="AAE22" s="51" t="n"/>
      <c r="AAF22" s="51" t="n"/>
      <c r="AAG22" s="51" t="n"/>
      <c r="AAH22" s="51" t="n"/>
      <c r="AAI22" s="51" t="n"/>
      <c r="AAJ22" s="51" t="n"/>
      <c r="AAK22" s="51" t="n"/>
      <c r="AAL22" s="51" t="n"/>
      <c r="AAM22" s="51" t="n"/>
      <c r="AAN22" s="51" t="n"/>
      <c r="AAO22" s="51" t="n"/>
      <c r="AAP22" s="51" t="n"/>
      <c r="AAQ22" s="51" t="n"/>
      <c r="AAR22" s="51" t="n"/>
      <c r="AAS22" s="51" t="n"/>
      <c r="AAT22" s="51" t="n"/>
      <c r="AAU22" s="51" t="n"/>
      <c r="AAV22" s="51" t="n"/>
      <c r="AAW22" s="51" t="n"/>
      <c r="AAX22" s="51" t="n"/>
      <c r="AAY22" s="51" t="n"/>
      <c r="AAZ22" s="51" t="n"/>
      <c r="ABA22" s="51" t="n"/>
      <c r="ABB22" s="51" t="n"/>
      <c r="ABC22" s="51" t="n"/>
      <c r="ABD22" s="51" t="n"/>
      <c r="ABE22" s="51" t="n"/>
      <c r="ABF22" s="51" t="n"/>
      <c r="ABG22" s="51" t="n"/>
      <c r="ABH22" s="51" t="n"/>
      <c r="ABI22" s="51" t="n"/>
      <c r="ABJ22" s="51" t="n"/>
      <c r="ABK22" s="51" t="n"/>
      <c r="ABL22" s="51" t="n"/>
      <c r="ABM22" s="51" t="n"/>
      <c r="ABN22" s="51" t="n"/>
      <c r="ABO22" s="51" t="n"/>
      <c r="ABP22" s="51" t="n"/>
      <c r="ABQ22" s="51" t="n"/>
      <c r="ABR22" s="51" t="n"/>
      <c r="ABS22" s="51" t="n"/>
      <c r="ABT22" s="51" t="n"/>
      <c r="ABU22" s="51" t="n"/>
      <c r="ABV22" s="51" t="n"/>
      <c r="ABW22" s="51" t="n"/>
      <c r="ABX22" s="51" t="n"/>
      <c r="ABY22" s="51" t="n"/>
      <c r="ABZ22" s="51" t="n"/>
      <c r="ACA22" s="51" t="n"/>
      <c r="ACB22" s="51" t="n"/>
      <c r="ACC22" s="51" t="n"/>
      <c r="ACD22" s="51" t="n"/>
      <c r="ACE22" s="51" t="n"/>
      <c r="ACF22" s="51" t="n"/>
      <c r="ACG22" s="51" t="n"/>
      <c r="ACH22" s="51" t="n"/>
      <c r="ACI22" s="51" t="n"/>
      <c r="ACJ22" s="51" t="n"/>
      <c r="ACK22" s="51" t="n"/>
      <c r="ACL22" s="51" t="n"/>
      <c r="ACM22" s="51" t="n"/>
      <c r="ACN22" s="51" t="n"/>
      <c r="ACO22" s="51" t="n"/>
      <c r="ACP22" s="51" t="n"/>
      <c r="ACQ22" s="51" t="n"/>
      <c r="ACR22" s="51" t="n"/>
      <c r="ACS22" s="51" t="n"/>
      <c r="ACT22" s="51" t="n"/>
      <c r="ACU22" s="51" t="n"/>
      <c r="ACV22" s="51" t="n"/>
      <c r="ACW22" s="51" t="n"/>
      <c r="ACX22" s="51" t="n"/>
      <c r="ACY22" s="51" t="n"/>
      <c r="ACZ22" s="51" t="n"/>
      <c r="ADA22" s="51" t="n"/>
      <c r="ADB22" s="51" t="n"/>
      <c r="ADC22" s="51" t="n"/>
      <c r="ADD22" s="51" t="n"/>
      <c r="ADE22" s="51" t="n"/>
      <c r="ADF22" s="51" t="n"/>
      <c r="ADG22" s="51" t="n"/>
      <c r="ADH22" s="51" t="n"/>
      <c r="ADI22" s="51" t="n"/>
      <c r="ADJ22" s="51" t="n"/>
      <c r="ADK22" s="51" t="n"/>
      <c r="ADL22" s="51" t="n"/>
      <c r="ADM22" s="51" t="n"/>
      <c r="ADN22" s="51" t="n"/>
      <c r="ADO22" s="51" t="n"/>
      <c r="ADP22" s="51" t="n"/>
      <c r="ADQ22" s="51" t="n"/>
      <c r="ADR22" s="51" t="n"/>
      <c r="ADS22" s="51" t="n"/>
      <c r="ADT22" s="51" t="n"/>
      <c r="ADU22" s="51" t="n"/>
      <c r="ADV22" s="51" t="n"/>
      <c r="ADW22" s="51" t="n"/>
      <c r="ADX22" s="51" t="n"/>
      <c r="ADY22" s="51" t="n"/>
      <c r="ADZ22" s="51" t="n"/>
      <c r="AEA22" s="51" t="n"/>
      <c r="AEB22" s="51" t="n"/>
      <c r="AEC22" s="51" t="n"/>
      <c r="AED22" s="51" t="n"/>
      <c r="AEE22" s="51" t="n"/>
      <c r="AEF22" s="51" t="n"/>
      <c r="AEG22" s="51" t="n"/>
      <c r="AEH22" s="51" t="n"/>
      <c r="AEI22" s="51" t="n"/>
      <c r="AEJ22" s="51" t="n"/>
      <c r="AEK22" s="51" t="n"/>
      <c r="AEL22" s="51" t="n"/>
      <c r="AEM22" s="51" t="n"/>
      <c r="AEN22" s="51" t="n"/>
      <c r="AEO22" s="51" t="n"/>
      <c r="AEP22" s="51" t="n"/>
      <c r="AEQ22" s="51" t="n"/>
      <c r="AER22" s="51" t="n"/>
      <c r="AES22" s="51" t="n"/>
      <c r="AET22" s="51" t="n"/>
      <c r="AEU22" s="51" t="n"/>
      <c r="AEV22" s="51" t="n"/>
      <c r="AEW22" s="51" t="n"/>
      <c r="AEX22" s="51" t="n"/>
      <c r="AEY22" s="51" t="n"/>
      <c r="AEZ22" s="51" t="n"/>
      <c r="AFA22" s="51" t="n"/>
      <c r="AFB22" s="51" t="n"/>
      <c r="AFC22" s="51" t="n"/>
      <c r="AFD22" s="51" t="n"/>
      <c r="AFE22" s="51" t="n"/>
      <c r="AFF22" s="51" t="n"/>
      <c r="AFG22" s="51" t="n"/>
      <c r="AFH22" s="51" t="n"/>
      <c r="AFI22" s="51" t="n"/>
      <c r="AFJ22" s="51" t="n"/>
      <c r="AFK22" s="51" t="n"/>
      <c r="AFL22" s="51" t="n"/>
      <c r="AFM22" s="51" t="n"/>
      <c r="AFN22" s="51" t="n"/>
      <c r="AFO22" s="51" t="n"/>
      <c r="AFP22" s="51" t="n"/>
      <c r="AFQ22" s="51" t="n"/>
      <c r="AFR22" s="51" t="n"/>
      <c r="AFS22" s="51" t="n"/>
      <c r="AFT22" s="51" t="n"/>
      <c r="AFU22" s="51" t="n"/>
      <c r="AFV22" s="51" t="n"/>
      <c r="AFW22" s="51" t="n"/>
      <c r="AFX22" s="51" t="n"/>
      <c r="AFY22" s="51" t="n"/>
      <c r="AFZ22" s="51" t="n"/>
      <c r="AGA22" s="51" t="n"/>
      <c r="AGB22" s="51" t="n"/>
      <c r="AGC22" s="51" t="n"/>
      <c r="AGD22" s="51" t="n"/>
      <c r="AGE22" s="51" t="n"/>
      <c r="AGF22" s="51" t="n"/>
      <c r="AGG22" s="51" t="n"/>
      <c r="AGH22" s="51" t="n"/>
      <c r="AGI22" s="51" t="n"/>
      <c r="AGJ22" s="51" t="n"/>
      <c r="AGK22" s="51" t="n"/>
      <c r="AGL22" s="51" t="n"/>
      <c r="AGM22" s="51" t="n"/>
      <c r="AGN22" s="51" t="n"/>
      <c r="AGO22" s="51" t="n"/>
      <c r="AGP22" s="51" t="n"/>
      <c r="AGQ22" s="51" t="n"/>
      <c r="AGR22" s="51" t="n"/>
      <c r="AGS22" s="51" t="n"/>
      <c r="AGT22" s="51" t="n"/>
      <c r="AGU22" s="51" t="n"/>
      <c r="AGV22" s="51" t="n"/>
      <c r="AGW22" s="51" t="n"/>
      <c r="AGX22" s="51" t="n"/>
      <c r="AGY22" s="51" t="n"/>
      <c r="AGZ22" s="51" t="n"/>
      <c r="AHA22" s="51" t="n"/>
      <c r="AHB22" s="51" t="n"/>
      <c r="AHC22" s="51" t="n"/>
      <c r="AHD22" s="51" t="n"/>
      <c r="AHE22" s="51" t="n"/>
      <c r="AHF22" s="51" t="n"/>
      <c r="AHG22" s="51" t="n"/>
      <c r="AHH22" s="51" t="n"/>
      <c r="AHI22" s="51" t="n"/>
      <c r="AHJ22" s="51" t="n"/>
      <c r="AHK22" s="51" t="n"/>
      <c r="AHL22" s="51" t="n"/>
      <c r="AHM22" s="51" t="n"/>
      <c r="AHN22" s="51" t="n"/>
      <c r="AHO22" s="51" t="n"/>
      <c r="AHP22" s="51" t="n"/>
      <c r="AHQ22" s="51" t="n"/>
      <c r="AHR22" s="51" t="n"/>
      <c r="AHS22" s="51" t="n"/>
      <c r="AHT22" s="51" t="n"/>
      <c r="AHU22" s="51" t="n"/>
      <c r="AHV22" s="51" t="n"/>
      <c r="AHW22" s="51" t="n"/>
      <c r="AHX22" s="51" t="n"/>
      <c r="AHY22" s="51" t="n"/>
      <c r="AHZ22" s="51" t="n"/>
      <c r="AIA22" s="51" t="n"/>
      <c r="AIB22" s="51" t="n"/>
      <c r="AIC22" s="51" t="n"/>
      <c r="AID22" s="51" t="n"/>
      <c r="AIE22" s="51" t="n"/>
      <c r="AIF22" s="51" t="n"/>
      <c r="AIG22" s="51" t="n"/>
      <c r="AIH22" s="51" t="n"/>
      <c r="AII22" s="51" t="n"/>
      <c r="AIJ22" s="51" t="n"/>
      <c r="AIK22" s="51" t="n"/>
      <c r="AIL22" s="51" t="n"/>
      <c r="AIM22" s="51" t="n"/>
      <c r="AIN22" s="51" t="n"/>
      <c r="AIO22" s="51" t="n"/>
      <c r="AIP22" s="51" t="n"/>
      <c r="AIQ22" s="51" t="n"/>
      <c r="AIR22" s="51" t="n"/>
      <c r="AIS22" s="51" t="n"/>
      <c r="AIT22" s="51" t="n"/>
      <c r="AIU22" s="51" t="n"/>
      <c r="AIV22" s="51" t="n"/>
      <c r="AIW22" s="51" t="n"/>
      <c r="AIX22" s="51" t="n"/>
      <c r="AIY22" s="51" t="n"/>
      <c r="AIZ22" s="51" t="n"/>
      <c r="AJA22" s="51" t="n"/>
      <c r="AJB22" s="51" t="n"/>
      <c r="AJC22" s="51" t="n"/>
      <c r="AJD22" s="51" t="n"/>
      <c r="AJE22" s="51" t="n"/>
      <c r="AJF22" s="51" t="n"/>
      <c r="AJG22" s="51" t="n"/>
      <c r="AJH22" s="51" t="n"/>
      <c r="AJI22" s="51" t="n"/>
      <c r="AJJ22" s="51" t="n"/>
      <c r="AJK22" s="51" t="n"/>
      <c r="AJL22" s="51" t="n"/>
      <c r="AJM22" s="51" t="n"/>
      <c r="AJN22" s="51" t="n"/>
      <c r="AJO22" s="51" t="n"/>
      <c r="AJP22" s="51" t="n"/>
      <c r="AJQ22" s="51" t="n"/>
      <c r="AJR22" s="51" t="n"/>
      <c r="AJS22" s="51" t="n"/>
      <c r="AJT22" s="51" t="n"/>
      <c r="AJU22" s="51" t="n"/>
      <c r="AJV22" s="51" t="n"/>
      <c r="AJW22" s="51" t="n"/>
      <c r="AJX22" s="51" t="n"/>
      <c r="AJY22" s="51" t="n"/>
      <c r="AJZ22" s="51" t="n"/>
      <c r="AKA22" s="51" t="n"/>
      <c r="AKB22" s="51" t="n"/>
      <c r="AKC22" s="51" t="n"/>
      <c r="AKD22" s="51" t="n"/>
      <c r="AKE22" s="51" t="n"/>
      <c r="AKF22" s="51" t="n"/>
      <c r="AKG22" s="51" t="n"/>
      <c r="AKH22" s="51" t="n"/>
      <c r="AKI22" s="51" t="n"/>
      <c r="AKJ22" s="51" t="n"/>
      <c r="AKK22" s="51" t="n"/>
      <c r="AKL22" s="51" t="n"/>
      <c r="AKM22" s="51" t="n"/>
      <c r="AKN22" s="51" t="n"/>
      <c r="AKO22" s="51" t="n"/>
      <c r="AKP22" s="51" t="n"/>
      <c r="AKQ22" s="51" t="n"/>
      <c r="AKR22" s="51" t="n"/>
      <c r="AKS22" s="51" t="n"/>
      <c r="AKT22" s="51" t="n"/>
      <c r="AKU22" s="51" t="n"/>
      <c r="AKV22" s="51" t="n"/>
      <c r="AKW22" s="51" t="n"/>
      <c r="AKX22" s="51" t="n"/>
      <c r="AKY22" s="51" t="n"/>
      <c r="AKZ22" s="51" t="n"/>
      <c r="ALA22" s="51" t="n"/>
      <c r="ALB22" s="51" t="n"/>
      <c r="ALC22" s="51" t="n"/>
      <c r="ALD22" s="51" t="n"/>
      <c r="ALE22" s="51" t="n"/>
      <c r="ALF22" s="51" t="n"/>
      <c r="ALG22" s="51" t="n"/>
      <c r="ALH22" s="51" t="n"/>
      <c r="ALI22" s="51" t="n"/>
      <c r="ALJ22" s="51" t="n"/>
      <c r="ALK22" s="51" t="n"/>
      <c r="ALL22" s="51" t="n"/>
      <c r="ALM22" s="51" t="n"/>
      <c r="ALN22" s="51" t="n"/>
      <c r="ALO22" s="51" t="n"/>
      <c r="ALP22" s="51" t="n"/>
      <c r="ALQ22" s="51" t="n"/>
      <c r="ALR22" s="51" t="n"/>
      <c r="ALS22" s="51" t="n"/>
      <c r="ALT22" s="51" t="n"/>
      <c r="ALU22" s="51" t="n"/>
      <c r="ALV22" s="51" t="n"/>
      <c r="ALW22" s="51" t="n"/>
      <c r="ALX22" s="51" t="n"/>
      <c r="ALY22" s="51" t="n"/>
      <c r="ALZ22" s="51" t="n"/>
      <c r="AMA22" s="51" t="n"/>
      <c r="AMB22" s="51" t="n"/>
      <c r="AMC22" s="51" t="n"/>
      <c r="AMD22" s="51" t="n"/>
      <c r="AME22" s="51" t="n"/>
      <c r="AMF22" s="51" t="n"/>
      <c r="AMG22" s="51" t="n"/>
      <c r="AMH22" s="51" t="n"/>
      <c r="AMI22" s="51" t="n"/>
      <c r="AMJ22" s="51" t="n"/>
      <c r="AMK22" s="51" t="n"/>
      <c r="AML22" s="51" t="n"/>
      <c r="AMM22" s="51" t="n"/>
      <c r="AMN22" s="51" t="n"/>
      <c r="AMO22" s="51" t="n"/>
      <c r="AMP22" s="51" t="n"/>
      <c r="AMQ22" s="51" t="n"/>
      <c r="AMR22" s="51" t="n"/>
      <c r="AMS22" s="51" t="n"/>
      <c r="AMT22" s="51" t="n"/>
      <c r="AMU22" s="51" t="n"/>
      <c r="AMV22" s="51" t="n"/>
      <c r="AMW22" s="51" t="n"/>
      <c r="AMX22" s="51" t="n"/>
      <c r="AMY22" s="51" t="n"/>
      <c r="AMZ22" s="51" t="n"/>
      <c r="ANA22" s="51" t="n"/>
      <c r="ANB22" s="51" t="n"/>
      <c r="ANC22" s="51" t="n"/>
      <c r="AND22" s="51" t="n"/>
      <c r="ANE22" s="51" t="n"/>
      <c r="ANF22" s="51" t="n"/>
      <c r="ANG22" s="51" t="n"/>
      <c r="ANH22" s="51" t="n"/>
      <c r="ANI22" s="51" t="n"/>
      <c r="ANJ22" s="51" t="n"/>
      <c r="ANK22" s="51" t="n"/>
      <c r="ANL22" s="51" t="n"/>
      <c r="ANM22" s="51" t="n"/>
      <c r="ANN22" s="51" t="n"/>
      <c r="ANO22" s="51" t="n"/>
      <c r="ANP22" s="51" t="n"/>
      <c r="ANQ22" s="51" t="n"/>
      <c r="ANR22" s="51" t="n"/>
      <c r="ANS22" s="51" t="n"/>
      <c r="ANT22" s="51" t="n"/>
      <c r="ANU22" s="51" t="n"/>
      <c r="ANV22" s="51" t="n"/>
      <c r="ANW22" s="51" t="n"/>
      <c r="ANX22" s="51" t="n"/>
      <c r="ANY22" s="51" t="n"/>
      <c r="ANZ22" s="51" t="n"/>
      <c r="AOA22" s="51" t="n"/>
      <c r="AOB22" s="51" t="n"/>
      <c r="AOC22" s="51" t="n"/>
      <c r="AOD22" s="51" t="n"/>
      <c r="AOE22" s="51" t="n"/>
      <c r="AOF22" s="51" t="n"/>
      <c r="AOG22" s="51" t="n"/>
      <c r="AOH22" s="51" t="n"/>
      <c r="AOI22" s="51" t="n"/>
      <c r="AOJ22" s="51" t="n"/>
      <c r="AOK22" s="51" t="n"/>
      <c r="AOL22" s="51" t="n"/>
      <c r="AOM22" s="51" t="n"/>
      <c r="AON22" s="51" t="n"/>
      <c r="AOO22" s="51" t="n"/>
      <c r="AOP22" s="51" t="n"/>
      <c r="AOQ22" s="51" t="n"/>
      <c r="AOR22" s="51" t="n"/>
      <c r="AOS22" s="51" t="n"/>
      <c r="AOT22" s="51" t="n"/>
      <c r="AOU22" s="51" t="n"/>
      <c r="AOV22" s="51" t="n"/>
      <c r="AOW22" s="51" t="n"/>
      <c r="AOX22" s="51" t="n"/>
      <c r="AOY22" s="51" t="n"/>
      <c r="AOZ22" s="51" t="n"/>
      <c r="APA22" s="51" t="n"/>
      <c r="APB22" s="51" t="n"/>
      <c r="APC22" s="51" t="n"/>
      <c r="APD22" s="51" t="n"/>
      <c r="APE22" s="51" t="n"/>
      <c r="APF22" s="51" t="n"/>
      <c r="APG22" s="51" t="n"/>
      <c r="APH22" s="51" t="n"/>
      <c r="API22" s="51" t="n"/>
      <c r="APJ22" s="51" t="n"/>
      <c r="APK22" s="51" t="n"/>
      <c r="APL22" s="51" t="n"/>
      <c r="APM22" s="51" t="n"/>
      <c r="APN22" s="51" t="n"/>
      <c r="APO22" s="51" t="n"/>
      <c r="APP22" s="51" t="n"/>
      <c r="APQ22" s="51" t="n"/>
      <c r="APR22" s="51" t="n"/>
      <c r="APS22" s="51" t="n"/>
      <c r="APT22" s="51" t="n"/>
      <c r="APU22" s="51" t="n"/>
      <c r="APV22" s="51" t="n"/>
      <c r="APW22" s="51" t="n"/>
      <c r="APX22" s="51" t="n"/>
      <c r="APY22" s="51" t="n"/>
      <c r="APZ22" s="51" t="n"/>
      <c r="AQA22" s="51" t="n"/>
      <c r="AQB22" s="51" t="n"/>
      <c r="AQC22" s="51" t="n"/>
      <c r="AQD22" s="51" t="n"/>
      <c r="AQE22" s="51" t="n"/>
      <c r="AQF22" s="51" t="n"/>
      <c r="AQG22" s="51" t="n"/>
      <c r="AQH22" s="51" t="n"/>
      <c r="AQI22" s="51" t="n"/>
      <c r="AQJ22" s="51" t="n"/>
      <c r="AQK22" s="51" t="n"/>
      <c r="AQL22" s="51" t="n"/>
      <c r="AQM22" s="51" t="n"/>
      <c r="AQN22" s="51" t="n"/>
      <c r="AQO22" s="51" t="n"/>
      <c r="AQP22" s="51" t="n"/>
      <c r="AQQ22" s="51" t="n"/>
      <c r="AQR22" s="51" t="n"/>
      <c r="AQS22" s="51" t="n"/>
      <c r="AQT22" s="51" t="n"/>
      <c r="AQU22" s="51" t="n"/>
      <c r="AQV22" s="51" t="n"/>
      <c r="AQW22" s="51" t="n"/>
      <c r="AQX22" s="51" t="n"/>
      <c r="AQY22" s="51" t="n"/>
      <c r="AQZ22" s="51" t="n"/>
      <c r="ARA22" s="51" t="n"/>
      <c r="ARB22" s="51" t="n"/>
      <c r="ARC22" s="51" t="n"/>
      <c r="ARD22" s="51" t="n"/>
      <c r="ARE22" s="51" t="n"/>
      <c r="ARF22" s="51" t="n"/>
      <c r="ARG22" s="51" t="n"/>
      <c r="ARH22" s="51" t="n"/>
      <c r="ARI22" s="51" t="n"/>
      <c r="ARJ22" s="51" t="n"/>
      <c r="ARK22" s="51" t="n"/>
      <c r="ARL22" s="51" t="n"/>
      <c r="ARM22" s="51" t="n"/>
      <c r="ARN22" s="51" t="n"/>
      <c r="ARO22" s="51" t="n"/>
      <c r="ARP22" s="51" t="n"/>
      <c r="ARQ22" s="51" t="n"/>
      <c r="ARR22" s="51" t="n"/>
      <c r="ARS22" s="51" t="n"/>
      <c r="ART22" s="51" t="n"/>
      <c r="ARU22" s="51" t="n"/>
      <c r="ARV22" s="51" t="n"/>
      <c r="ARW22" s="51" t="n"/>
      <c r="ARX22" s="51" t="n"/>
      <c r="ARY22" s="51" t="n"/>
      <c r="ARZ22" s="51" t="n"/>
      <c r="ASA22" s="51" t="n"/>
      <c r="ASB22" s="51" t="n"/>
      <c r="ASC22" s="51" t="n"/>
      <c r="ASD22" s="51" t="n"/>
      <c r="ASE22" s="51" t="n"/>
      <c r="ASF22" s="51" t="n"/>
      <c r="ASG22" s="51" t="n"/>
      <c r="ASH22" s="51" t="n"/>
      <c r="ASI22" s="51" t="n"/>
      <c r="ASJ22" s="51" t="n"/>
      <c r="ASK22" s="51" t="n"/>
      <c r="ASL22" s="51" t="n"/>
      <c r="ASM22" s="51" t="n"/>
      <c r="ASN22" s="51" t="n"/>
      <c r="ASO22" s="51" t="n"/>
      <c r="ASP22" s="51" t="n"/>
      <c r="ASQ22" s="51" t="n"/>
      <c r="ASR22" s="51" t="n"/>
      <c r="ASS22" s="51" t="n"/>
      <c r="AST22" s="51" t="n"/>
      <c r="ASU22" s="51" t="n"/>
      <c r="ASV22" s="51" t="n"/>
      <c r="ASW22" s="51" t="n"/>
      <c r="ASX22" s="51" t="n"/>
      <c r="ASY22" s="51" t="n"/>
      <c r="ASZ22" s="51" t="n"/>
      <c r="ATA22" s="51" t="n"/>
      <c r="ATB22" s="51" t="n"/>
      <c r="ATC22" s="51" t="n"/>
      <c r="ATD22" s="51" t="n"/>
      <c r="ATE22" s="51" t="n"/>
      <c r="ATF22" s="51" t="n"/>
      <c r="ATG22" s="51" t="n"/>
      <c r="ATH22" s="51" t="n"/>
      <c r="ATI22" s="51" t="n"/>
      <c r="ATJ22" s="51" t="n"/>
      <c r="ATK22" s="51" t="n"/>
      <c r="ATL22" s="51" t="n"/>
      <c r="ATM22" s="51" t="n"/>
      <c r="ATN22" s="51" t="n"/>
      <c r="ATO22" s="51" t="n"/>
      <c r="ATP22" s="51" t="n"/>
      <c r="ATQ22" s="51" t="n"/>
      <c r="ATR22" s="51" t="n"/>
      <c r="ATS22" s="51" t="n"/>
      <c r="ATT22" s="51" t="n"/>
      <c r="ATU22" s="51" t="n"/>
      <c r="ATV22" s="51" t="n"/>
      <c r="ATW22" s="51" t="n"/>
      <c r="ATX22" s="51" t="n"/>
      <c r="ATY22" s="51" t="n"/>
      <c r="ATZ22" s="51" t="n"/>
      <c r="AUA22" s="51" t="n"/>
      <c r="AUB22" s="51" t="n"/>
      <c r="AUC22" s="51" t="n"/>
      <c r="AUD22" s="51" t="n"/>
      <c r="AUE22" s="51" t="n"/>
      <c r="AUF22" s="51" t="n"/>
      <c r="AUG22" s="51" t="n"/>
      <c r="AUH22" s="51" t="n"/>
      <c r="AUI22" s="51" t="n"/>
      <c r="AUJ22" s="51" t="n"/>
      <c r="AUK22" s="51" t="n"/>
      <c r="AUL22" s="51" t="n"/>
      <c r="AUM22" s="51" t="n"/>
      <c r="AUN22" s="51" t="n"/>
      <c r="AUO22" s="51" t="n"/>
      <c r="AUP22" s="51" t="n"/>
      <c r="AUQ22" s="51" t="n"/>
      <c r="AUR22" s="51" t="n"/>
      <c r="AUS22" s="51" t="n"/>
      <c r="AUT22" s="51" t="n"/>
      <c r="AUU22" s="51" t="n"/>
      <c r="AUV22" s="51" t="n"/>
      <c r="AUW22" s="51" t="n"/>
      <c r="AUX22" s="51" t="n"/>
      <c r="AUY22" s="51" t="n"/>
      <c r="AUZ22" s="51" t="n"/>
      <c r="AVA22" s="51" t="n"/>
      <c r="AVB22" s="51" t="n"/>
      <c r="AVC22" s="51" t="n"/>
      <c r="AVD22" s="51" t="n"/>
      <c r="AVE22" s="51" t="n"/>
      <c r="AVF22" s="51" t="n"/>
      <c r="AVG22" s="51" t="n"/>
      <c r="AVH22" s="51" t="n"/>
      <c r="AVI22" s="51" t="n"/>
      <c r="AVJ22" s="51" t="n"/>
      <c r="AVK22" s="51" t="n"/>
      <c r="AVL22" s="51" t="n"/>
      <c r="AVM22" s="51" t="n"/>
      <c r="AVN22" s="51" t="n"/>
      <c r="AVO22" s="51" t="n"/>
      <c r="AVP22" s="51" t="n"/>
      <c r="AVQ22" s="51" t="n"/>
      <c r="AVR22" s="51" t="n"/>
      <c r="AVS22" s="51" t="n"/>
      <c r="AVT22" s="51" t="n"/>
      <c r="AVU22" s="51" t="n"/>
      <c r="AVV22" s="51" t="n"/>
      <c r="AVW22" s="51" t="n"/>
      <c r="AVX22" s="51" t="n"/>
      <c r="AVY22" s="51" t="n"/>
      <c r="AVZ22" s="51" t="n"/>
      <c r="AWA22" s="51" t="n"/>
      <c r="AWB22" s="51" t="n"/>
      <c r="AWC22" s="51" t="n"/>
      <c r="AWD22" s="51" t="n"/>
      <c r="AWE22" s="51" t="n"/>
      <c r="AWF22" s="51" t="n"/>
      <c r="AWG22" s="51" t="n"/>
      <c r="AWH22" s="51" t="n"/>
      <c r="AWI22" s="51" t="n"/>
      <c r="AWJ22" s="51" t="n"/>
      <c r="AWK22" s="51" t="n"/>
      <c r="AWL22" s="51" t="n"/>
      <c r="AWM22" s="51" t="n"/>
      <c r="AWN22" s="51" t="n"/>
      <c r="AWO22" s="51" t="n"/>
      <c r="AWP22" s="51" t="n"/>
      <c r="AWQ22" s="51" t="n"/>
      <c r="AWR22" s="51" t="n"/>
      <c r="AWS22" s="51" t="n"/>
      <c r="AWT22" s="51" t="n"/>
      <c r="AWU22" s="51" t="n"/>
      <c r="AWV22" s="51" t="n"/>
      <c r="AWW22" s="51" t="n"/>
      <c r="AWX22" s="51" t="n"/>
      <c r="AWY22" s="51" t="n"/>
      <c r="AWZ22" s="51" t="n"/>
      <c r="AXA22" s="51" t="n"/>
      <c r="AXB22" s="51" t="n"/>
      <c r="AXC22" s="51" t="n"/>
      <c r="AXD22" s="51" t="n"/>
      <c r="AXE22" s="51" t="n"/>
      <c r="AXF22" s="51" t="n"/>
      <c r="AXG22" s="51" t="n"/>
      <c r="AXH22" s="51" t="n"/>
      <c r="AXI22" s="51" t="n"/>
      <c r="AXJ22" s="51" t="n"/>
      <c r="AXK22" s="51" t="n"/>
      <c r="AXL22" s="51" t="n"/>
      <c r="AXM22" s="51" t="n"/>
      <c r="AXN22" s="51" t="n"/>
      <c r="AXO22" s="51" t="n"/>
      <c r="AXP22" s="51" t="n"/>
      <c r="AXQ22" s="51" t="n"/>
      <c r="AXR22" s="51" t="n"/>
      <c r="AXS22" s="51" t="n"/>
      <c r="AXT22" s="51" t="n"/>
      <c r="AXU22" s="51" t="n"/>
      <c r="AXV22" s="51" t="n"/>
      <c r="AXW22" s="51" t="n"/>
      <c r="AXX22" s="51" t="n"/>
      <c r="AXY22" s="51" t="n"/>
      <c r="AXZ22" s="51" t="n"/>
      <c r="AYA22" s="51" t="n"/>
      <c r="AYB22" s="51" t="n"/>
      <c r="AYC22" s="51" t="n"/>
      <c r="AYD22" s="51" t="n"/>
      <c r="AYE22" s="51" t="n"/>
      <c r="AYF22" s="51" t="n"/>
      <c r="AYG22" s="51" t="n"/>
      <c r="AYH22" s="51" t="n"/>
      <c r="AYI22" s="51" t="n"/>
      <c r="AYJ22" s="51" t="n"/>
      <c r="AYK22" s="51" t="n"/>
      <c r="AYL22" s="51" t="n"/>
      <c r="AYM22" s="51" t="n"/>
      <c r="AYN22" s="51" t="n"/>
      <c r="AYO22" s="51" t="n"/>
      <c r="AYP22" s="51" t="n"/>
      <c r="AYQ22" s="51" t="n"/>
      <c r="AYR22" s="51" t="n"/>
      <c r="AYS22" s="51" t="n"/>
      <c r="AYT22" s="51" t="n"/>
      <c r="AYU22" s="51" t="n"/>
      <c r="AYV22" s="51" t="n"/>
      <c r="AYW22" s="51" t="n"/>
      <c r="AYX22" s="51" t="n"/>
      <c r="AYY22" s="51" t="n"/>
      <c r="AYZ22" s="51" t="n"/>
      <c r="AZA22" s="51" t="n"/>
      <c r="AZB22" s="51" t="n"/>
      <c r="AZC22" s="51" t="n"/>
      <c r="AZD22" s="51" t="n"/>
      <c r="AZE22" s="51" t="n"/>
      <c r="AZF22" s="51" t="n"/>
      <c r="AZG22" s="51" t="n"/>
      <c r="AZH22" s="51" t="n"/>
      <c r="AZI22" s="51" t="n"/>
      <c r="AZJ22" s="51" t="n"/>
      <c r="AZK22" s="51" t="n"/>
      <c r="AZL22" s="51" t="n"/>
      <c r="AZM22" s="51" t="n"/>
      <c r="AZN22" s="51" t="n"/>
      <c r="AZO22" s="51" t="n"/>
      <c r="AZP22" s="51" t="n"/>
      <c r="AZQ22" s="51" t="n"/>
      <c r="AZR22" s="51" t="n"/>
      <c r="AZS22" s="51" t="n"/>
      <c r="AZT22" s="51" t="n"/>
      <c r="AZU22" s="51" t="n"/>
      <c r="AZV22" s="51" t="n"/>
      <c r="AZW22" s="51" t="n"/>
      <c r="AZX22" s="51" t="n"/>
      <c r="AZY22" s="51" t="n"/>
      <c r="AZZ22" s="51" t="n"/>
      <c r="BAA22" s="51" t="n"/>
      <c r="BAB22" s="51" t="n"/>
      <c r="BAC22" s="51" t="n"/>
      <c r="BAD22" s="51" t="n"/>
      <c r="BAE22" s="51" t="n"/>
      <c r="BAF22" s="51" t="n"/>
      <c r="BAG22" s="51" t="n"/>
      <c r="BAH22" s="51" t="n"/>
      <c r="BAI22" s="51" t="n"/>
      <c r="BAJ22" s="51" t="n"/>
      <c r="BAK22" s="51" t="n"/>
      <c r="BAL22" s="51" t="n"/>
      <c r="BAM22" s="51" t="n"/>
      <c r="BAN22" s="51" t="n"/>
      <c r="BAO22" s="51" t="n"/>
      <c r="BAP22" s="51" t="n"/>
      <c r="BAQ22" s="51" t="n"/>
      <c r="BAR22" s="51" t="n"/>
      <c r="BAS22" s="51" t="n"/>
      <c r="BAT22" s="51" t="n"/>
      <c r="BAU22" s="51" t="n"/>
      <c r="BAV22" s="51" t="n"/>
      <c r="BAW22" s="51" t="n"/>
      <c r="BAX22" s="51" t="n"/>
      <c r="BAY22" s="51" t="n"/>
      <c r="BAZ22" s="51" t="n"/>
      <c r="BBA22" s="51" t="n"/>
      <c r="BBB22" s="51" t="n"/>
      <c r="BBC22" s="51" t="n"/>
      <c r="BBD22" s="51" t="n"/>
      <c r="BBE22" s="51" t="n"/>
      <c r="BBF22" s="51" t="n"/>
      <c r="BBG22" s="51" t="n"/>
      <c r="BBH22" s="51" t="n"/>
      <c r="BBI22" s="51" t="n"/>
      <c r="BBJ22" s="51" t="n"/>
      <c r="BBK22" s="51" t="n"/>
      <c r="BBL22" s="51" t="n"/>
      <c r="BBM22" s="51" t="n"/>
      <c r="BBN22" s="51" t="n"/>
      <c r="BBO22" s="51" t="n"/>
      <c r="BBP22" s="51" t="n"/>
    </row>
    <row r="23" ht="13.5" customFormat="1" customHeight="1" s="32">
      <c r="A23" s="22">
        <f>A22+1</f>
        <v/>
      </c>
      <c r="B23" s="122" t="inlineStr">
        <is>
          <t>Baut Dipan</t>
        </is>
      </c>
      <c r="C23" s="123" t="inlineStr">
        <is>
          <t>PCS</t>
        </is>
      </c>
      <c r="D23" s="26">
        <f>'Week  1'!U23</f>
        <v/>
      </c>
      <c r="E23" s="124" t="n"/>
      <c r="F23" s="62" t="n"/>
      <c r="G23" s="25" t="n"/>
      <c r="H23" s="56" t="n"/>
      <c r="I23" s="19" t="n"/>
      <c r="J23" s="64" t="n"/>
      <c r="K23" s="25" t="n"/>
      <c r="L23" s="56" t="n"/>
      <c r="M23" s="73" t="n"/>
      <c r="N23" s="73" t="n"/>
      <c r="O23" s="19" t="n"/>
      <c r="P23" s="18" t="n"/>
      <c r="Q23" s="18" t="n"/>
      <c r="R23" s="73" t="n"/>
      <c r="S23" s="18" t="n"/>
      <c r="T23" s="18" t="n"/>
      <c r="U23" s="26">
        <f>D23+F23+-(H23+J23+L23+N23+P23+R23+T23)</f>
        <v/>
      </c>
      <c r="V23" s="51" t="inlineStr">
        <is>
          <t>CIVIL</t>
        </is>
      </c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  <c r="FX23" s="51" t="n"/>
      <c r="FY23" s="51" t="n"/>
      <c r="FZ23" s="51" t="n"/>
      <c r="GA23" s="51" t="n"/>
      <c r="GB23" s="51" t="n"/>
      <c r="GC23" s="51" t="n"/>
      <c r="GD23" s="51" t="n"/>
      <c r="GE23" s="51" t="n"/>
      <c r="GF23" s="51" t="n"/>
      <c r="GG23" s="51" t="n"/>
      <c r="GH23" s="51" t="n"/>
      <c r="GI23" s="51" t="n"/>
      <c r="GJ23" s="51" t="n"/>
      <c r="GK23" s="51" t="n"/>
      <c r="GL23" s="51" t="n"/>
      <c r="GM23" s="51" t="n"/>
      <c r="GN23" s="51" t="n"/>
      <c r="GO23" s="51" t="n"/>
      <c r="GP23" s="51" t="n"/>
      <c r="GQ23" s="51" t="n"/>
      <c r="GR23" s="51" t="n"/>
      <c r="GS23" s="51" t="n"/>
      <c r="GT23" s="51" t="n"/>
      <c r="GU23" s="51" t="n"/>
      <c r="GV23" s="51" t="n"/>
      <c r="GW23" s="51" t="n"/>
      <c r="GX23" s="51" t="n"/>
      <c r="GY23" s="51" t="n"/>
      <c r="GZ23" s="51" t="n"/>
      <c r="HA23" s="51" t="n"/>
      <c r="HB23" s="51" t="n"/>
      <c r="HC23" s="51" t="n"/>
      <c r="HD23" s="51" t="n"/>
      <c r="HE23" s="51" t="n"/>
      <c r="HF23" s="51" t="n"/>
      <c r="HG23" s="51" t="n"/>
      <c r="HH23" s="51" t="n"/>
      <c r="HI23" s="51" t="n"/>
      <c r="HJ23" s="51" t="n"/>
      <c r="HK23" s="51" t="n"/>
      <c r="HL23" s="51" t="n"/>
      <c r="HM23" s="51" t="n"/>
      <c r="HN23" s="51" t="n"/>
      <c r="HO23" s="51" t="n"/>
      <c r="HP23" s="51" t="n"/>
      <c r="HQ23" s="51" t="n"/>
      <c r="HR23" s="51" t="n"/>
      <c r="HS23" s="51" t="n"/>
      <c r="HT23" s="51" t="n"/>
      <c r="HU23" s="51" t="n"/>
      <c r="HV23" s="51" t="n"/>
      <c r="HW23" s="51" t="n"/>
      <c r="HX23" s="51" t="n"/>
      <c r="HY23" s="51" t="n"/>
      <c r="HZ23" s="51" t="n"/>
      <c r="IA23" s="51" t="n"/>
      <c r="IB23" s="51" t="n"/>
      <c r="IC23" s="51" t="n"/>
      <c r="ID23" s="51" t="n"/>
      <c r="IE23" s="51" t="n"/>
      <c r="IF23" s="51" t="n"/>
      <c r="IG23" s="51" t="n"/>
      <c r="IH23" s="51" t="n"/>
      <c r="II23" s="51" t="n"/>
      <c r="IJ23" s="51" t="n"/>
      <c r="IK23" s="51" t="n"/>
      <c r="IL23" s="51" t="n"/>
      <c r="IM23" s="51" t="n"/>
      <c r="IN23" s="51" t="n"/>
      <c r="IO23" s="51" t="n"/>
      <c r="IP23" s="51" t="n"/>
      <c r="IQ23" s="51" t="n"/>
      <c r="IR23" s="51" t="n"/>
      <c r="IS23" s="51" t="n"/>
      <c r="IT23" s="51" t="n"/>
      <c r="IU23" s="51" t="n"/>
      <c r="IV23" s="51" t="n"/>
      <c r="IW23" s="51" t="n"/>
      <c r="IX23" s="51" t="n"/>
      <c r="IY23" s="51" t="n"/>
      <c r="IZ23" s="51" t="n"/>
      <c r="JA23" s="51" t="n"/>
      <c r="JB23" s="51" t="n"/>
      <c r="JC23" s="51" t="n"/>
      <c r="JD23" s="51" t="n"/>
      <c r="JE23" s="51" t="n"/>
      <c r="JF23" s="51" t="n"/>
      <c r="JG23" s="51" t="n"/>
      <c r="JH23" s="51" t="n"/>
      <c r="JI23" s="51" t="n"/>
      <c r="JJ23" s="51" t="n"/>
      <c r="JK23" s="51" t="n"/>
      <c r="JL23" s="51" t="n"/>
      <c r="JM23" s="51" t="n"/>
      <c r="JN23" s="51" t="n"/>
      <c r="JO23" s="51" t="n"/>
      <c r="JP23" s="51" t="n"/>
      <c r="JQ23" s="51" t="n"/>
      <c r="JR23" s="51" t="n"/>
      <c r="JS23" s="51" t="n"/>
      <c r="JT23" s="51" t="n"/>
      <c r="JU23" s="51" t="n"/>
      <c r="JV23" s="51" t="n"/>
      <c r="JW23" s="51" t="n"/>
      <c r="JX23" s="51" t="n"/>
      <c r="JY23" s="51" t="n"/>
      <c r="JZ23" s="51" t="n"/>
      <c r="KA23" s="51" t="n"/>
      <c r="KB23" s="51" t="n"/>
      <c r="KC23" s="51" t="n"/>
      <c r="KD23" s="51" t="n"/>
      <c r="KE23" s="51" t="n"/>
      <c r="KF23" s="51" t="n"/>
      <c r="KG23" s="51" t="n"/>
      <c r="KH23" s="51" t="n"/>
      <c r="KI23" s="51" t="n"/>
      <c r="KJ23" s="51" t="n"/>
      <c r="KK23" s="51" t="n"/>
      <c r="KL23" s="51" t="n"/>
      <c r="KM23" s="51" t="n"/>
      <c r="KN23" s="51" t="n"/>
      <c r="KO23" s="51" t="n"/>
      <c r="KP23" s="51" t="n"/>
      <c r="KQ23" s="51" t="n"/>
      <c r="KR23" s="51" t="n"/>
      <c r="KS23" s="51" t="n"/>
      <c r="KT23" s="51" t="n"/>
      <c r="KU23" s="51" t="n"/>
      <c r="KV23" s="51" t="n"/>
      <c r="KW23" s="51" t="n"/>
      <c r="KX23" s="51" t="n"/>
      <c r="KY23" s="51" t="n"/>
      <c r="KZ23" s="51" t="n"/>
      <c r="LA23" s="51" t="n"/>
      <c r="LB23" s="51" t="n"/>
      <c r="LC23" s="51" t="n"/>
      <c r="LD23" s="51" t="n"/>
      <c r="LE23" s="51" t="n"/>
      <c r="LF23" s="51" t="n"/>
      <c r="LG23" s="51" t="n"/>
      <c r="LH23" s="51" t="n"/>
      <c r="LI23" s="51" t="n"/>
      <c r="LJ23" s="51" t="n"/>
      <c r="LK23" s="51" t="n"/>
      <c r="LL23" s="51" t="n"/>
      <c r="LM23" s="51" t="n"/>
      <c r="LN23" s="51" t="n"/>
      <c r="LO23" s="51" t="n"/>
      <c r="LP23" s="51" t="n"/>
      <c r="LQ23" s="51" t="n"/>
      <c r="LR23" s="51" t="n"/>
      <c r="LS23" s="51" t="n"/>
      <c r="LT23" s="51" t="n"/>
      <c r="LU23" s="51" t="n"/>
      <c r="LV23" s="51" t="n"/>
      <c r="LW23" s="51" t="n"/>
      <c r="LX23" s="51" t="n"/>
      <c r="LY23" s="51" t="n"/>
      <c r="LZ23" s="51" t="n"/>
      <c r="MA23" s="51" t="n"/>
      <c r="MB23" s="51" t="n"/>
      <c r="MC23" s="51" t="n"/>
      <c r="MD23" s="51" t="n"/>
      <c r="ME23" s="51" t="n"/>
      <c r="MF23" s="51" t="n"/>
      <c r="MG23" s="51" t="n"/>
      <c r="MH23" s="51" t="n"/>
      <c r="MI23" s="51" t="n"/>
      <c r="MJ23" s="51" t="n"/>
      <c r="MK23" s="51" t="n"/>
      <c r="ML23" s="51" t="n"/>
      <c r="MM23" s="51" t="n"/>
      <c r="MN23" s="51" t="n"/>
      <c r="MO23" s="51" t="n"/>
      <c r="MP23" s="51" t="n"/>
      <c r="MQ23" s="51" t="n"/>
      <c r="MR23" s="51" t="n"/>
      <c r="MS23" s="51" t="n"/>
      <c r="MT23" s="51" t="n"/>
      <c r="MU23" s="51" t="n"/>
      <c r="MV23" s="51" t="n"/>
      <c r="MW23" s="51" t="n"/>
      <c r="MX23" s="51" t="n"/>
      <c r="MY23" s="51" t="n"/>
      <c r="MZ23" s="51" t="n"/>
      <c r="NA23" s="51" t="n"/>
      <c r="NB23" s="51" t="n"/>
      <c r="NC23" s="51" t="n"/>
      <c r="ND23" s="51" t="n"/>
      <c r="NE23" s="51" t="n"/>
      <c r="NF23" s="51" t="n"/>
      <c r="NG23" s="51" t="n"/>
      <c r="NH23" s="51" t="n"/>
      <c r="NI23" s="51" t="n"/>
      <c r="NJ23" s="51" t="n"/>
      <c r="NK23" s="51" t="n"/>
      <c r="NL23" s="51" t="n"/>
      <c r="NM23" s="51" t="n"/>
      <c r="NN23" s="51" t="n"/>
      <c r="NO23" s="51" t="n"/>
      <c r="NP23" s="51" t="n"/>
      <c r="NQ23" s="51" t="n"/>
      <c r="NR23" s="51" t="n"/>
      <c r="NS23" s="51" t="n"/>
      <c r="NT23" s="51" t="n"/>
      <c r="NU23" s="51" t="n"/>
      <c r="NV23" s="51" t="n"/>
      <c r="NW23" s="51" t="n"/>
      <c r="NX23" s="51" t="n"/>
      <c r="NY23" s="51" t="n"/>
      <c r="NZ23" s="51" t="n"/>
      <c r="OA23" s="51" t="n"/>
      <c r="OB23" s="51" t="n"/>
      <c r="OC23" s="51" t="n"/>
      <c r="OD23" s="51" t="n"/>
      <c r="OE23" s="51" t="n"/>
      <c r="OF23" s="51" t="n"/>
      <c r="OG23" s="51" t="n"/>
      <c r="OH23" s="51" t="n"/>
      <c r="OI23" s="51" t="n"/>
      <c r="OJ23" s="51" t="n"/>
      <c r="OK23" s="51" t="n"/>
      <c r="OL23" s="51" t="n"/>
      <c r="OM23" s="51" t="n"/>
      <c r="ON23" s="51" t="n"/>
      <c r="OO23" s="51" t="n"/>
      <c r="OP23" s="51" t="n"/>
      <c r="OQ23" s="51" t="n"/>
      <c r="OR23" s="51" t="n"/>
      <c r="OS23" s="51" t="n"/>
      <c r="OT23" s="51" t="n"/>
      <c r="OU23" s="51" t="n"/>
      <c r="OV23" s="51" t="n"/>
      <c r="OW23" s="51" t="n"/>
      <c r="OX23" s="51" t="n"/>
      <c r="OY23" s="51" t="n"/>
      <c r="OZ23" s="51" t="n"/>
      <c r="PA23" s="51" t="n"/>
      <c r="PB23" s="51" t="n"/>
      <c r="PC23" s="51" t="n"/>
      <c r="PD23" s="51" t="n"/>
      <c r="PE23" s="51" t="n"/>
      <c r="PF23" s="51" t="n"/>
      <c r="PG23" s="51" t="n"/>
      <c r="PH23" s="51" t="n"/>
      <c r="PI23" s="51" t="n"/>
      <c r="PJ23" s="51" t="n"/>
      <c r="PK23" s="51" t="n"/>
      <c r="PL23" s="51" t="n"/>
      <c r="PM23" s="51" t="n"/>
      <c r="PN23" s="51" t="n"/>
      <c r="PO23" s="51" t="n"/>
      <c r="PP23" s="51" t="n"/>
      <c r="PQ23" s="51" t="n"/>
      <c r="PR23" s="51" t="n"/>
      <c r="PS23" s="51" t="n"/>
      <c r="PT23" s="51" t="n"/>
      <c r="PU23" s="51" t="n"/>
      <c r="PV23" s="51" t="n"/>
      <c r="PW23" s="51" t="n"/>
      <c r="PX23" s="51" t="n"/>
      <c r="PY23" s="51" t="n"/>
      <c r="PZ23" s="51" t="n"/>
      <c r="QA23" s="51" t="n"/>
      <c r="QB23" s="51" t="n"/>
      <c r="QC23" s="51" t="n"/>
      <c r="QD23" s="51" t="n"/>
      <c r="QE23" s="51" t="n"/>
      <c r="QF23" s="51" t="n"/>
      <c r="QG23" s="51" t="n"/>
      <c r="QH23" s="51" t="n"/>
      <c r="QI23" s="51" t="n"/>
      <c r="QJ23" s="51" t="n"/>
      <c r="QK23" s="51" t="n"/>
      <c r="QL23" s="51" t="n"/>
      <c r="QM23" s="51" t="n"/>
      <c r="QN23" s="51" t="n"/>
      <c r="QO23" s="51" t="n"/>
      <c r="QP23" s="51" t="n"/>
      <c r="QQ23" s="51" t="n"/>
      <c r="QR23" s="51" t="n"/>
      <c r="QS23" s="51" t="n"/>
      <c r="QT23" s="51" t="n"/>
      <c r="QU23" s="51" t="n"/>
      <c r="QV23" s="51" t="n"/>
      <c r="QW23" s="51" t="n"/>
      <c r="QX23" s="51" t="n"/>
      <c r="QY23" s="51" t="n"/>
      <c r="QZ23" s="51" t="n"/>
      <c r="RA23" s="51" t="n"/>
      <c r="RB23" s="51" t="n"/>
      <c r="RC23" s="51" t="n"/>
      <c r="RD23" s="51" t="n"/>
      <c r="RE23" s="51" t="n"/>
      <c r="RF23" s="51" t="n"/>
      <c r="RG23" s="51" t="n"/>
      <c r="RH23" s="51" t="n"/>
      <c r="RI23" s="51" t="n"/>
      <c r="RJ23" s="51" t="n"/>
      <c r="RK23" s="51" t="n"/>
      <c r="RL23" s="51" t="n"/>
      <c r="RM23" s="51" t="n"/>
      <c r="RN23" s="51" t="n"/>
      <c r="RO23" s="51" t="n"/>
      <c r="RP23" s="51" t="n"/>
      <c r="RQ23" s="51" t="n"/>
      <c r="RR23" s="51" t="n"/>
      <c r="RS23" s="51" t="n"/>
      <c r="RT23" s="51" t="n"/>
      <c r="RU23" s="51" t="n"/>
      <c r="RV23" s="51" t="n"/>
      <c r="RW23" s="51" t="n"/>
      <c r="RX23" s="51" t="n"/>
      <c r="RY23" s="51" t="n"/>
      <c r="RZ23" s="51" t="n"/>
      <c r="SA23" s="51" t="n"/>
      <c r="SB23" s="51" t="n"/>
      <c r="SC23" s="51" t="n"/>
      <c r="SD23" s="51" t="n"/>
      <c r="SE23" s="51" t="n"/>
      <c r="SF23" s="51" t="n"/>
      <c r="SG23" s="51" t="n"/>
      <c r="SH23" s="51" t="n"/>
      <c r="SI23" s="51" t="n"/>
      <c r="SJ23" s="51" t="n"/>
      <c r="SK23" s="51" t="n"/>
      <c r="SL23" s="51" t="n"/>
      <c r="SM23" s="51" t="n"/>
      <c r="SN23" s="51" t="n"/>
      <c r="SO23" s="51" t="n"/>
      <c r="SP23" s="51" t="n"/>
      <c r="SQ23" s="51" t="n"/>
      <c r="SR23" s="51" t="n"/>
      <c r="SS23" s="51" t="n"/>
      <c r="ST23" s="51" t="n"/>
      <c r="SU23" s="51" t="n"/>
      <c r="SV23" s="51" t="n"/>
      <c r="SW23" s="51" t="n"/>
      <c r="SX23" s="51" t="n"/>
      <c r="SY23" s="51" t="n"/>
      <c r="SZ23" s="51" t="n"/>
      <c r="TA23" s="51" t="n"/>
      <c r="TB23" s="51" t="n"/>
      <c r="TC23" s="51" t="n"/>
      <c r="TD23" s="51" t="n"/>
      <c r="TE23" s="51" t="n"/>
      <c r="TF23" s="51" t="n"/>
      <c r="TG23" s="51" t="n"/>
      <c r="TH23" s="51" t="n"/>
      <c r="TI23" s="51" t="n"/>
      <c r="TJ23" s="51" t="n"/>
      <c r="TK23" s="51" t="n"/>
      <c r="TL23" s="51" t="n"/>
      <c r="TM23" s="51" t="n"/>
      <c r="TN23" s="51" t="n"/>
      <c r="TO23" s="51" t="n"/>
      <c r="TP23" s="51" t="n"/>
      <c r="TQ23" s="51" t="n"/>
      <c r="TR23" s="51" t="n"/>
      <c r="TS23" s="51" t="n"/>
      <c r="TT23" s="51" t="n"/>
      <c r="TU23" s="51" t="n"/>
      <c r="TV23" s="51" t="n"/>
      <c r="TW23" s="51" t="n"/>
      <c r="TX23" s="51" t="n"/>
      <c r="TY23" s="51" t="n"/>
      <c r="TZ23" s="51" t="n"/>
      <c r="UA23" s="51" t="n"/>
      <c r="UB23" s="51" t="n"/>
      <c r="UC23" s="51" t="n"/>
      <c r="UD23" s="51" t="n"/>
      <c r="UE23" s="51" t="n"/>
      <c r="UF23" s="51" t="n"/>
      <c r="UG23" s="51" t="n"/>
      <c r="UH23" s="51" t="n"/>
      <c r="UI23" s="51" t="n"/>
      <c r="UJ23" s="51" t="n"/>
      <c r="UK23" s="51" t="n"/>
      <c r="UL23" s="51" t="n"/>
      <c r="UM23" s="51" t="n"/>
      <c r="UN23" s="51" t="n"/>
      <c r="UO23" s="51" t="n"/>
      <c r="UP23" s="51" t="n"/>
      <c r="UQ23" s="51" t="n"/>
      <c r="UR23" s="51" t="n"/>
      <c r="US23" s="51" t="n"/>
      <c r="UT23" s="51" t="n"/>
      <c r="UU23" s="51" t="n"/>
      <c r="UV23" s="51" t="n"/>
      <c r="UW23" s="51" t="n"/>
      <c r="UX23" s="51" t="n"/>
      <c r="UY23" s="51" t="n"/>
      <c r="UZ23" s="51" t="n"/>
      <c r="VA23" s="51" t="n"/>
      <c r="VB23" s="51" t="n"/>
      <c r="VC23" s="51" t="n"/>
      <c r="VD23" s="51" t="n"/>
      <c r="VE23" s="51" t="n"/>
      <c r="VF23" s="51" t="n"/>
      <c r="VG23" s="51" t="n"/>
      <c r="VH23" s="51" t="n"/>
      <c r="VI23" s="51" t="n"/>
      <c r="VJ23" s="51" t="n"/>
      <c r="VK23" s="51" t="n"/>
      <c r="VL23" s="51" t="n"/>
      <c r="VM23" s="51" t="n"/>
      <c r="VN23" s="51" t="n"/>
      <c r="VO23" s="51" t="n"/>
      <c r="VP23" s="51" t="n"/>
      <c r="VQ23" s="51" t="n"/>
      <c r="VR23" s="51" t="n"/>
      <c r="VS23" s="51" t="n"/>
      <c r="VT23" s="51" t="n"/>
      <c r="VU23" s="51" t="n"/>
      <c r="VV23" s="51" t="n"/>
      <c r="VW23" s="51" t="n"/>
      <c r="VX23" s="51" t="n"/>
      <c r="VY23" s="51" t="n"/>
      <c r="VZ23" s="51" t="n"/>
      <c r="WA23" s="51" t="n"/>
      <c r="WB23" s="51" t="n"/>
      <c r="WC23" s="51" t="n"/>
      <c r="WD23" s="51" t="n"/>
      <c r="WE23" s="51" t="n"/>
      <c r="WF23" s="51" t="n"/>
      <c r="WG23" s="51" t="n"/>
      <c r="WH23" s="51" t="n"/>
      <c r="WI23" s="51" t="n"/>
      <c r="WJ23" s="51" t="n"/>
      <c r="WK23" s="51" t="n"/>
      <c r="WL23" s="51" t="n"/>
      <c r="WM23" s="51" t="n"/>
      <c r="WN23" s="51" t="n"/>
      <c r="WO23" s="51" t="n"/>
      <c r="WP23" s="51" t="n"/>
      <c r="WQ23" s="51" t="n"/>
      <c r="WR23" s="51" t="n"/>
      <c r="WS23" s="51" t="n"/>
      <c r="WT23" s="51" t="n"/>
      <c r="WU23" s="51" t="n"/>
      <c r="WV23" s="51" t="n"/>
      <c r="WW23" s="51" t="n"/>
      <c r="WX23" s="51" t="n"/>
      <c r="WY23" s="51" t="n"/>
      <c r="WZ23" s="51" t="n"/>
      <c r="XA23" s="51" t="n"/>
      <c r="XB23" s="51" t="n"/>
      <c r="XC23" s="51" t="n"/>
      <c r="XD23" s="51" t="n"/>
      <c r="XE23" s="51" t="n"/>
      <c r="XF23" s="51" t="n"/>
      <c r="XG23" s="51" t="n"/>
      <c r="XH23" s="51" t="n"/>
      <c r="XI23" s="51" t="n"/>
      <c r="XJ23" s="51" t="n"/>
      <c r="XK23" s="51" t="n"/>
      <c r="XL23" s="51" t="n"/>
      <c r="XM23" s="51" t="n"/>
      <c r="XN23" s="51" t="n"/>
      <c r="XO23" s="51" t="n"/>
      <c r="XP23" s="51" t="n"/>
      <c r="XQ23" s="51" t="n"/>
      <c r="XR23" s="51" t="n"/>
      <c r="XS23" s="51" t="n"/>
      <c r="XT23" s="51" t="n"/>
      <c r="XU23" s="51" t="n"/>
      <c r="XV23" s="51" t="n"/>
      <c r="XW23" s="51" t="n"/>
      <c r="XX23" s="51" t="n"/>
      <c r="XY23" s="51" t="n"/>
      <c r="XZ23" s="51" t="n"/>
      <c r="YA23" s="51" t="n"/>
      <c r="YB23" s="51" t="n"/>
      <c r="YC23" s="51" t="n"/>
      <c r="YD23" s="51" t="n"/>
      <c r="YE23" s="51" t="n"/>
      <c r="YF23" s="51" t="n"/>
      <c r="YG23" s="51" t="n"/>
      <c r="YH23" s="51" t="n"/>
      <c r="YI23" s="51" t="n"/>
      <c r="YJ23" s="51" t="n"/>
      <c r="YK23" s="51" t="n"/>
      <c r="YL23" s="51" t="n"/>
      <c r="YM23" s="51" t="n"/>
      <c r="YN23" s="51" t="n"/>
      <c r="YO23" s="51" t="n"/>
      <c r="YP23" s="51" t="n"/>
      <c r="YQ23" s="51" t="n"/>
      <c r="YR23" s="51" t="n"/>
      <c r="YS23" s="51" t="n"/>
      <c r="YT23" s="51" t="n"/>
      <c r="YU23" s="51" t="n"/>
      <c r="YV23" s="51" t="n"/>
      <c r="YW23" s="51" t="n"/>
      <c r="YX23" s="51" t="n"/>
      <c r="YY23" s="51" t="n"/>
      <c r="YZ23" s="51" t="n"/>
      <c r="ZA23" s="51" t="n"/>
      <c r="ZB23" s="51" t="n"/>
      <c r="ZC23" s="51" t="n"/>
      <c r="ZD23" s="51" t="n"/>
      <c r="ZE23" s="51" t="n"/>
      <c r="ZF23" s="51" t="n"/>
      <c r="ZG23" s="51" t="n"/>
      <c r="ZH23" s="51" t="n"/>
      <c r="ZI23" s="51" t="n"/>
      <c r="ZJ23" s="51" t="n"/>
      <c r="ZK23" s="51" t="n"/>
      <c r="ZL23" s="51" t="n"/>
      <c r="ZM23" s="51" t="n"/>
      <c r="ZN23" s="51" t="n"/>
      <c r="ZO23" s="51" t="n"/>
      <c r="ZP23" s="51" t="n"/>
      <c r="ZQ23" s="51" t="n"/>
      <c r="ZR23" s="51" t="n"/>
      <c r="ZS23" s="51" t="n"/>
      <c r="ZT23" s="51" t="n"/>
      <c r="ZU23" s="51" t="n"/>
      <c r="ZV23" s="51" t="n"/>
      <c r="ZW23" s="51" t="n"/>
      <c r="ZX23" s="51" t="n"/>
      <c r="ZY23" s="51" t="n"/>
      <c r="ZZ23" s="51" t="n"/>
      <c r="AAA23" s="51" t="n"/>
      <c r="AAB23" s="51" t="n"/>
      <c r="AAC23" s="51" t="n"/>
      <c r="AAD23" s="51" t="n"/>
      <c r="AAE23" s="51" t="n"/>
      <c r="AAF23" s="51" t="n"/>
      <c r="AAG23" s="51" t="n"/>
      <c r="AAH23" s="51" t="n"/>
      <c r="AAI23" s="51" t="n"/>
      <c r="AAJ23" s="51" t="n"/>
      <c r="AAK23" s="51" t="n"/>
      <c r="AAL23" s="51" t="n"/>
      <c r="AAM23" s="51" t="n"/>
      <c r="AAN23" s="51" t="n"/>
      <c r="AAO23" s="51" t="n"/>
      <c r="AAP23" s="51" t="n"/>
      <c r="AAQ23" s="51" t="n"/>
      <c r="AAR23" s="51" t="n"/>
      <c r="AAS23" s="51" t="n"/>
      <c r="AAT23" s="51" t="n"/>
      <c r="AAU23" s="51" t="n"/>
      <c r="AAV23" s="51" t="n"/>
      <c r="AAW23" s="51" t="n"/>
      <c r="AAX23" s="51" t="n"/>
      <c r="AAY23" s="51" t="n"/>
      <c r="AAZ23" s="51" t="n"/>
      <c r="ABA23" s="51" t="n"/>
      <c r="ABB23" s="51" t="n"/>
      <c r="ABC23" s="51" t="n"/>
      <c r="ABD23" s="51" t="n"/>
      <c r="ABE23" s="51" t="n"/>
      <c r="ABF23" s="51" t="n"/>
      <c r="ABG23" s="51" t="n"/>
      <c r="ABH23" s="51" t="n"/>
      <c r="ABI23" s="51" t="n"/>
      <c r="ABJ23" s="51" t="n"/>
      <c r="ABK23" s="51" t="n"/>
      <c r="ABL23" s="51" t="n"/>
      <c r="ABM23" s="51" t="n"/>
      <c r="ABN23" s="51" t="n"/>
      <c r="ABO23" s="51" t="n"/>
      <c r="ABP23" s="51" t="n"/>
      <c r="ABQ23" s="51" t="n"/>
      <c r="ABR23" s="51" t="n"/>
      <c r="ABS23" s="51" t="n"/>
      <c r="ABT23" s="51" t="n"/>
      <c r="ABU23" s="51" t="n"/>
      <c r="ABV23" s="51" t="n"/>
      <c r="ABW23" s="51" t="n"/>
      <c r="ABX23" s="51" t="n"/>
      <c r="ABY23" s="51" t="n"/>
      <c r="ABZ23" s="51" t="n"/>
      <c r="ACA23" s="51" t="n"/>
      <c r="ACB23" s="51" t="n"/>
      <c r="ACC23" s="51" t="n"/>
      <c r="ACD23" s="51" t="n"/>
      <c r="ACE23" s="51" t="n"/>
      <c r="ACF23" s="51" t="n"/>
      <c r="ACG23" s="51" t="n"/>
      <c r="ACH23" s="51" t="n"/>
      <c r="ACI23" s="51" t="n"/>
      <c r="ACJ23" s="51" t="n"/>
      <c r="ACK23" s="51" t="n"/>
      <c r="ACL23" s="51" t="n"/>
      <c r="ACM23" s="51" t="n"/>
      <c r="ACN23" s="51" t="n"/>
      <c r="ACO23" s="51" t="n"/>
      <c r="ACP23" s="51" t="n"/>
      <c r="ACQ23" s="51" t="n"/>
      <c r="ACR23" s="51" t="n"/>
      <c r="ACS23" s="51" t="n"/>
      <c r="ACT23" s="51" t="n"/>
      <c r="ACU23" s="51" t="n"/>
      <c r="ACV23" s="51" t="n"/>
      <c r="ACW23" s="51" t="n"/>
      <c r="ACX23" s="51" t="n"/>
      <c r="ACY23" s="51" t="n"/>
      <c r="ACZ23" s="51" t="n"/>
      <c r="ADA23" s="51" t="n"/>
      <c r="ADB23" s="51" t="n"/>
      <c r="ADC23" s="51" t="n"/>
      <c r="ADD23" s="51" t="n"/>
      <c r="ADE23" s="51" t="n"/>
      <c r="ADF23" s="51" t="n"/>
      <c r="ADG23" s="51" t="n"/>
      <c r="ADH23" s="51" t="n"/>
      <c r="ADI23" s="51" t="n"/>
      <c r="ADJ23" s="51" t="n"/>
      <c r="ADK23" s="51" t="n"/>
      <c r="ADL23" s="51" t="n"/>
      <c r="ADM23" s="51" t="n"/>
      <c r="ADN23" s="51" t="n"/>
      <c r="ADO23" s="51" t="n"/>
      <c r="ADP23" s="51" t="n"/>
      <c r="ADQ23" s="51" t="n"/>
      <c r="ADR23" s="51" t="n"/>
      <c r="ADS23" s="51" t="n"/>
      <c r="ADT23" s="51" t="n"/>
      <c r="ADU23" s="51" t="n"/>
      <c r="ADV23" s="51" t="n"/>
      <c r="ADW23" s="51" t="n"/>
      <c r="ADX23" s="51" t="n"/>
      <c r="ADY23" s="51" t="n"/>
      <c r="ADZ23" s="51" t="n"/>
      <c r="AEA23" s="51" t="n"/>
      <c r="AEB23" s="51" t="n"/>
      <c r="AEC23" s="51" t="n"/>
      <c r="AED23" s="51" t="n"/>
      <c r="AEE23" s="51" t="n"/>
      <c r="AEF23" s="51" t="n"/>
      <c r="AEG23" s="51" t="n"/>
      <c r="AEH23" s="51" t="n"/>
      <c r="AEI23" s="51" t="n"/>
      <c r="AEJ23" s="51" t="n"/>
      <c r="AEK23" s="51" t="n"/>
      <c r="AEL23" s="51" t="n"/>
      <c r="AEM23" s="51" t="n"/>
      <c r="AEN23" s="51" t="n"/>
      <c r="AEO23" s="51" t="n"/>
      <c r="AEP23" s="51" t="n"/>
      <c r="AEQ23" s="51" t="n"/>
      <c r="AER23" s="51" t="n"/>
      <c r="AES23" s="51" t="n"/>
      <c r="AET23" s="51" t="n"/>
      <c r="AEU23" s="51" t="n"/>
      <c r="AEV23" s="51" t="n"/>
      <c r="AEW23" s="51" t="n"/>
      <c r="AEX23" s="51" t="n"/>
      <c r="AEY23" s="51" t="n"/>
      <c r="AEZ23" s="51" t="n"/>
      <c r="AFA23" s="51" t="n"/>
      <c r="AFB23" s="51" t="n"/>
      <c r="AFC23" s="51" t="n"/>
      <c r="AFD23" s="51" t="n"/>
      <c r="AFE23" s="51" t="n"/>
      <c r="AFF23" s="51" t="n"/>
      <c r="AFG23" s="51" t="n"/>
      <c r="AFH23" s="51" t="n"/>
      <c r="AFI23" s="51" t="n"/>
      <c r="AFJ23" s="51" t="n"/>
      <c r="AFK23" s="51" t="n"/>
      <c r="AFL23" s="51" t="n"/>
      <c r="AFM23" s="51" t="n"/>
      <c r="AFN23" s="51" t="n"/>
      <c r="AFO23" s="51" t="n"/>
      <c r="AFP23" s="51" t="n"/>
      <c r="AFQ23" s="51" t="n"/>
      <c r="AFR23" s="51" t="n"/>
      <c r="AFS23" s="51" t="n"/>
      <c r="AFT23" s="51" t="n"/>
      <c r="AFU23" s="51" t="n"/>
      <c r="AFV23" s="51" t="n"/>
      <c r="AFW23" s="51" t="n"/>
      <c r="AFX23" s="51" t="n"/>
      <c r="AFY23" s="51" t="n"/>
      <c r="AFZ23" s="51" t="n"/>
      <c r="AGA23" s="51" t="n"/>
      <c r="AGB23" s="51" t="n"/>
      <c r="AGC23" s="51" t="n"/>
      <c r="AGD23" s="51" t="n"/>
      <c r="AGE23" s="51" t="n"/>
      <c r="AGF23" s="51" t="n"/>
      <c r="AGG23" s="51" t="n"/>
      <c r="AGH23" s="51" t="n"/>
      <c r="AGI23" s="51" t="n"/>
      <c r="AGJ23" s="51" t="n"/>
      <c r="AGK23" s="51" t="n"/>
      <c r="AGL23" s="51" t="n"/>
      <c r="AGM23" s="51" t="n"/>
      <c r="AGN23" s="51" t="n"/>
      <c r="AGO23" s="51" t="n"/>
      <c r="AGP23" s="51" t="n"/>
      <c r="AGQ23" s="51" t="n"/>
      <c r="AGR23" s="51" t="n"/>
      <c r="AGS23" s="51" t="n"/>
      <c r="AGT23" s="51" t="n"/>
      <c r="AGU23" s="51" t="n"/>
      <c r="AGV23" s="51" t="n"/>
      <c r="AGW23" s="51" t="n"/>
      <c r="AGX23" s="51" t="n"/>
      <c r="AGY23" s="51" t="n"/>
      <c r="AGZ23" s="51" t="n"/>
      <c r="AHA23" s="51" t="n"/>
      <c r="AHB23" s="51" t="n"/>
      <c r="AHC23" s="51" t="n"/>
      <c r="AHD23" s="51" t="n"/>
      <c r="AHE23" s="51" t="n"/>
      <c r="AHF23" s="51" t="n"/>
      <c r="AHG23" s="51" t="n"/>
      <c r="AHH23" s="51" t="n"/>
      <c r="AHI23" s="51" t="n"/>
      <c r="AHJ23" s="51" t="n"/>
      <c r="AHK23" s="51" t="n"/>
      <c r="AHL23" s="51" t="n"/>
      <c r="AHM23" s="51" t="n"/>
      <c r="AHN23" s="51" t="n"/>
      <c r="AHO23" s="51" t="n"/>
      <c r="AHP23" s="51" t="n"/>
      <c r="AHQ23" s="51" t="n"/>
      <c r="AHR23" s="51" t="n"/>
      <c r="AHS23" s="51" t="n"/>
      <c r="AHT23" s="51" t="n"/>
      <c r="AHU23" s="51" t="n"/>
      <c r="AHV23" s="51" t="n"/>
      <c r="AHW23" s="51" t="n"/>
      <c r="AHX23" s="51" t="n"/>
      <c r="AHY23" s="51" t="n"/>
      <c r="AHZ23" s="51" t="n"/>
      <c r="AIA23" s="51" t="n"/>
      <c r="AIB23" s="51" t="n"/>
      <c r="AIC23" s="51" t="n"/>
      <c r="AID23" s="51" t="n"/>
      <c r="AIE23" s="51" t="n"/>
      <c r="AIF23" s="51" t="n"/>
      <c r="AIG23" s="51" t="n"/>
      <c r="AIH23" s="51" t="n"/>
      <c r="AII23" s="51" t="n"/>
      <c r="AIJ23" s="51" t="n"/>
      <c r="AIK23" s="51" t="n"/>
      <c r="AIL23" s="51" t="n"/>
      <c r="AIM23" s="51" t="n"/>
      <c r="AIN23" s="51" t="n"/>
      <c r="AIO23" s="51" t="n"/>
      <c r="AIP23" s="51" t="n"/>
      <c r="AIQ23" s="51" t="n"/>
      <c r="AIR23" s="51" t="n"/>
      <c r="AIS23" s="51" t="n"/>
      <c r="AIT23" s="51" t="n"/>
      <c r="AIU23" s="51" t="n"/>
      <c r="AIV23" s="51" t="n"/>
      <c r="AIW23" s="51" t="n"/>
      <c r="AIX23" s="51" t="n"/>
      <c r="AIY23" s="51" t="n"/>
      <c r="AIZ23" s="51" t="n"/>
      <c r="AJA23" s="51" t="n"/>
      <c r="AJB23" s="51" t="n"/>
      <c r="AJC23" s="51" t="n"/>
      <c r="AJD23" s="51" t="n"/>
      <c r="AJE23" s="51" t="n"/>
      <c r="AJF23" s="51" t="n"/>
      <c r="AJG23" s="51" t="n"/>
      <c r="AJH23" s="51" t="n"/>
      <c r="AJI23" s="51" t="n"/>
      <c r="AJJ23" s="51" t="n"/>
      <c r="AJK23" s="51" t="n"/>
      <c r="AJL23" s="51" t="n"/>
      <c r="AJM23" s="51" t="n"/>
      <c r="AJN23" s="51" t="n"/>
      <c r="AJO23" s="51" t="n"/>
      <c r="AJP23" s="51" t="n"/>
      <c r="AJQ23" s="51" t="n"/>
      <c r="AJR23" s="51" t="n"/>
      <c r="AJS23" s="51" t="n"/>
      <c r="AJT23" s="51" t="n"/>
      <c r="AJU23" s="51" t="n"/>
      <c r="AJV23" s="51" t="n"/>
      <c r="AJW23" s="51" t="n"/>
      <c r="AJX23" s="51" t="n"/>
      <c r="AJY23" s="51" t="n"/>
      <c r="AJZ23" s="51" t="n"/>
      <c r="AKA23" s="51" t="n"/>
      <c r="AKB23" s="51" t="n"/>
      <c r="AKC23" s="51" t="n"/>
      <c r="AKD23" s="51" t="n"/>
      <c r="AKE23" s="51" t="n"/>
      <c r="AKF23" s="51" t="n"/>
      <c r="AKG23" s="51" t="n"/>
      <c r="AKH23" s="51" t="n"/>
      <c r="AKI23" s="51" t="n"/>
      <c r="AKJ23" s="51" t="n"/>
      <c r="AKK23" s="51" t="n"/>
      <c r="AKL23" s="51" t="n"/>
      <c r="AKM23" s="51" t="n"/>
      <c r="AKN23" s="51" t="n"/>
      <c r="AKO23" s="51" t="n"/>
      <c r="AKP23" s="51" t="n"/>
      <c r="AKQ23" s="51" t="n"/>
      <c r="AKR23" s="51" t="n"/>
      <c r="AKS23" s="51" t="n"/>
      <c r="AKT23" s="51" t="n"/>
      <c r="AKU23" s="51" t="n"/>
      <c r="AKV23" s="51" t="n"/>
      <c r="AKW23" s="51" t="n"/>
      <c r="AKX23" s="51" t="n"/>
      <c r="AKY23" s="51" t="n"/>
      <c r="AKZ23" s="51" t="n"/>
      <c r="ALA23" s="51" t="n"/>
      <c r="ALB23" s="51" t="n"/>
      <c r="ALC23" s="51" t="n"/>
      <c r="ALD23" s="51" t="n"/>
      <c r="ALE23" s="51" t="n"/>
      <c r="ALF23" s="51" t="n"/>
      <c r="ALG23" s="51" t="n"/>
      <c r="ALH23" s="51" t="n"/>
      <c r="ALI23" s="51" t="n"/>
      <c r="ALJ23" s="51" t="n"/>
      <c r="ALK23" s="51" t="n"/>
      <c r="ALL23" s="51" t="n"/>
      <c r="ALM23" s="51" t="n"/>
      <c r="ALN23" s="51" t="n"/>
      <c r="ALO23" s="51" t="n"/>
      <c r="ALP23" s="51" t="n"/>
      <c r="ALQ23" s="51" t="n"/>
      <c r="ALR23" s="51" t="n"/>
      <c r="ALS23" s="51" t="n"/>
      <c r="ALT23" s="51" t="n"/>
      <c r="ALU23" s="51" t="n"/>
      <c r="ALV23" s="51" t="n"/>
      <c r="ALW23" s="51" t="n"/>
      <c r="ALX23" s="51" t="n"/>
      <c r="ALY23" s="51" t="n"/>
      <c r="ALZ23" s="51" t="n"/>
      <c r="AMA23" s="51" t="n"/>
      <c r="AMB23" s="51" t="n"/>
      <c r="AMC23" s="51" t="n"/>
      <c r="AMD23" s="51" t="n"/>
      <c r="AME23" s="51" t="n"/>
      <c r="AMF23" s="51" t="n"/>
      <c r="AMG23" s="51" t="n"/>
      <c r="AMH23" s="51" t="n"/>
      <c r="AMI23" s="51" t="n"/>
      <c r="AMJ23" s="51" t="n"/>
      <c r="AMK23" s="51" t="n"/>
      <c r="AML23" s="51" t="n"/>
      <c r="AMM23" s="51" t="n"/>
      <c r="AMN23" s="51" t="n"/>
      <c r="AMO23" s="51" t="n"/>
      <c r="AMP23" s="51" t="n"/>
      <c r="AMQ23" s="51" t="n"/>
      <c r="AMR23" s="51" t="n"/>
      <c r="AMS23" s="51" t="n"/>
      <c r="AMT23" s="51" t="n"/>
      <c r="AMU23" s="51" t="n"/>
      <c r="AMV23" s="51" t="n"/>
      <c r="AMW23" s="51" t="n"/>
      <c r="AMX23" s="51" t="n"/>
      <c r="AMY23" s="51" t="n"/>
      <c r="AMZ23" s="51" t="n"/>
      <c r="ANA23" s="51" t="n"/>
      <c r="ANB23" s="51" t="n"/>
      <c r="ANC23" s="51" t="n"/>
      <c r="AND23" s="51" t="n"/>
      <c r="ANE23" s="51" t="n"/>
      <c r="ANF23" s="51" t="n"/>
      <c r="ANG23" s="51" t="n"/>
      <c r="ANH23" s="51" t="n"/>
      <c r="ANI23" s="51" t="n"/>
      <c r="ANJ23" s="51" t="n"/>
      <c r="ANK23" s="51" t="n"/>
      <c r="ANL23" s="51" t="n"/>
      <c r="ANM23" s="51" t="n"/>
      <c r="ANN23" s="51" t="n"/>
      <c r="ANO23" s="51" t="n"/>
      <c r="ANP23" s="51" t="n"/>
      <c r="ANQ23" s="51" t="n"/>
      <c r="ANR23" s="51" t="n"/>
      <c r="ANS23" s="51" t="n"/>
      <c r="ANT23" s="51" t="n"/>
      <c r="ANU23" s="51" t="n"/>
      <c r="ANV23" s="51" t="n"/>
      <c r="ANW23" s="51" t="n"/>
      <c r="ANX23" s="51" t="n"/>
      <c r="ANY23" s="51" t="n"/>
      <c r="ANZ23" s="51" t="n"/>
      <c r="AOA23" s="51" t="n"/>
      <c r="AOB23" s="51" t="n"/>
      <c r="AOC23" s="51" t="n"/>
      <c r="AOD23" s="51" t="n"/>
      <c r="AOE23" s="51" t="n"/>
      <c r="AOF23" s="51" t="n"/>
      <c r="AOG23" s="51" t="n"/>
      <c r="AOH23" s="51" t="n"/>
      <c r="AOI23" s="51" t="n"/>
      <c r="AOJ23" s="51" t="n"/>
      <c r="AOK23" s="51" t="n"/>
      <c r="AOL23" s="51" t="n"/>
      <c r="AOM23" s="51" t="n"/>
      <c r="AON23" s="51" t="n"/>
      <c r="AOO23" s="51" t="n"/>
      <c r="AOP23" s="51" t="n"/>
      <c r="AOQ23" s="51" t="n"/>
      <c r="AOR23" s="51" t="n"/>
      <c r="AOS23" s="51" t="n"/>
      <c r="AOT23" s="51" t="n"/>
      <c r="AOU23" s="51" t="n"/>
      <c r="AOV23" s="51" t="n"/>
      <c r="AOW23" s="51" t="n"/>
      <c r="AOX23" s="51" t="n"/>
      <c r="AOY23" s="51" t="n"/>
      <c r="AOZ23" s="51" t="n"/>
      <c r="APA23" s="51" t="n"/>
      <c r="APB23" s="51" t="n"/>
      <c r="APC23" s="51" t="n"/>
      <c r="APD23" s="51" t="n"/>
      <c r="APE23" s="51" t="n"/>
      <c r="APF23" s="51" t="n"/>
      <c r="APG23" s="51" t="n"/>
      <c r="APH23" s="51" t="n"/>
      <c r="API23" s="51" t="n"/>
      <c r="APJ23" s="51" t="n"/>
      <c r="APK23" s="51" t="n"/>
      <c r="APL23" s="51" t="n"/>
      <c r="APM23" s="51" t="n"/>
      <c r="APN23" s="51" t="n"/>
      <c r="APO23" s="51" t="n"/>
      <c r="APP23" s="51" t="n"/>
      <c r="APQ23" s="51" t="n"/>
      <c r="APR23" s="51" t="n"/>
      <c r="APS23" s="51" t="n"/>
      <c r="APT23" s="51" t="n"/>
      <c r="APU23" s="51" t="n"/>
      <c r="APV23" s="51" t="n"/>
      <c r="APW23" s="51" t="n"/>
      <c r="APX23" s="51" t="n"/>
      <c r="APY23" s="51" t="n"/>
      <c r="APZ23" s="51" t="n"/>
      <c r="AQA23" s="51" t="n"/>
      <c r="AQB23" s="51" t="n"/>
      <c r="AQC23" s="51" t="n"/>
      <c r="AQD23" s="51" t="n"/>
      <c r="AQE23" s="51" t="n"/>
      <c r="AQF23" s="51" t="n"/>
      <c r="AQG23" s="51" t="n"/>
      <c r="AQH23" s="51" t="n"/>
      <c r="AQI23" s="51" t="n"/>
      <c r="AQJ23" s="51" t="n"/>
      <c r="AQK23" s="51" t="n"/>
      <c r="AQL23" s="51" t="n"/>
      <c r="AQM23" s="51" t="n"/>
      <c r="AQN23" s="51" t="n"/>
      <c r="AQO23" s="51" t="n"/>
      <c r="AQP23" s="51" t="n"/>
      <c r="AQQ23" s="51" t="n"/>
      <c r="AQR23" s="51" t="n"/>
      <c r="AQS23" s="51" t="n"/>
      <c r="AQT23" s="51" t="n"/>
      <c r="AQU23" s="51" t="n"/>
      <c r="AQV23" s="51" t="n"/>
      <c r="AQW23" s="51" t="n"/>
      <c r="AQX23" s="51" t="n"/>
      <c r="AQY23" s="51" t="n"/>
      <c r="AQZ23" s="51" t="n"/>
      <c r="ARA23" s="51" t="n"/>
      <c r="ARB23" s="51" t="n"/>
      <c r="ARC23" s="51" t="n"/>
      <c r="ARD23" s="51" t="n"/>
      <c r="ARE23" s="51" t="n"/>
      <c r="ARF23" s="51" t="n"/>
      <c r="ARG23" s="51" t="n"/>
      <c r="ARH23" s="51" t="n"/>
      <c r="ARI23" s="51" t="n"/>
      <c r="ARJ23" s="51" t="n"/>
      <c r="ARK23" s="51" t="n"/>
      <c r="ARL23" s="51" t="n"/>
      <c r="ARM23" s="51" t="n"/>
      <c r="ARN23" s="51" t="n"/>
      <c r="ARO23" s="51" t="n"/>
      <c r="ARP23" s="51" t="n"/>
      <c r="ARQ23" s="51" t="n"/>
      <c r="ARR23" s="51" t="n"/>
      <c r="ARS23" s="51" t="n"/>
      <c r="ART23" s="51" t="n"/>
      <c r="ARU23" s="51" t="n"/>
      <c r="ARV23" s="51" t="n"/>
      <c r="ARW23" s="51" t="n"/>
      <c r="ARX23" s="51" t="n"/>
      <c r="ARY23" s="51" t="n"/>
      <c r="ARZ23" s="51" t="n"/>
      <c r="ASA23" s="51" t="n"/>
      <c r="ASB23" s="51" t="n"/>
      <c r="ASC23" s="51" t="n"/>
      <c r="ASD23" s="51" t="n"/>
      <c r="ASE23" s="51" t="n"/>
      <c r="ASF23" s="51" t="n"/>
      <c r="ASG23" s="51" t="n"/>
      <c r="ASH23" s="51" t="n"/>
      <c r="ASI23" s="51" t="n"/>
      <c r="ASJ23" s="51" t="n"/>
      <c r="ASK23" s="51" t="n"/>
      <c r="ASL23" s="51" t="n"/>
      <c r="ASM23" s="51" t="n"/>
      <c r="ASN23" s="51" t="n"/>
      <c r="ASO23" s="51" t="n"/>
      <c r="ASP23" s="51" t="n"/>
      <c r="ASQ23" s="51" t="n"/>
      <c r="ASR23" s="51" t="n"/>
      <c r="ASS23" s="51" t="n"/>
      <c r="AST23" s="51" t="n"/>
      <c r="ASU23" s="51" t="n"/>
      <c r="ASV23" s="51" t="n"/>
      <c r="ASW23" s="51" t="n"/>
      <c r="ASX23" s="51" t="n"/>
      <c r="ASY23" s="51" t="n"/>
      <c r="ASZ23" s="51" t="n"/>
      <c r="ATA23" s="51" t="n"/>
      <c r="ATB23" s="51" t="n"/>
      <c r="ATC23" s="51" t="n"/>
      <c r="ATD23" s="51" t="n"/>
      <c r="ATE23" s="51" t="n"/>
      <c r="ATF23" s="51" t="n"/>
      <c r="ATG23" s="51" t="n"/>
      <c r="ATH23" s="51" t="n"/>
      <c r="ATI23" s="51" t="n"/>
      <c r="ATJ23" s="51" t="n"/>
      <c r="ATK23" s="51" t="n"/>
      <c r="ATL23" s="51" t="n"/>
      <c r="ATM23" s="51" t="n"/>
      <c r="ATN23" s="51" t="n"/>
      <c r="ATO23" s="51" t="n"/>
      <c r="ATP23" s="51" t="n"/>
      <c r="ATQ23" s="51" t="n"/>
      <c r="ATR23" s="51" t="n"/>
      <c r="ATS23" s="51" t="n"/>
      <c r="ATT23" s="51" t="n"/>
      <c r="ATU23" s="51" t="n"/>
      <c r="ATV23" s="51" t="n"/>
      <c r="ATW23" s="51" t="n"/>
      <c r="ATX23" s="51" t="n"/>
      <c r="ATY23" s="51" t="n"/>
      <c r="ATZ23" s="51" t="n"/>
      <c r="AUA23" s="51" t="n"/>
      <c r="AUB23" s="51" t="n"/>
      <c r="AUC23" s="51" t="n"/>
      <c r="AUD23" s="51" t="n"/>
      <c r="AUE23" s="51" t="n"/>
      <c r="AUF23" s="51" t="n"/>
      <c r="AUG23" s="51" t="n"/>
      <c r="AUH23" s="51" t="n"/>
      <c r="AUI23" s="51" t="n"/>
      <c r="AUJ23" s="51" t="n"/>
      <c r="AUK23" s="51" t="n"/>
      <c r="AUL23" s="51" t="n"/>
      <c r="AUM23" s="51" t="n"/>
      <c r="AUN23" s="51" t="n"/>
      <c r="AUO23" s="51" t="n"/>
      <c r="AUP23" s="51" t="n"/>
      <c r="AUQ23" s="51" t="n"/>
      <c r="AUR23" s="51" t="n"/>
      <c r="AUS23" s="51" t="n"/>
      <c r="AUT23" s="51" t="n"/>
      <c r="AUU23" s="51" t="n"/>
      <c r="AUV23" s="51" t="n"/>
      <c r="AUW23" s="51" t="n"/>
      <c r="AUX23" s="51" t="n"/>
      <c r="AUY23" s="51" t="n"/>
      <c r="AUZ23" s="51" t="n"/>
      <c r="AVA23" s="51" t="n"/>
      <c r="AVB23" s="51" t="n"/>
      <c r="AVC23" s="51" t="n"/>
      <c r="AVD23" s="51" t="n"/>
      <c r="AVE23" s="51" t="n"/>
      <c r="AVF23" s="51" t="n"/>
      <c r="AVG23" s="51" t="n"/>
      <c r="AVH23" s="51" t="n"/>
      <c r="AVI23" s="51" t="n"/>
      <c r="AVJ23" s="51" t="n"/>
      <c r="AVK23" s="51" t="n"/>
      <c r="AVL23" s="51" t="n"/>
      <c r="AVM23" s="51" t="n"/>
      <c r="AVN23" s="51" t="n"/>
      <c r="AVO23" s="51" t="n"/>
      <c r="AVP23" s="51" t="n"/>
      <c r="AVQ23" s="51" t="n"/>
      <c r="AVR23" s="51" t="n"/>
      <c r="AVS23" s="51" t="n"/>
      <c r="AVT23" s="51" t="n"/>
      <c r="AVU23" s="51" t="n"/>
      <c r="AVV23" s="51" t="n"/>
      <c r="AVW23" s="51" t="n"/>
      <c r="AVX23" s="51" t="n"/>
      <c r="AVY23" s="51" t="n"/>
      <c r="AVZ23" s="51" t="n"/>
      <c r="AWA23" s="51" t="n"/>
      <c r="AWB23" s="51" t="n"/>
      <c r="AWC23" s="51" t="n"/>
      <c r="AWD23" s="51" t="n"/>
      <c r="AWE23" s="51" t="n"/>
      <c r="AWF23" s="51" t="n"/>
      <c r="AWG23" s="51" t="n"/>
      <c r="AWH23" s="51" t="n"/>
      <c r="AWI23" s="51" t="n"/>
      <c r="AWJ23" s="51" t="n"/>
      <c r="AWK23" s="51" t="n"/>
      <c r="AWL23" s="51" t="n"/>
      <c r="AWM23" s="51" t="n"/>
      <c r="AWN23" s="51" t="n"/>
      <c r="AWO23" s="51" t="n"/>
      <c r="AWP23" s="51" t="n"/>
      <c r="AWQ23" s="51" t="n"/>
      <c r="AWR23" s="51" t="n"/>
      <c r="AWS23" s="51" t="n"/>
      <c r="AWT23" s="51" t="n"/>
      <c r="AWU23" s="51" t="n"/>
      <c r="AWV23" s="51" t="n"/>
      <c r="AWW23" s="51" t="n"/>
      <c r="AWX23" s="51" t="n"/>
      <c r="AWY23" s="51" t="n"/>
      <c r="AWZ23" s="51" t="n"/>
      <c r="AXA23" s="51" t="n"/>
      <c r="AXB23" s="51" t="n"/>
      <c r="AXC23" s="51" t="n"/>
      <c r="AXD23" s="51" t="n"/>
      <c r="AXE23" s="51" t="n"/>
      <c r="AXF23" s="51" t="n"/>
      <c r="AXG23" s="51" t="n"/>
      <c r="AXH23" s="51" t="n"/>
      <c r="AXI23" s="51" t="n"/>
      <c r="AXJ23" s="51" t="n"/>
      <c r="AXK23" s="51" t="n"/>
      <c r="AXL23" s="51" t="n"/>
      <c r="AXM23" s="51" t="n"/>
      <c r="AXN23" s="51" t="n"/>
      <c r="AXO23" s="51" t="n"/>
      <c r="AXP23" s="51" t="n"/>
      <c r="AXQ23" s="51" t="n"/>
      <c r="AXR23" s="51" t="n"/>
      <c r="AXS23" s="51" t="n"/>
      <c r="AXT23" s="51" t="n"/>
      <c r="AXU23" s="51" t="n"/>
      <c r="AXV23" s="51" t="n"/>
      <c r="AXW23" s="51" t="n"/>
      <c r="AXX23" s="51" t="n"/>
      <c r="AXY23" s="51" t="n"/>
      <c r="AXZ23" s="51" t="n"/>
      <c r="AYA23" s="51" t="n"/>
      <c r="AYB23" s="51" t="n"/>
      <c r="AYC23" s="51" t="n"/>
      <c r="AYD23" s="51" t="n"/>
      <c r="AYE23" s="51" t="n"/>
      <c r="AYF23" s="51" t="n"/>
      <c r="AYG23" s="51" t="n"/>
      <c r="AYH23" s="51" t="n"/>
      <c r="AYI23" s="51" t="n"/>
      <c r="AYJ23" s="51" t="n"/>
      <c r="AYK23" s="51" t="n"/>
      <c r="AYL23" s="51" t="n"/>
      <c r="AYM23" s="51" t="n"/>
      <c r="AYN23" s="51" t="n"/>
      <c r="AYO23" s="51" t="n"/>
      <c r="AYP23" s="51" t="n"/>
      <c r="AYQ23" s="51" t="n"/>
      <c r="AYR23" s="51" t="n"/>
      <c r="AYS23" s="51" t="n"/>
      <c r="AYT23" s="51" t="n"/>
      <c r="AYU23" s="51" t="n"/>
      <c r="AYV23" s="51" t="n"/>
      <c r="AYW23" s="51" t="n"/>
      <c r="AYX23" s="51" t="n"/>
      <c r="AYY23" s="51" t="n"/>
      <c r="AYZ23" s="51" t="n"/>
      <c r="AZA23" s="51" t="n"/>
      <c r="AZB23" s="51" t="n"/>
      <c r="AZC23" s="51" t="n"/>
      <c r="AZD23" s="51" t="n"/>
      <c r="AZE23" s="51" t="n"/>
      <c r="AZF23" s="51" t="n"/>
      <c r="AZG23" s="51" t="n"/>
      <c r="AZH23" s="51" t="n"/>
      <c r="AZI23" s="51" t="n"/>
      <c r="AZJ23" s="51" t="n"/>
      <c r="AZK23" s="51" t="n"/>
      <c r="AZL23" s="51" t="n"/>
      <c r="AZM23" s="51" t="n"/>
      <c r="AZN23" s="51" t="n"/>
      <c r="AZO23" s="51" t="n"/>
      <c r="AZP23" s="51" t="n"/>
      <c r="AZQ23" s="51" t="n"/>
      <c r="AZR23" s="51" t="n"/>
      <c r="AZS23" s="51" t="n"/>
      <c r="AZT23" s="51" t="n"/>
      <c r="AZU23" s="51" t="n"/>
      <c r="AZV23" s="51" t="n"/>
      <c r="AZW23" s="51" t="n"/>
      <c r="AZX23" s="51" t="n"/>
      <c r="AZY23" s="51" t="n"/>
      <c r="AZZ23" s="51" t="n"/>
      <c r="BAA23" s="51" t="n"/>
      <c r="BAB23" s="51" t="n"/>
      <c r="BAC23" s="51" t="n"/>
      <c r="BAD23" s="51" t="n"/>
      <c r="BAE23" s="51" t="n"/>
      <c r="BAF23" s="51" t="n"/>
      <c r="BAG23" s="51" t="n"/>
      <c r="BAH23" s="51" t="n"/>
      <c r="BAI23" s="51" t="n"/>
      <c r="BAJ23" s="51" t="n"/>
      <c r="BAK23" s="51" t="n"/>
      <c r="BAL23" s="51" t="n"/>
      <c r="BAM23" s="51" t="n"/>
      <c r="BAN23" s="51" t="n"/>
      <c r="BAO23" s="51" t="n"/>
      <c r="BAP23" s="51" t="n"/>
      <c r="BAQ23" s="51" t="n"/>
      <c r="BAR23" s="51" t="n"/>
      <c r="BAS23" s="51" t="n"/>
      <c r="BAT23" s="51" t="n"/>
      <c r="BAU23" s="51" t="n"/>
      <c r="BAV23" s="51" t="n"/>
      <c r="BAW23" s="51" t="n"/>
      <c r="BAX23" s="51" t="n"/>
      <c r="BAY23" s="51" t="n"/>
      <c r="BAZ23" s="51" t="n"/>
      <c r="BBA23" s="51" t="n"/>
      <c r="BBB23" s="51" t="n"/>
      <c r="BBC23" s="51" t="n"/>
      <c r="BBD23" s="51" t="n"/>
      <c r="BBE23" s="51" t="n"/>
      <c r="BBF23" s="51" t="n"/>
      <c r="BBG23" s="51" t="n"/>
      <c r="BBH23" s="51" t="n"/>
      <c r="BBI23" s="51" t="n"/>
      <c r="BBJ23" s="51" t="n"/>
      <c r="BBK23" s="51" t="n"/>
      <c r="BBL23" s="51" t="n"/>
      <c r="BBM23" s="51" t="n"/>
      <c r="BBN23" s="51" t="n"/>
      <c r="BBO23" s="51" t="n"/>
      <c r="BBP23" s="51" t="n"/>
    </row>
    <row r="24" ht="13.5" customHeight="1">
      <c r="A24" s="22">
        <f>A23+1</f>
        <v/>
      </c>
      <c r="B24" s="30" t="inlineStr">
        <is>
          <t>BATTERY ABC BESAR</t>
        </is>
      </c>
      <c r="C24" s="126" t="inlineStr">
        <is>
          <t>PCS</t>
        </is>
      </c>
      <c r="D24" s="26">
        <f>'Week  1'!U24</f>
        <v/>
      </c>
      <c r="E24" s="125" t="n"/>
      <c r="F24" s="55" t="n"/>
      <c r="G24" s="52" t="n"/>
      <c r="H24" s="55" t="n"/>
      <c r="I24" s="71" t="n"/>
      <c r="J24" s="55" t="n"/>
      <c r="K24" s="18" t="n"/>
      <c r="L24" s="73" t="n"/>
      <c r="M24" s="73" t="n"/>
      <c r="N24" s="73" t="n"/>
      <c r="O24" s="19" t="n"/>
      <c r="P24" s="18" t="n"/>
      <c r="Q24" s="18" t="n"/>
      <c r="R24" s="73" t="n"/>
      <c r="S24" s="18" t="n"/>
      <c r="T24" s="18" t="n"/>
      <c r="U24" s="26">
        <f>D24+F24+-(H24+J24+L24+N24+P24+R24+T24)</f>
        <v/>
      </c>
      <c r="V24" s="51" t="inlineStr">
        <is>
          <t>CONSUMABLE</t>
        </is>
      </c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  <c r="GB24" s="51" t="n"/>
      <c r="GC24" s="51" t="n"/>
      <c r="GD24" s="51" t="n"/>
      <c r="GE24" s="51" t="n"/>
      <c r="GF24" s="51" t="n"/>
      <c r="GG24" s="51" t="n"/>
      <c r="GH24" s="51" t="n"/>
      <c r="GI24" s="51" t="n"/>
      <c r="GJ24" s="51" t="n"/>
      <c r="GK24" s="51" t="n"/>
      <c r="GL24" s="51" t="n"/>
      <c r="GM24" s="51" t="n"/>
      <c r="GN24" s="51" t="n"/>
      <c r="GO24" s="51" t="n"/>
      <c r="GP24" s="51" t="n"/>
      <c r="GQ24" s="51" t="n"/>
      <c r="GR24" s="51" t="n"/>
      <c r="GS24" s="51" t="n"/>
      <c r="GT24" s="51" t="n"/>
      <c r="GU24" s="51" t="n"/>
      <c r="GV24" s="51" t="n"/>
      <c r="GW24" s="51" t="n"/>
      <c r="GX24" s="51" t="n"/>
      <c r="GY24" s="51" t="n"/>
      <c r="GZ24" s="51" t="n"/>
      <c r="HA24" s="51" t="n"/>
      <c r="HB24" s="51" t="n"/>
      <c r="HC24" s="51" t="n"/>
      <c r="HD24" s="51" t="n"/>
      <c r="HE24" s="51" t="n"/>
      <c r="HF24" s="51" t="n"/>
      <c r="HG24" s="51" t="n"/>
      <c r="HH24" s="51" t="n"/>
      <c r="HI24" s="51" t="n"/>
      <c r="HJ24" s="51" t="n"/>
      <c r="HK24" s="51" t="n"/>
      <c r="HL24" s="51" t="n"/>
      <c r="HM24" s="51" t="n"/>
      <c r="HN24" s="51" t="n"/>
      <c r="HO24" s="51" t="n"/>
      <c r="HP24" s="51" t="n"/>
      <c r="HQ24" s="51" t="n"/>
      <c r="HR24" s="51" t="n"/>
      <c r="HS24" s="51" t="n"/>
      <c r="HT24" s="51" t="n"/>
      <c r="HU24" s="51" t="n"/>
      <c r="HV24" s="51" t="n"/>
      <c r="HW24" s="51" t="n"/>
      <c r="HX24" s="51" t="n"/>
      <c r="HY24" s="51" t="n"/>
      <c r="HZ24" s="51" t="n"/>
      <c r="IA24" s="51" t="n"/>
      <c r="IB24" s="51" t="n"/>
      <c r="IC24" s="51" t="n"/>
      <c r="ID24" s="51" t="n"/>
      <c r="IE24" s="51" t="n"/>
      <c r="IF24" s="51" t="n"/>
      <c r="IG24" s="51" t="n"/>
      <c r="IH24" s="51" t="n"/>
      <c r="II24" s="51" t="n"/>
      <c r="IJ24" s="51" t="n"/>
      <c r="IK24" s="51" t="n"/>
      <c r="IL24" s="51" t="n"/>
      <c r="IM24" s="51" t="n"/>
      <c r="IN24" s="51" t="n"/>
      <c r="IO24" s="51" t="n"/>
      <c r="IP24" s="51" t="n"/>
      <c r="IQ24" s="51" t="n"/>
      <c r="IR24" s="51" t="n"/>
      <c r="IS24" s="51" t="n"/>
      <c r="IT24" s="51" t="n"/>
      <c r="IU24" s="51" t="n"/>
      <c r="IV24" s="51" t="n"/>
      <c r="IW24" s="51" t="n"/>
      <c r="IX24" s="51" t="n"/>
      <c r="IY24" s="51" t="n"/>
      <c r="IZ24" s="51" t="n"/>
      <c r="JA24" s="51" t="n"/>
      <c r="JB24" s="51" t="n"/>
      <c r="JC24" s="51" t="n"/>
      <c r="JD24" s="51" t="n"/>
      <c r="JE24" s="51" t="n"/>
      <c r="JF24" s="51" t="n"/>
      <c r="JG24" s="51" t="n"/>
      <c r="JH24" s="51" t="n"/>
      <c r="JI24" s="51" t="n"/>
      <c r="JJ24" s="51" t="n"/>
      <c r="JK24" s="51" t="n"/>
      <c r="JL24" s="51" t="n"/>
      <c r="JM24" s="51" t="n"/>
      <c r="JN24" s="51" t="n"/>
      <c r="JO24" s="51" t="n"/>
      <c r="JP24" s="51" t="n"/>
      <c r="JQ24" s="51" t="n"/>
      <c r="JR24" s="51" t="n"/>
      <c r="JS24" s="51" t="n"/>
      <c r="JT24" s="51" t="n"/>
      <c r="JU24" s="51" t="n"/>
      <c r="JV24" s="51" t="n"/>
      <c r="JW24" s="51" t="n"/>
      <c r="JX24" s="51" t="n"/>
      <c r="JY24" s="51" t="n"/>
      <c r="JZ24" s="51" t="n"/>
      <c r="KA24" s="51" t="n"/>
      <c r="KB24" s="51" t="n"/>
      <c r="KC24" s="51" t="n"/>
      <c r="KD24" s="51" t="n"/>
      <c r="KE24" s="51" t="n"/>
      <c r="KF24" s="51" t="n"/>
      <c r="KG24" s="51" t="n"/>
      <c r="KH24" s="51" t="n"/>
      <c r="KI24" s="51" t="n"/>
      <c r="KJ24" s="51" t="n"/>
      <c r="KK24" s="51" t="n"/>
      <c r="KL24" s="51" t="n"/>
      <c r="KM24" s="51" t="n"/>
      <c r="KN24" s="51" t="n"/>
      <c r="KO24" s="51" t="n"/>
      <c r="KP24" s="51" t="n"/>
      <c r="KQ24" s="51" t="n"/>
      <c r="KR24" s="51" t="n"/>
      <c r="KS24" s="51" t="n"/>
      <c r="KT24" s="51" t="n"/>
      <c r="KU24" s="51" t="n"/>
      <c r="KV24" s="51" t="n"/>
      <c r="KW24" s="51" t="n"/>
      <c r="KX24" s="51" t="n"/>
      <c r="KY24" s="51" t="n"/>
      <c r="KZ24" s="51" t="n"/>
      <c r="LA24" s="51" t="n"/>
      <c r="LB24" s="51" t="n"/>
      <c r="LC24" s="51" t="n"/>
      <c r="LD24" s="51" t="n"/>
      <c r="LE24" s="51" t="n"/>
      <c r="LF24" s="51" t="n"/>
      <c r="LG24" s="51" t="n"/>
      <c r="LH24" s="51" t="n"/>
      <c r="LI24" s="51" t="n"/>
      <c r="LJ24" s="51" t="n"/>
      <c r="LK24" s="51" t="n"/>
      <c r="LL24" s="51" t="n"/>
      <c r="LM24" s="51" t="n"/>
      <c r="LN24" s="51" t="n"/>
      <c r="LO24" s="51" t="n"/>
      <c r="LP24" s="51" t="n"/>
      <c r="LQ24" s="51" t="n"/>
      <c r="LR24" s="51" t="n"/>
      <c r="LS24" s="51" t="n"/>
      <c r="LT24" s="51" t="n"/>
      <c r="LU24" s="51" t="n"/>
      <c r="LV24" s="51" t="n"/>
      <c r="LW24" s="51" t="n"/>
      <c r="LX24" s="51" t="n"/>
      <c r="LY24" s="51" t="n"/>
      <c r="LZ24" s="51" t="n"/>
      <c r="MA24" s="51" t="n"/>
      <c r="MB24" s="51" t="n"/>
      <c r="MC24" s="51" t="n"/>
      <c r="MD24" s="51" t="n"/>
      <c r="ME24" s="51" t="n"/>
      <c r="MF24" s="51" t="n"/>
      <c r="MG24" s="51" t="n"/>
      <c r="MH24" s="51" t="n"/>
      <c r="MI24" s="51" t="n"/>
      <c r="MJ24" s="51" t="n"/>
      <c r="MK24" s="51" t="n"/>
      <c r="ML24" s="51" t="n"/>
      <c r="MM24" s="51" t="n"/>
      <c r="MN24" s="51" t="n"/>
      <c r="MO24" s="51" t="n"/>
      <c r="MP24" s="51" t="n"/>
      <c r="MQ24" s="51" t="n"/>
      <c r="MR24" s="51" t="n"/>
      <c r="MS24" s="51" t="n"/>
      <c r="MT24" s="51" t="n"/>
      <c r="MU24" s="51" t="n"/>
      <c r="MV24" s="51" t="n"/>
      <c r="MW24" s="51" t="n"/>
      <c r="MX24" s="51" t="n"/>
      <c r="MY24" s="51" t="n"/>
      <c r="MZ24" s="51" t="n"/>
      <c r="NA24" s="51" t="n"/>
      <c r="NB24" s="51" t="n"/>
      <c r="NC24" s="51" t="n"/>
      <c r="ND24" s="51" t="n"/>
      <c r="NE24" s="51" t="n"/>
      <c r="NF24" s="51" t="n"/>
      <c r="NG24" s="51" t="n"/>
      <c r="NH24" s="51" t="n"/>
      <c r="NI24" s="51" t="n"/>
      <c r="NJ24" s="51" t="n"/>
      <c r="NK24" s="51" t="n"/>
      <c r="NL24" s="51" t="n"/>
      <c r="NM24" s="51" t="n"/>
      <c r="NN24" s="51" t="n"/>
      <c r="NO24" s="51" t="n"/>
      <c r="NP24" s="51" t="n"/>
      <c r="NQ24" s="51" t="n"/>
      <c r="NR24" s="51" t="n"/>
      <c r="NS24" s="51" t="n"/>
      <c r="NT24" s="51" t="n"/>
      <c r="NU24" s="51" t="n"/>
      <c r="NV24" s="51" t="n"/>
      <c r="NW24" s="51" t="n"/>
      <c r="NX24" s="51" t="n"/>
      <c r="NY24" s="51" t="n"/>
      <c r="NZ24" s="51" t="n"/>
      <c r="OA24" s="51" t="n"/>
      <c r="OB24" s="51" t="n"/>
      <c r="OC24" s="51" t="n"/>
      <c r="OD24" s="51" t="n"/>
      <c r="OE24" s="51" t="n"/>
      <c r="OF24" s="51" t="n"/>
      <c r="OG24" s="51" t="n"/>
      <c r="OH24" s="51" t="n"/>
      <c r="OI24" s="51" t="n"/>
      <c r="OJ24" s="51" t="n"/>
      <c r="OK24" s="51" t="n"/>
      <c r="OL24" s="51" t="n"/>
      <c r="OM24" s="51" t="n"/>
      <c r="ON24" s="51" t="n"/>
      <c r="OO24" s="51" t="n"/>
      <c r="OP24" s="51" t="n"/>
      <c r="OQ24" s="51" t="n"/>
      <c r="OR24" s="51" t="n"/>
      <c r="OS24" s="51" t="n"/>
      <c r="OT24" s="51" t="n"/>
      <c r="OU24" s="51" t="n"/>
      <c r="OV24" s="51" t="n"/>
      <c r="OW24" s="51" t="n"/>
      <c r="OX24" s="51" t="n"/>
      <c r="OY24" s="51" t="n"/>
      <c r="OZ24" s="51" t="n"/>
      <c r="PA24" s="51" t="n"/>
      <c r="PB24" s="51" t="n"/>
      <c r="PC24" s="51" t="n"/>
      <c r="PD24" s="51" t="n"/>
      <c r="PE24" s="51" t="n"/>
      <c r="PF24" s="51" t="n"/>
      <c r="PG24" s="51" t="n"/>
      <c r="PH24" s="51" t="n"/>
      <c r="PI24" s="51" t="n"/>
      <c r="PJ24" s="51" t="n"/>
      <c r="PK24" s="51" t="n"/>
      <c r="PL24" s="51" t="n"/>
      <c r="PM24" s="51" t="n"/>
      <c r="PN24" s="51" t="n"/>
      <c r="PO24" s="51" t="n"/>
      <c r="PP24" s="51" t="n"/>
      <c r="PQ24" s="51" t="n"/>
      <c r="PR24" s="51" t="n"/>
      <c r="PS24" s="51" t="n"/>
      <c r="PT24" s="51" t="n"/>
      <c r="PU24" s="51" t="n"/>
      <c r="PV24" s="51" t="n"/>
      <c r="PW24" s="51" t="n"/>
      <c r="PX24" s="51" t="n"/>
      <c r="PY24" s="51" t="n"/>
      <c r="PZ24" s="51" t="n"/>
      <c r="QA24" s="51" t="n"/>
      <c r="QB24" s="51" t="n"/>
      <c r="QC24" s="51" t="n"/>
      <c r="QD24" s="51" t="n"/>
      <c r="QE24" s="51" t="n"/>
      <c r="QF24" s="51" t="n"/>
      <c r="QG24" s="51" t="n"/>
      <c r="QH24" s="51" t="n"/>
      <c r="QI24" s="51" t="n"/>
      <c r="QJ24" s="51" t="n"/>
      <c r="QK24" s="51" t="n"/>
      <c r="QL24" s="51" t="n"/>
      <c r="QM24" s="51" t="n"/>
      <c r="QN24" s="51" t="n"/>
      <c r="QO24" s="51" t="n"/>
      <c r="QP24" s="51" t="n"/>
      <c r="QQ24" s="51" t="n"/>
      <c r="QR24" s="51" t="n"/>
      <c r="QS24" s="51" t="n"/>
      <c r="QT24" s="51" t="n"/>
      <c r="QU24" s="51" t="n"/>
      <c r="QV24" s="51" t="n"/>
      <c r="QW24" s="51" t="n"/>
      <c r="QX24" s="51" t="n"/>
      <c r="QY24" s="51" t="n"/>
      <c r="QZ24" s="51" t="n"/>
      <c r="RA24" s="51" t="n"/>
      <c r="RB24" s="51" t="n"/>
      <c r="RC24" s="51" t="n"/>
      <c r="RD24" s="51" t="n"/>
      <c r="RE24" s="51" t="n"/>
      <c r="RF24" s="51" t="n"/>
      <c r="RG24" s="51" t="n"/>
      <c r="RH24" s="51" t="n"/>
      <c r="RI24" s="51" t="n"/>
      <c r="RJ24" s="51" t="n"/>
      <c r="RK24" s="51" t="n"/>
      <c r="RL24" s="51" t="n"/>
      <c r="RM24" s="51" t="n"/>
      <c r="RN24" s="51" t="n"/>
      <c r="RO24" s="51" t="n"/>
      <c r="RP24" s="51" t="n"/>
      <c r="RQ24" s="51" t="n"/>
      <c r="RR24" s="51" t="n"/>
      <c r="RS24" s="51" t="n"/>
      <c r="RT24" s="51" t="n"/>
      <c r="RU24" s="51" t="n"/>
      <c r="RV24" s="51" t="n"/>
      <c r="RW24" s="51" t="n"/>
      <c r="RX24" s="51" t="n"/>
      <c r="RY24" s="51" t="n"/>
      <c r="RZ24" s="51" t="n"/>
      <c r="SA24" s="51" t="n"/>
      <c r="SB24" s="51" t="n"/>
      <c r="SC24" s="51" t="n"/>
      <c r="SD24" s="51" t="n"/>
      <c r="SE24" s="51" t="n"/>
      <c r="SF24" s="51" t="n"/>
      <c r="SG24" s="51" t="n"/>
      <c r="SH24" s="51" t="n"/>
      <c r="SI24" s="51" t="n"/>
      <c r="SJ24" s="51" t="n"/>
      <c r="SK24" s="51" t="n"/>
      <c r="SL24" s="51" t="n"/>
      <c r="SM24" s="51" t="n"/>
      <c r="SN24" s="51" t="n"/>
      <c r="SO24" s="51" t="n"/>
      <c r="SP24" s="51" t="n"/>
      <c r="SQ24" s="51" t="n"/>
      <c r="SR24" s="51" t="n"/>
      <c r="SS24" s="51" t="n"/>
      <c r="ST24" s="51" t="n"/>
      <c r="SU24" s="51" t="n"/>
      <c r="SV24" s="51" t="n"/>
      <c r="SW24" s="51" t="n"/>
      <c r="SX24" s="51" t="n"/>
      <c r="SY24" s="51" t="n"/>
      <c r="SZ24" s="51" t="n"/>
      <c r="TA24" s="51" t="n"/>
      <c r="TB24" s="51" t="n"/>
      <c r="TC24" s="51" t="n"/>
      <c r="TD24" s="51" t="n"/>
      <c r="TE24" s="51" t="n"/>
      <c r="TF24" s="51" t="n"/>
      <c r="TG24" s="51" t="n"/>
      <c r="TH24" s="51" t="n"/>
      <c r="TI24" s="51" t="n"/>
      <c r="TJ24" s="51" t="n"/>
      <c r="TK24" s="51" t="n"/>
      <c r="TL24" s="51" t="n"/>
      <c r="TM24" s="51" t="n"/>
      <c r="TN24" s="51" t="n"/>
      <c r="TO24" s="51" t="n"/>
      <c r="TP24" s="51" t="n"/>
      <c r="TQ24" s="51" t="n"/>
      <c r="TR24" s="51" t="n"/>
      <c r="TS24" s="51" t="n"/>
      <c r="TT24" s="51" t="n"/>
      <c r="TU24" s="51" t="n"/>
      <c r="TV24" s="51" t="n"/>
      <c r="TW24" s="51" t="n"/>
      <c r="TX24" s="51" t="n"/>
      <c r="TY24" s="51" t="n"/>
      <c r="TZ24" s="51" t="n"/>
      <c r="UA24" s="51" t="n"/>
      <c r="UB24" s="51" t="n"/>
      <c r="UC24" s="51" t="n"/>
      <c r="UD24" s="51" t="n"/>
      <c r="UE24" s="51" t="n"/>
      <c r="UF24" s="51" t="n"/>
      <c r="UG24" s="51" t="n"/>
      <c r="UH24" s="51" t="n"/>
      <c r="UI24" s="51" t="n"/>
      <c r="UJ24" s="51" t="n"/>
      <c r="UK24" s="51" t="n"/>
      <c r="UL24" s="51" t="n"/>
      <c r="UM24" s="51" t="n"/>
      <c r="UN24" s="51" t="n"/>
      <c r="UO24" s="51" t="n"/>
      <c r="UP24" s="51" t="n"/>
      <c r="UQ24" s="51" t="n"/>
      <c r="UR24" s="51" t="n"/>
      <c r="US24" s="51" t="n"/>
      <c r="UT24" s="51" t="n"/>
      <c r="UU24" s="51" t="n"/>
      <c r="UV24" s="51" t="n"/>
      <c r="UW24" s="51" t="n"/>
      <c r="UX24" s="51" t="n"/>
      <c r="UY24" s="51" t="n"/>
      <c r="UZ24" s="51" t="n"/>
      <c r="VA24" s="51" t="n"/>
      <c r="VB24" s="51" t="n"/>
      <c r="VC24" s="51" t="n"/>
      <c r="VD24" s="51" t="n"/>
      <c r="VE24" s="51" t="n"/>
      <c r="VF24" s="51" t="n"/>
      <c r="VG24" s="51" t="n"/>
      <c r="VH24" s="51" t="n"/>
      <c r="VI24" s="51" t="n"/>
      <c r="VJ24" s="51" t="n"/>
      <c r="VK24" s="51" t="n"/>
      <c r="VL24" s="51" t="n"/>
      <c r="VM24" s="51" t="n"/>
      <c r="VN24" s="51" t="n"/>
      <c r="VO24" s="51" t="n"/>
      <c r="VP24" s="51" t="n"/>
      <c r="VQ24" s="51" t="n"/>
      <c r="VR24" s="51" t="n"/>
      <c r="VS24" s="51" t="n"/>
      <c r="VT24" s="51" t="n"/>
      <c r="VU24" s="51" t="n"/>
      <c r="VV24" s="51" t="n"/>
      <c r="VW24" s="51" t="n"/>
      <c r="VX24" s="51" t="n"/>
      <c r="VY24" s="51" t="n"/>
      <c r="VZ24" s="51" t="n"/>
      <c r="WA24" s="51" t="n"/>
      <c r="WB24" s="51" t="n"/>
      <c r="WC24" s="51" t="n"/>
      <c r="WD24" s="51" t="n"/>
      <c r="WE24" s="51" t="n"/>
      <c r="WF24" s="51" t="n"/>
      <c r="WG24" s="51" t="n"/>
      <c r="WH24" s="51" t="n"/>
      <c r="WI24" s="51" t="n"/>
      <c r="WJ24" s="51" t="n"/>
      <c r="WK24" s="51" t="n"/>
      <c r="WL24" s="51" t="n"/>
      <c r="WM24" s="51" t="n"/>
      <c r="WN24" s="51" t="n"/>
      <c r="WO24" s="51" t="n"/>
      <c r="WP24" s="51" t="n"/>
      <c r="WQ24" s="51" t="n"/>
      <c r="WR24" s="51" t="n"/>
      <c r="WS24" s="51" t="n"/>
      <c r="WT24" s="51" t="n"/>
      <c r="WU24" s="51" t="n"/>
      <c r="WV24" s="51" t="n"/>
      <c r="WW24" s="51" t="n"/>
      <c r="WX24" s="51" t="n"/>
      <c r="WY24" s="51" t="n"/>
      <c r="WZ24" s="51" t="n"/>
      <c r="XA24" s="51" t="n"/>
      <c r="XB24" s="51" t="n"/>
      <c r="XC24" s="51" t="n"/>
      <c r="XD24" s="51" t="n"/>
      <c r="XE24" s="51" t="n"/>
      <c r="XF24" s="51" t="n"/>
      <c r="XG24" s="51" t="n"/>
      <c r="XH24" s="51" t="n"/>
      <c r="XI24" s="51" t="n"/>
      <c r="XJ24" s="51" t="n"/>
      <c r="XK24" s="51" t="n"/>
      <c r="XL24" s="51" t="n"/>
      <c r="XM24" s="51" t="n"/>
      <c r="XN24" s="51" t="n"/>
      <c r="XO24" s="51" t="n"/>
      <c r="XP24" s="51" t="n"/>
      <c r="XQ24" s="51" t="n"/>
      <c r="XR24" s="51" t="n"/>
      <c r="XS24" s="51" t="n"/>
      <c r="XT24" s="51" t="n"/>
      <c r="XU24" s="51" t="n"/>
      <c r="XV24" s="51" t="n"/>
      <c r="XW24" s="51" t="n"/>
      <c r="XX24" s="51" t="n"/>
      <c r="XY24" s="51" t="n"/>
      <c r="XZ24" s="51" t="n"/>
      <c r="YA24" s="51" t="n"/>
      <c r="YB24" s="51" t="n"/>
      <c r="YC24" s="51" t="n"/>
      <c r="YD24" s="51" t="n"/>
      <c r="YE24" s="51" t="n"/>
      <c r="YF24" s="51" t="n"/>
      <c r="YG24" s="51" t="n"/>
      <c r="YH24" s="51" t="n"/>
      <c r="YI24" s="51" t="n"/>
      <c r="YJ24" s="51" t="n"/>
      <c r="YK24" s="51" t="n"/>
      <c r="YL24" s="51" t="n"/>
      <c r="YM24" s="51" t="n"/>
      <c r="YN24" s="51" t="n"/>
      <c r="YO24" s="51" t="n"/>
      <c r="YP24" s="51" t="n"/>
      <c r="YQ24" s="51" t="n"/>
      <c r="YR24" s="51" t="n"/>
      <c r="YS24" s="51" t="n"/>
      <c r="YT24" s="51" t="n"/>
      <c r="YU24" s="51" t="n"/>
      <c r="YV24" s="51" t="n"/>
      <c r="YW24" s="51" t="n"/>
      <c r="YX24" s="51" t="n"/>
      <c r="YY24" s="51" t="n"/>
      <c r="YZ24" s="51" t="n"/>
      <c r="ZA24" s="51" t="n"/>
      <c r="ZB24" s="51" t="n"/>
      <c r="ZC24" s="51" t="n"/>
      <c r="ZD24" s="51" t="n"/>
      <c r="ZE24" s="51" t="n"/>
      <c r="ZF24" s="51" t="n"/>
      <c r="ZG24" s="51" t="n"/>
      <c r="ZH24" s="51" t="n"/>
      <c r="ZI24" s="51" t="n"/>
      <c r="ZJ24" s="51" t="n"/>
      <c r="ZK24" s="51" t="n"/>
      <c r="ZL24" s="51" t="n"/>
      <c r="ZM24" s="51" t="n"/>
      <c r="ZN24" s="51" t="n"/>
      <c r="ZO24" s="51" t="n"/>
      <c r="ZP24" s="51" t="n"/>
      <c r="ZQ24" s="51" t="n"/>
      <c r="ZR24" s="51" t="n"/>
      <c r="ZS24" s="51" t="n"/>
      <c r="ZT24" s="51" t="n"/>
      <c r="ZU24" s="51" t="n"/>
      <c r="ZV24" s="51" t="n"/>
      <c r="ZW24" s="51" t="n"/>
      <c r="ZX24" s="51" t="n"/>
      <c r="ZY24" s="51" t="n"/>
      <c r="ZZ24" s="51" t="n"/>
      <c r="AAA24" s="51" t="n"/>
      <c r="AAB24" s="51" t="n"/>
      <c r="AAC24" s="51" t="n"/>
      <c r="AAD24" s="51" t="n"/>
      <c r="AAE24" s="51" t="n"/>
      <c r="AAF24" s="51" t="n"/>
      <c r="AAG24" s="51" t="n"/>
      <c r="AAH24" s="51" t="n"/>
      <c r="AAI24" s="51" t="n"/>
      <c r="AAJ24" s="51" t="n"/>
      <c r="AAK24" s="51" t="n"/>
      <c r="AAL24" s="51" t="n"/>
      <c r="AAM24" s="51" t="n"/>
      <c r="AAN24" s="51" t="n"/>
      <c r="AAO24" s="51" t="n"/>
      <c r="AAP24" s="51" t="n"/>
      <c r="AAQ24" s="51" t="n"/>
      <c r="AAR24" s="51" t="n"/>
      <c r="AAS24" s="51" t="n"/>
      <c r="AAT24" s="51" t="n"/>
      <c r="AAU24" s="51" t="n"/>
      <c r="AAV24" s="51" t="n"/>
      <c r="AAW24" s="51" t="n"/>
      <c r="AAX24" s="51" t="n"/>
      <c r="AAY24" s="51" t="n"/>
      <c r="AAZ24" s="51" t="n"/>
      <c r="ABA24" s="51" t="n"/>
      <c r="ABB24" s="51" t="n"/>
      <c r="ABC24" s="51" t="n"/>
      <c r="ABD24" s="51" t="n"/>
      <c r="ABE24" s="51" t="n"/>
      <c r="ABF24" s="51" t="n"/>
      <c r="ABG24" s="51" t="n"/>
      <c r="ABH24" s="51" t="n"/>
      <c r="ABI24" s="51" t="n"/>
      <c r="ABJ24" s="51" t="n"/>
      <c r="ABK24" s="51" t="n"/>
      <c r="ABL24" s="51" t="n"/>
      <c r="ABM24" s="51" t="n"/>
      <c r="ABN24" s="51" t="n"/>
      <c r="ABO24" s="51" t="n"/>
      <c r="ABP24" s="51" t="n"/>
      <c r="ABQ24" s="51" t="n"/>
      <c r="ABR24" s="51" t="n"/>
      <c r="ABS24" s="51" t="n"/>
      <c r="ABT24" s="51" t="n"/>
      <c r="ABU24" s="51" t="n"/>
      <c r="ABV24" s="51" t="n"/>
      <c r="ABW24" s="51" t="n"/>
      <c r="ABX24" s="51" t="n"/>
      <c r="ABY24" s="51" t="n"/>
      <c r="ABZ24" s="51" t="n"/>
      <c r="ACA24" s="51" t="n"/>
      <c r="ACB24" s="51" t="n"/>
      <c r="ACC24" s="51" t="n"/>
      <c r="ACD24" s="51" t="n"/>
      <c r="ACE24" s="51" t="n"/>
      <c r="ACF24" s="51" t="n"/>
      <c r="ACG24" s="51" t="n"/>
      <c r="ACH24" s="51" t="n"/>
      <c r="ACI24" s="51" t="n"/>
      <c r="ACJ24" s="51" t="n"/>
      <c r="ACK24" s="51" t="n"/>
      <c r="ACL24" s="51" t="n"/>
      <c r="ACM24" s="51" t="n"/>
      <c r="ACN24" s="51" t="n"/>
      <c r="ACO24" s="51" t="n"/>
      <c r="ACP24" s="51" t="n"/>
      <c r="ACQ24" s="51" t="n"/>
      <c r="ACR24" s="51" t="n"/>
      <c r="ACS24" s="51" t="n"/>
      <c r="ACT24" s="51" t="n"/>
      <c r="ACU24" s="51" t="n"/>
      <c r="ACV24" s="51" t="n"/>
      <c r="ACW24" s="51" t="n"/>
      <c r="ACX24" s="51" t="n"/>
      <c r="ACY24" s="51" t="n"/>
      <c r="ACZ24" s="51" t="n"/>
      <c r="ADA24" s="51" t="n"/>
      <c r="ADB24" s="51" t="n"/>
      <c r="ADC24" s="51" t="n"/>
      <c r="ADD24" s="51" t="n"/>
      <c r="ADE24" s="51" t="n"/>
      <c r="ADF24" s="51" t="n"/>
      <c r="ADG24" s="51" t="n"/>
      <c r="ADH24" s="51" t="n"/>
      <c r="ADI24" s="51" t="n"/>
      <c r="ADJ24" s="51" t="n"/>
      <c r="ADK24" s="51" t="n"/>
      <c r="ADL24" s="51" t="n"/>
      <c r="ADM24" s="51" t="n"/>
      <c r="ADN24" s="51" t="n"/>
      <c r="ADO24" s="51" t="n"/>
      <c r="ADP24" s="51" t="n"/>
      <c r="ADQ24" s="51" t="n"/>
      <c r="ADR24" s="51" t="n"/>
      <c r="ADS24" s="51" t="n"/>
      <c r="ADT24" s="51" t="n"/>
      <c r="ADU24" s="51" t="n"/>
      <c r="ADV24" s="51" t="n"/>
      <c r="ADW24" s="51" t="n"/>
      <c r="ADX24" s="51" t="n"/>
      <c r="ADY24" s="51" t="n"/>
      <c r="ADZ24" s="51" t="n"/>
      <c r="AEA24" s="51" t="n"/>
      <c r="AEB24" s="51" t="n"/>
      <c r="AEC24" s="51" t="n"/>
      <c r="AED24" s="51" t="n"/>
      <c r="AEE24" s="51" t="n"/>
      <c r="AEF24" s="51" t="n"/>
      <c r="AEG24" s="51" t="n"/>
      <c r="AEH24" s="51" t="n"/>
      <c r="AEI24" s="51" t="n"/>
      <c r="AEJ24" s="51" t="n"/>
      <c r="AEK24" s="51" t="n"/>
      <c r="AEL24" s="51" t="n"/>
      <c r="AEM24" s="51" t="n"/>
      <c r="AEN24" s="51" t="n"/>
      <c r="AEO24" s="51" t="n"/>
      <c r="AEP24" s="51" t="n"/>
      <c r="AEQ24" s="51" t="n"/>
      <c r="AER24" s="51" t="n"/>
      <c r="AES24" s="51" t="n"/>
      <c r="AET24" s="51" t="n"/>
      <c r="AEU24" s="51" t="n"/>
      <c r="AEV24" s="51" t="n"/>
      <c r="AEW24" s="51" t="n"/>
      <c r="AEX24" s="51" t="n"/>
      <c r="AEY24" s="51" t="n"/>
      <c r="AEZ24" s="51" t="n"/>
      <c r="AFA24" s="51" t="n"/>
      <c r="AFB24" s="51" t="n"/>
      <c r="AFC24" s="51" t="n"/>
      <c r="AFD24" s="51" t="n"/>
      <c r="AFE24" s="51" t="n"/>
      <c r="AFF24" s="51" t="n"/>
      <c r="AFG24" s="51" t="n"/>
      <c r="AFH24" s="51" t="n"/>
      <c r="AFI24" s="51" t="n"/>
      <c r="AFJ24" s="51" t="n"/>
      <c r="AFK24" s="51" t="n"/>
      <c r="AFL24" s="51" t="n"/>
      <c r="AFM24" s="51" t="n"/>
      <c r="AFN24" s="51" t="n"/>
      <c r="AFO24" s="51" t="n"/>
      <c r="AFP24" s="51" t="n"/>
      <c r="AFQ24" s="51" t="n"/>
      <c r="AFR24" s="51" t="n"/>
      <c r="AFS24" s="51" t="n"/>
      <c r="AFT24" s="51" t="n"/>
      <c r="AFU24" s="51" t="n"/>
      <c r="AFV24" s="51" t="n"/>
      <c r="AFW24" s="51" t="n"/>
      <c r="AFX24" s="51" t="n"/>
      <c r="AFY24" s="51" t="n"/>
      <c r="AFZ24" s="51" t="n"/>
      <c r="AGA24" s="51" t="n"/>
      <c r="AGB24" s="51" t="n"/>
      <c r="AGC24" s="51" t="n"/>
      <c r="AGD24" s="51" t="n"/>
      <c r="AGE24" s="51" t="n"/>
      <c r="AGF24" s="51" t="n"/>
      <c r="AGG24" s="51" t="n"/>
      <c r="AGH24" s="51" t="n"/>
      <c r="AGI24" s="51" t="n"/>
      <c r="AGJ24" s="51" t="n"/>
      <c r="AGK24" s="51" t="n"/>
      <c r="AGL24" s="51" t="n"/>
      <c r="AGM24" s="51" t="n"/>
      <c r="AGN24" s="51" t="n"/>
      <c r="AGO24" s="51" t="n"/>
      <c r="AGP24" s="51" t="n"/>
      <c r="AGQ24" s="51" t="n"/>
      <c r="AGR24" s="51" t="n"/>
      <c r="AGS24" s="51" t="n"/>
      <c r="AGT24" s="51" t="n"/>
      <c r="AGU24" s="51" t="n"/>
      <c r="AGV24" s="51" t="n"/>
      <c r="AGW24" s="51" t="n"/>
      <c r="AGX24" s="51" t="n"/>
      <c r="AGY24" s="51" t="n"/>
      <c r="AGZ24" s="51" t="n"/>
      <c r="AHA24" s="51" t="n"/>
      <c r="AHB24" s="51" t="n"/>
      <c r="AHC24" s="51" t="n"/>
      <c r="AHD24" s="51" t="n"/>
      <c r="AHE24" s="51" t="n"/>
      <c r="AHF24" s="51" t="n"/>
      <c r="AHG24" s="51" t="n"/>
      <c r="AHH24" s="51" t="n"/>
      <c r="AHI24" s="51" t="n"/>
      <c r="AHJ24" s="51" t="n"/>
      <c r="AHK24" s="51" t="n"/>
      <c r="AHL24" s="51" t="n"/>
      <c r="AHM24" s="51" t="n"/>
      <c r="AHN24" s="51" t="n"/>
      <c r="AHO24" s="51" t="n"/>
      <c r="AHP24" s="51" t="n"/>
      <c r="AHQ24" s="51" t="n"/>
      <c r="AHR24" s="51" t="n"/>
      <c r="AHS24" s="51" t="n"/>
      <c r="AHT24" s="51" t="n"/>
      <c r="AHU24" s="51" t="n"/>
      <c r="AHV24" s="51" t="n"/>
      <c r="AHW24" s="51" t="n"/>
      <c r="AHX24" s="51" t="n"/>
      <c r="AHY24" s="51" t="n"/>
      <c r="AHZ24" s="51" t="n"/>
      <c r="AIA24" s="51" t="n"/>
      <c r="AIB24" s="51" t="n"/>
      <c r="AIC24" s="51" t="n"/>
      <c r="AID24" s="51" t="n"/>
      <c r="AIE24" s="51" t="n"/>
      <c r="AIF24" s="51" t="n"/>
      <c r="AIG24" s="51" t="n"/>
      <c r="AIH24" s="51" t="n"/>
      <c r="AII24" s="51" t="n"/>
      <c r="AIJ24" s="51" t="n"/>
      <c r="AIK24" s="51" t="n"/>
      <c r="AIL24" s="51" t="n"/>
      <c r="AIM24" s="51" t="n"/>
      <c r="AIN24" s="51" t="n"/>
      <c r="AIO24" s="51" t="n"/>
      <c r="AIP24" s="51" t="n"/>
      <c r="AIQ24" s="51" t="n"/>
      <c r="AIR24" s="51" t="n"/>
      <c r="AIS24" s="51" t="n"/>
      <c r="AIT24" s="51" t="n"/>
      <c r="AIU24" s="51" t="n"/>
      <c r="AIV24" s="51" t="n"/>
      <c r="AIW24" s="51" t="n"/>
      <c r="AIX24" s="51" t="n"/>
      <c r="AIY24" s="51" t="n"/>
      <c r="AIZ24" s="51" t="n"/>
      <c r="AJA24" s="51" t="n"/>
      <c r="AJB24" s="51" t="n"/>
      <c r="AJC24" s="51" t="n"/>
      <c r="AJD24" s="51" t="n"/>
      <c r="AJE24" s="51" t="n"/>
      <c r="AJF24" s="51" t="n"/>
      <c r="AJG24" s="51" t="n"/>
      <c r="AJH24" s="51" t="n"/>
      <c r="AJI24" s="51" t="n"/>
      <c r="AJJ24" s="51" t="n"/>
      <c r="AJK24" s="51" t="n"/>
      <c r="AJL24" s="51" t="n"/>
      <c r="AJM24" s="51" t="n"/>
      <c r="AJN24" s="51" t="n"/>
      <c r="AJO24" s="51" t="n"/>
      <c r="AJP24" s="51" t="n"/>
      <c r="AJQ24" s="51" t="n"/>
      <c r="AJR24" s="51" t="n"/>
      <c r="AJS24" s="51" t="n"/>
      <c r="AJT24" s="51" t="n"/>
      <c r="AJU24" s="51" t="n"/>
      <c r="AJV24" s="51" t="n"/>
      <c r="AJW24" s="51" t="n"/>
      <c r="AJX24" s="51" t="n"/>
      <c r="AJY24" s="51" t="n"/>
      <c r="AJZ24" s="51" t="n"/>
      <c r="AKA24" s="51" t="n"/>
      <c r="AKB24" s="51" t="n"/>
      <c r="AKC24" s="51" t="n"/>
      <c r="AKD24" s="51" t="n"/>
      <c r="AKE24" s="51" t="n"/>
      <c r="AKF24" s="51" t="n"/>
      <c r="AKG24" s="51" t="n"/>
      <c r="AKH24" s="51" t="n"/>
      <c r="AKI24" s="51" t="n"/>
      <c r="AKJ24" s="51" t="n"/>
      <c r="AKK24" s="51" t="n"/>
      <c r="AKL24" s="51" t="n"/>
      <c r="AKM24" s="51" t="n"/>
      <c r="AKN24" s="51" t="n"/>
      <c r="AKO24" s="51" t="n"/>
      <c r="AKP24" s="51" t="n"/>
      <c r="AKQ24" s="51" t="n"/>
      <c r="AKR24" s="51" t="n"/>
      <c r="AKS24" s="51" t="n"/>
      <c r="AKT24" s="51" t="n"/>
      <c r="AKU24" s="51" t="n"/>
      <c r="AKV24" s="51" t="n"/>
      <c r="AKW24" s="51" t="n"/>
      <c r="AKX24" s="51" t="n"/>
      <c r="AKY24" s="51" t="n"/>
      <c r="AKZ24" s="51" t="n"/>
      <c r="ALA24" s="51" t="n"/>
      <c r="ALB24" s="51" t="n"/>
      <c r="ALC24" s="51" t="n"/>
      <c r="ALD24" s="51" t="n"/>
      <c r="ALE24" s="51" t="n"/>
      <c r="ALF24" s="51" t="n"/>
      <c r="ALG24" s="51" t="n"/>
      <c r="ALH24" s="51" t="n"/>
      <c r="ALI24" s="51" t="n"/>
      <c r="ALJ24" s="51" t="n"/>
      <c r="ALK24" s="51" t="n"/>
      <c r="ALL24" s="51" t="n"/>
      <c r="ALM24" s="51" t="n"/>
      <c r="ALN24" s="51" t="n"/>
      <c r="ALO24" s="51" t="n"/>
      <c r="ALP24" s="51" t="n"/>
      <c r="ALQ24" s="51" t="n"/>
      <c r="ALR24" s="51" t="n"/>
      <c r="ALS24" s="51" t="n"/>
      <c r="ALT24" s="51" t="n"/>
      <c r="ALU24" s="51" t="n"/>
      <c r="ALV24" s="51" t="n"/>
      <c r="ALW24" s="51" t="n"/>
      <c r="ALX24" s="51" t="n"/>
      <c r="ALY24" s="51" t="n"/>
      <c r="ALZ24" s="51" t="n"/>
      <c r="AMA24" s="51" t="n"/>
      <c r="AMB24" s="51" t="n"/>
      <c r="AMC24" s="51" t="n"/>
      <c r="AMD24" s="51" t="n"/>
      <c r="AME24" s="51" t="n"/>
      <c r="AMF24" s="51" t="n"/>
      <c r="AMG24" s="51" t="n"/>
      <c r="AMH24" s="51" t="n"/>
      <c r="AMI24" s="51" t="n"/>
      <c r="AMJ24" s="51" t="n"/>
      <c r="AMK24" s="51" t="n"/>
      <c r="AML24" s="51" t="n"/>
      <c r="AMM24" s="51" t="n"/>
      <c r="AMN24" s="51" t="n"/>
      <c r="AMO24" s="51" t="n"/>
      <c r="AMP24" s="51" t="n"/>
      <c r="AMQ24" s="51" t="n"/>
      <c r="AMR24" s="51" t="n"/>
      <c r="AMS24" s="51" t="n"/>
      <c r="AMT24" s="51" t="n"/>
      <c r="AMU24" s="51" t="n"/>
      <c r="AMV24" s="51" t="n"/>
      <c r="AMW24" s="51" t="n"/>
      <c r="AMX24" s="51" t="n"/>
      <c r="AMY24" s="51" t="n"/>
      <c r="AMZ24" s="51" t="n"/>
      <c r="ANA24" s="51" t="n"/>
      <c r="ANB24" s="51" t="n"/>
      <c r="ANC24" s="51" t="n"/>
      <c r="AND24" s="51" t="n"/>
      <c r="ANE24" s="51" t="n"/>
      <c r="ANF24" s="51" t="n"/>
      <c r="ANG24" s="51" t="n"/>
      <c r="ANH24" s="51" t="n"/>
      <c r="ANI24" s="51" t="n"/>
      <c r="ANJ24" s="51" t="n"/>
      <c r="ANK24" s="51" t="n"/>
      <c r="ANL24" s="51" t="n"/>
      <c r="ANM24" s="51" t="n"/>
      <c r="ANN24" s="51" t="n"/>
      <c r="ANO24" s="51" t="n"/>
      <c r="ANP24" s="51" t="n"/>
      <c r="ANQ24" s="51" t="n"/>
      <c r="ANR24" s="51" t="n"/>
      <c r="ANS24" s="51" t="n"/>
      <c r="ANT24" s="51" t="n"/>
      <c r="ANU24" s="51" t="n"/>
      <c r="ANV24" s="51" t="n"/>
      <c r="ANW24" s="51" t="n"/>
      <c r="ANX24" s="51" t="n"/>
      <c r="ANY24" s="51" t="n"/>
      <c r="ANZ24" s="51" t="n"/>
      <c r="AOA24" s="51" t="n"/>
      <c r="AOB24" s="51" t="n"/>
      <c r="AOC24" s="51" t="n"/>
      <c r="AOD24" s="51" t="n"/>
      <c r="AOE24" s="51" t="n"/>
      <c r="AOF24" s="51" t="n"/>
      <c r="AOG24" s="51" t="n"/>
      <c r="AOH24" s="51" t="n"/>
      <c r="AOI24" s="51" t="n"/>
      <c r="AOJ24" s="51" t="n"/>
      <c r="AOK24" s="51" t="n"/>
      <c r="AOL24" s="51" t="n"/>
      <c r="AOM24" s="51" t="n"/>
      <c r="AON24" s="51" t="n"/>
      <c r="AOO24" s="51" t="n"/>
      <c r="AOP24" s="51" t="n"/>
      <c r="AOQ24" s="51" t="n"/>
      <c r="AOR24" s="51" t="n"/>
      <c r="AOS24" s="51" t="n"/>
      <c r="AOT24" s="51" t="n"/>
      <c r="AOU24" s="51" t="n"/>
      <c r="AOV24" s="51" t="n"/>
      <c r="AOW24" s="51" t="n"/>
      <c r="AOX24" s="51" t="n"/>
      <c r="AOY24" s="51" t="n"/>
      <c r="AOZ24" s="51" t="n"/>
      <c r="APA24" s="51" t="n"/>
      <c r="APB24" s="51" t="n"/>
      <c r="APC24" s="51" t="n"/>
      <c r="APD24" s="51" t="n"/>
      <c r="APE24" s="51" t="n"/>
      <c r="APF24" s="51" t="n"/>
      <c r="APG24" s="51" t="n"/>
      <c r="APH24" s="51" t="n"/>
      <c r="API24" s="51" t="n"/>
      <c r="APJ24" s="51" t="n"/>
      <c r="APK24" s="51" t="n"/>
      <c r="APL24" s="51" t="n"/>
      <c r="APM24" s="51" t="n"/>
      <c r="APN24" s="51" t="n"/>
      <c r="APO24" s="51" t="n"/>
      <c r="APP24" s="51" t="n"/>
      <c r="APQ24" s="51" t="n"/>
      <c r="APR24" s="51" t="n"/>
      <c r="APS24" s="51" t="n"/>
      <c r="APT24" s="51" t="n"/>
      <c r="APU24" s="51" t="n"/>
      <c r="APV24" s="51" t="n"/>
      <c r="APW24" s="51" t="n"/>
      <c r="APX24" s="51" t="n"/>
      <c r="APY24" s="51" t="n"/>
      <c r="APZ24" s="51" t="n"/>
      <c r="AQA24" s="51" t="n"/>
      <c r="AQB24" s="51" t="n"/>
      <c r="AQC24" s="51" t="n"/>
      <c r="AQD24" s="51" t="n"/>
      <c r="AQE24" s="51" t="n"/>
      <c r="AQF24" s="51" t="n"/>
      <c r="AQG24" s="51" t="n"/>
      <c r="AQH24" s="51" t="n"/>
      <c r="AQI24" s="51" t="n"/>
      <c r="AQJ24" s="51" t="n"/>
      <c r="AQK24" s="51" t="n"/>
      <c r="AQL24" s="51" t="n"/>
      <c r="AQM24" s="51" t="n"/>
      <c r="AQN24" s="51" t="n"/>
      <c r="AQO24" s="51" t="n"/>
      <c r="AQP24" s="51" t="n"/>
      <c r="AQQ24" s="51" t="n"/>
      <c r="AQR24" s="51" t="n"/>
      <c r="AQS24" s="51" t="n"/>
      <c r="AQT24" s="51" t="n"/>
      <c r="AQU24" s="51" t="n"/>
      <c r="AQV24" s="51" t="n"/>
      <c r="AQW24" s="51" t="n"/>
      <c r="AQX24" s="51" t="n"/>
      <c r="AQY24" s="51" t="n"/>
      <c r="AQZ24" s="51" t="n"/>
      <c r="ARA24" s="51" t="n"/>
      <c r="ARB24" s="51" t="n"/>
      <c r="ARC24" s="51" t="n"/>
      <c r="ARD24" s="51" t="n"/>
      <c r="ARE24" s="51" t="n"/>
      <c r="ARF24" s="51" t="n"/>
      <c r="ARG24" s="51" t="n"/>
      <c r="ARH24" s="51" t="n"/>
      <c r="ARI24" s="51" t="n"/>
      <c r="ARJ24" s="51" t="n"/>
      <c r="ARK24" s="51" t="n"/>
      <c r="ARL24" s="51" t="n"/>
      <c r="ARM24" s="51" t="n"/>
      <c r="ARN24" s="51" t="n"/>
      <c r="ARO24" s="51" t="n"/>
      <c r="ARP24" s="51" t="n"/>
      <c r="ARQ24" s="51" t="n"/>
      <c r="ARR24" s="51" t="n"/>
      <c r="ARS24" s="51" t="n"/>
      <c r="ART24" s="51" t="n"/>
      <c r="ARU24" s="51" t="n"/>
      <c r="ARV24" s="51" t="n"/>
      <c r="ARW24" s="51" t="n"/>
      <c r="ARX24" s="51" t="n"/>
      <c r="ARY24" s="51" t="n"/>
      <c r="ARZ24" s="51" t="n"/>
      <c r="ASA24" s="51" t="n"/>
      <c r="ASB24" s="51" t="n"/>
      <c r="ASC24" s="51" t="n"/>
      <c r="ASD24" s="51" t="n"/>
      <c r="ASE24" s="51" t="n"/>
      <c r="ASF24" s="51" t="n"/>
      <c r="ASG24" s="51" t="n"/>
      <c r="ASH24" s="51" t="n"/>
      <c r="ASI24" s="51" t="n"/>
      <c r="ASJ24" s="51" t="n"/>
      <c r="ASK24" s="51" t="n"/>
      <c r="ASL24" s="51" t="n"/>
      <c r="ASM24" s="51" t="n"/>
      <c r="ASN24" s="51" t="n"/>
      <c r="ASO24" s="51" t="n"/>
      <c r="ASP24" s="51" t="n"/>
      <c r="ASQ24" s="51" t="n"/>
      <c r="ASR24" s="51" t="n"/>
      <c r="ASS24" s="51" t="n"/>
      <c r="AST24" s="51" t="n"/>
      <c r="ASU24" s="51" t="n"/>
      <c r="ASV24" s="51" t="n"/>
      <c r="ASW24" s="51" t="n"/>
      <c r="ASX24" s="51" t="n"/>
      <c r="ASY24" s="51" t="n"/>
      <c r="ASZ24" s="51" t="n"/>
      <c r="ATA24" s="51" t="n"/>
      <c r="ATB24" s="51" t="n"/>
      <c r="ATC24" s="51" t="n"/>
      <c r="ATD24" s="51" t="n"/>
      <c r="ATE24" s="51" t="n"/>
      <c r="ATF24" s="51" t="n"/>
      <c r="ATG24" s="51" t="n"/>
      <c r="ATH24" s="51" t="n"/>
      <c r="ATI24" s="51" t="n"/>
      <c r="ATJ24" s="51" t="n"/>
      <c r="ATK24" s="51" t="n"/>
      <c r="ATL24" s="51" t="n"/>
      <c r="ATM24" s="51" t="n"/>
      <c r="ATN24" s="51" t="n"/>
      <c r="ATO24" s="51" t="n"/>
      <c r="ATP24" s="51" t="n"/>
      <c r="ATQ24" s="51" t="n"/>
      <c r="ATR24" s="51" t="n"/>
      <c r="ATS24" s="51" t="n"/>
      <c r="ATT24" s="51" t="n"/>
      <c r="ATU24" s="51" t="n"/>
      <c r="ATV24" s="51" t="n"/>
      <c r="ATW24" s="51" t="n"/>
      <c r="ATX24" s="51" t="n"/>
      <c r="ATY24" s="51" t="n"/>
      <c r="ATZ24" s="51" t="n"/>
      <c r="AUA24" s="51" t="n"/>
      <c r="AUB24" s="51" t="n"/>
      <c r="AUC24" s="51" t="n"/>
      <c r="AUD24" s="51" t="n"/>
      <c r="AUE24" s="51" t="n"/>
      <c r="AUF24" s="51" t="n"/>
      <c r="AUG24" s="51" t="n"/>
      <c r="AUH24" s="51" t="n"/>
      <c r="AUI24" s="51" t="n"/>
      <c r="AUJ24" s="51" t="n"/>
      <c r="AUK24" s="51" t="n"/>
      <c r="AUL24" s="51" t="n"/>
      <c r="AUM24" s="51" t="n"/>
      <c r="AUN24" s="51" t="n"/>
      <c r="AUO24" s="51" t="n"/>
      <c r="AUP24" s="51" t="n"/>
      <c r="AUQ24" s="51" t="n"/>
      <c r="AUR24" s="51" t="n"/>
      <c r="AUS24" s="51" t="n"/>
      <c r="AUT24" s="51" t="n"/>
      <c r="AUU24" s="51" t="n"/>
      <c r="AUV24" s="51" t="n"/>
      <c r="AUW24" s="51" t="n"/>
      <c r="AUX24" s="51" t="n"/>
      <c r="AUY24" s="51" t="n"/>
      <c r="AUZ24" s="51" t="n"/>
      <c r="AVA24" s="51" t="n"/>
      <c r="AVB24" s="51" t="n"/>
      <c r="AVC24" s="51" t="n"/>
      <c r="AVD24" s="51" t="n"/>
      <c r="AVE24" s="51" t="n"/>
      <c r="AVF24" s="51" t="n"/>
      <c r="AVG24" s="51" t="n"/>
      <c r="AVH24" s="51" t="n"/>
      <c r="AVI24" s="51" t="n"/>
      <c r="AVJ24" s="51" t="n"/>
      <c r="AVK24" s="51" t="n"/>
      <c r="AVL24" s="51" t="n"/>
      <c r="AVM24" s="51" t="n"/>
      <c r="AVN24" s="51" t="n"/>
      <c r="AVO24" s="51" t="n"/>
      <c r="AVP24" s="51" t="n"/>
      <c r="AVQ24" s="51" t="n"/>
      <c r="AVR24" s="51" t="n"/>
      <c r="AVS24" s="51" t="n"/>
      <c r="AVT24" s="51" t="n"/>
      <c r="AVU24" s="51" t="n"/>
      <c r="AVV24" s="51" t="n"/>
      <c r="AVW24" s="51" t="n"/>
      <c r="AVX24" s="51" t="n"/>
      <c r="AVY24" s="51" t="n"/>
      <c r="AVZ24" s="51" t="n"/>
      <c r="AWA24" s="51" t="n"/>
      <c r="AWB24" s="51" t="n"/>
      <c r="AWC24" s="51" t="n"/>
      <c r="AWD24" s="51" t="n"/>
      <c r="AWE24" s="51" t="n"/>
      <c r="AWF24" s="51" t="n"/>
      <c r="AWG24" s="51" t="n"/>
      <c r="AWH24" s="51" t="n"/>
      <c r="AWI24" s="51" t="n"/>
      <c r="AWJ24" s="51" t="n"/>
      <c r="AWK24" s="51" t="n"/>
      <c r="AWL24" s="51" t="n"/>
      <c r="AWM24" s="51" t="n"/>
      <c r="AWN24" s="51" t="n"/>
      <c r="AWO24" s="51" t="n"/>
      <c r="AWP24" s="51" t="n"/>
      <c r="AWQ24" s="51" t="n"/>
      <c r="AWR24" s="51" t="n"/>
      <c r="AWS24" s="51" t="n"/>
      <c r="AWT24" s="51" t="n"/>
      <c r="AWU24" s="51" t="n"/>
      <c r="AWV24" s="51" t="n"/>
      <c r="AWW24" s="51" t="n"/>
      <c r="AWX24" s="51" t="n"/>
      <c r="AWY24" s="51" t="n"/>
      <c r="AWZ24" s="51" t="n"/>
      <c r="AXA24" s="51" t="n"/>
      <c r="AXB24" s="51" t="n"/>
      <c r="AXC24" s="51" t="n"/>
      <c r="AXD24" s="51" t="n"/>
      <c r="AXE24" s="51" t="n"/>
      <c r="AXF24" s="51" t="n"/>
      <c r="AXG24" s="51" t="n"/>
      <c r="AXH24" s="51" t="n"/>
      <c r="AXI24" s="51" t="n"/>
      <c r="AXJ24" s="51" t="n"/>
      <c r="AXK24" s="51" t="n"/>
      <c r="AXL24" s="51" t="n"/>
      <c r="AXM24" s="51" t="n"/>
      <c r="AXN24" s="51" t="n"/>
      <c r="AXO24" s="51" t="n"/>
      <c r="AXP24" s="51" t="n"/>
      <c r="AXQ24" s="51" t="n"/>
      <c r="AXR24" s="51" t="n"/>
      <c r="AXS24" s="51" t="n"/>
      <c r="AXT24" s="51" t="n"/>
      <c r="AXU24" s="51" t="n"/>
      <c r="AXV24" s="51" t="n"/>
      <c r="AXW24" s="51" t="n"/>
      <c r="AXX24" s="51" t="n"/>
      <c r="AXY24" s="51" t="n"/>
      <c r="AXZ24" s="51" t="n"/>
      <c r="AYA24" s="51" t="n"/>
      <c r="AYB24" s="51" t="n"/>
      <c r="AYC24" s="51" t="n"/>
      <c r="AYD24" s="51" t="n"/>
      <c r="AYE24" s="51" t="n"/>
      <c r="AYF24" s="51" t="n"/>
      <c r="AYG24" s="51" t="n"/>
      <c r="AYH24" s="51" t="n"/>
      <c r="AYI24" s="51" t="n"/>
      <c r="AYJ24" s="51" t="n"/>
      <c r="AYK24" s="51" t="n"/>
      <c r="AYL24" s="51" t="n"/>
      <c r="AYM24" s="51" t="n"/>
      <c r="AYN24" s="51" t="n"/>
      <c r="AYO24" s="51" t="n"/>
      <c r="AYP24" s="51" t="n"/>
      <c r="AYQ24" s="51" t="n"/>
      <c r="AYR24" s="51" t="n"/>
      <c r="AYS24" s="51" t="n"/>
      <c r="AYT24" s="51" t="n"/>
      <c r="AYU24" s="51" t="n"/>
      <c r="AYV24" s="51" t="n"/>
      <c r="AYW24" s="51" t="n"/>
      <c r="AYX24" s="51" t="n"/>
      <c r="AYY24" s="51" t="n"/>
      <c r="AYZ24" s="51" t="n"/>
      <c r="AZA24" s="51" t="n"/>
      <c r="AZB24" s="51" t="n"/>
      <c r="AZC24" s="51" t="n"/>
      <c r="AZD24" s="51" t="n"/>
      <c r="AZE24" s="51" t="n"/>
      <c r="AZF24" s="51" t="n"/>
      <c r="AZG24" s="51" t="n"/>
      <c r="AZH24" s="51" t="n"/>
      <c r="AZI24" s="51" t="n"/>
      <c r="AZJ24" s="51" t="n"/>
      <c r="AZK24" s="51" t="n"/>
      <c r="AZL24" s="51" t="n"/>
      <c r="AZM24" s="51" t="n"/>
      <c r="AZN24" s="51" t="n"/>
      <c r="AZO24" s="51" t="n"/>
      <c r="AZP24" s="51" t="n"/>
      <c r="AZQ24" s="51" t="n"/>
      <c r="AZR24" s="51" t="n"/>
      <c r="AZS24" s="51" t="n"/>
      <c r="AZT24" s="51" t="n"/>
      <c r="AZU24" s="51" t="n"/>
      <c r="AZV24" s="51" t="n"/>
      <c r="AZW24" s="51" t="n"/>
      <c r="AZX24" s="51" t="n"/>
      <c r="AZY24" s="51" t="n"/>
      <c r="AZZ24" s="51" t="n"/>
      <c r="BAA24" s="51" t="n"/>
      <c r="BAB24" s="51" t="n"/>
      <c r="BAC24" s="51" t="n"/>
      <c r="BAD24" s="51" t="n"/>
      <c r="BAE24" s="51" t="n"/>
      <c r="BAF24" s="51" t="n"/>
      <c r="BAG24" s="51" t="n"/>
      <c r="BAH24" s="51" t="n"/>
      <c r="BAI24" s="51" t="n"/>
      <c r="BAJ24" s="51" t="n"/>
      <c r="BAK24" s="51" t="n"/>
      <c r="BAL24" s="51" t="n"/>
      <c r="BAM24" s="51" t="n"/>
      <c r="BAN24" s="51" t="n"/>
      <c r="BAO24" s="51" t="n"/>
      <c r="BAP24" s="51" t="n"/>
      <c r="BAQ24" s="51" t="n"/>
      <c r="BAR24" s="51" t="n"/>
      <c r="BAS24" s="51" t="n"/>
      <c r="BAT24" s="51" t="n"/>
      <c r="BAU24" s="51" t="n"/>
      <c r="BAV24" s="51" t="n"/>
      <c r="BAW24" s="51" t="n"/>
      <c r="BAX24" s="51" t="n"/>
      <c r="BAY24" s="51" t="n"/>
      <c r="BAZ24" s="51" t="n"/>
      <c r="BBA24" s="51" t="n"/>
      <c r="BBB24" s="51" t="n"/>
      <c r="BBC24" s="51" t="n"/>
      <c r="BBD24" s="51" t="n"/>
      <c r="BBE24" s="51" t="n"/>
      <c r="BBF24" s="51" t="n"/>
      <c r="BBG24" s="51" t="n"/>
      <c r="BBH24" s="51" t="n"/>
      <c r="BBI24" s="51" t="n"/>
      <c r="BBJ24" s="51" t="n"/>
      <c r="BBK24" s="51" t="n"/>
      <c r="BBL24" s="51" t="n"/>
      <c r="BBM24" s="51" t="n"/>
      <c r="BBN24" s="51" t="n"/>
      <c r="BBO24" s="51" t="n"/>
      <c r="BBP24" s="51" t="n"/>
    </row>
    <row r="25" ht="14.25" customHeight="1">
      <c r="A25" s="22">
        <f>A24+1</f>
        <v/>
      </c>
      <c r="B25" s="103" t="inlineStr">
        <is>
          <t>BEARING 608  ZZ</t>
        </is>
      </c>
      <c r="C25" s="29" t="inlineStr">
        <is>
          <t>Pcs</t>
        </is>
      </c>
      <c r="D25" s="26">
        <f>'Week  1'!U25</f>
        <v/>
      </c>
      <c r="E25" s="124" t="n"/>
      <c r="F25" s="62" t="n"/>
      <c r="G25" s="25" t="n"/>
      <c r="H25" s="56" t="n"/>
      <c r="I25" s="19" t="n"/>
      <c r="J25" s="64" t="n"/>
      <c r="K25" s="18" t="n"/>
      <c r="L25" s="73" t="n"/>
      <c r="M25" s="73" t="n"/>
      <c r="N25" s="73" t="n"/>
      <c r="O25" s="19" t="n"/>
      <c r="P25" s="18" t="n"/>
      <c r="Q25" s="18" t="n"/>
      <c r="R25" s="73" t="n"/>
      <c r="S25" s="18" t="n"/>
      <c r="T25" s="18" t="n"/>
      <c r="U25" s="26">
        <f>D25+F25+-(H25+J25+L25+N25+P25+R25+T25)</f>
        <v/>
      </c>
      <c r="V25" t="inlineStr">
        <is>
          <t>MECHANICAL</t>
        </is>
      </c>
    </row>
    <row r="26" ht="15" customHeight="1">
      <c r="A26" s="22">
        <f>A25+1</f>
        <v/>
      </c>
      <c r="B26" s="127" t="inlineStr">
        <is>
          <t>Bearing 6202-2Z, SKF</t>
        </is>
      </c>
      <c r="C26" s="123" t="inlineStr">
        <is>
          <t>PCS</t>
        </is>
      </c>
      <c r="D26" s="26">
        <f>'Week  1'!U26</f>
        <v/>
      </c>
      <c r="E26" s="125" t="n"/>
      <c r="F26" s="55" t="n"/>
      <c r="G26" s="52" t="n"/>
      <c r="H26" s="55" t="n"/>
      <c r="I26" s="71" t="n"/>
      <c r="J26" s="55" t="n"/>
      <c r="K26" s="18" t="n"/>
      <c r="L26" s="73" t="n"/>
      <c r="M26" s="73" t="n"/>
      <c r="N26" s="73" t="n"/>
      <c r="O26" s="19" t="n"/>
      <c r="P26" s="18" t="n"/>
      <c r="Q26" s="18" t="n"/>
      <c r="R26" s="73" t="n"/>
      <c r="S26" s="18" t="n"/>
      <c r="T26" s="18" t="n"/>
      <c r="U26" s="26">
        <f>D26+F26+-(H26+J26+L26+N26+P26+R26+T26)</f>
        <v/>
      </c>
      <c r="V26" t="inlineStr">
        <is>
          <t>MECHANICAL</t>
        </is>
      </c>
    </row>
    <row r="27" ht="14.25" customHeight="1">
      <c r="A27" s="22">
        <f>A26+1</f>
        <v/>
      </c>
      <c r="B27" s="79" t="inlineStr">
        <is>
          <t>BEARING 6203 ZZ</t>
        </is>
      </c>
      <c r="C27" s="29" t="inlineStr">
        <is>
          <t>Pcs</t>
        </is>
      </c>
      <c r="D27" s="26">
        <f>'Week  1'!U27</f>
        <v/>
      </c>
      <c r="E27" s="124" t="n"/>
      <c r="F27" s="62" t="n"/>
      <c r="G27" s="25" t="n"/>
      <c r="H27" s="56" t="n"/>
      <c r="I27" s="19" t="n"/>
      <c r="J27" s="64" t="n"/>
      <c r="K27" s="18" t="n"/>
      <c r="L27" s="73" t="n"/>
      <c r="M27" s="73" t="n"/>
      <c r="N27" s="73" t="n"/>
      <c r="O27" s="19" t="n"/>
      <c r="P27" s="18" t="n"/>
      <c r="Q27" s="18" t="n"/>
      <c r="R27" s="73" t="n"/>
      <c r="S27" s="18" t="n"/>
      <c r="T27" s="18" t="n"/>
      <c r="U27" s="26">
        <f>D27+F27+-(H27+J27+L27+N27+P27+R27+T27)</f>
        <v/>
      </c>
      <c r="V27" t="inlineStr">
        <is>
          <t>MECHANICAL</t>
        </is>
      </c>
    </row>
    <row r="28" ht="14.25" customHeight="1">
      <c r="A28" s="22">
        <f>A27+1</f>
        <v/>
      </c>
      <c r="B28" s="79" t="inlineStr">
        <is>
          <t>Bearing 6303</t>
        </is>
      </c>
      <c r="C28" s="29" t="inlineStr">
        <is>
          <t>Pcs</t>
        </is>
      </c>
      <c r="D28" s="26">
        <f>'Week  1'!U28</f>
        <v/>
      </c>
      <c r="E28" s="125" t="n"/>
      <c r="F28" s="55" t="n"/>
      <c r="G28" s="52" t="n"/>
      <c r="H28" s="55" t="n"/>
      <c r="I28" s="71" t="n"/>
      <c r="J28" s="55" t="n"/>
      <c r="K28" s="18" t="n"/>
      <c r="L28" s="73" t="n"/>
      <c r="M28" s="73" t="n"/>
      <c r="N28" s="73" t="n"/>
      <c r="O28" s="19" t="n"/>
      <c r="P28" s="18" t="n"/>
      <c r="Q28" s="18" t="n"/>
      <c r="R28" s="73" t="n"/>
      <c r="S28" s="18" t="n"/>
      <c r="T28" s="18" t="n"/>
      <c r="U28" s="26">
        <f>D28+F28+-(H28+J28+L28+N28+P28+R28+T28)</f>
        <v/>
      </c>
      <c r="V28" t="inlineStr">
        <is>
          <t>MECHANICAL</t>
        </is>
      </c>
    </row>
    <row r="29" ht="15" customHeight="1">
      <c r="A29" s="22">
        <f>A28+1</f>
        <v/>
      </c>
      <c r="B29" s="122" t="inlineStr">
        <is>
          <t>Bearing 6304 ZZ</t>
        </is>
      </c>
      <c r="C29" s="123" t="inlineStr">
        <is>
          <t>PCS</t>
        </is>
      </c>
      <c r="D29" s="26">
        <f>'Week  1'!U29</f>
        <v/>
      </c>
      <c r="E29" s="124" t="n"/>
      <c r="F29" s="62" t="n"/>
      <c r="G29" s="25" t="n"/>
      <c r="H29" s="56" t="n"/>
      <c r="I29" s="19" t="n"/>
      <c r="J29" s="64" t="n"/>
      <c r="K29" s="18" t="n"/>
      <c r="L29" s="73" t="n"/>
      <c r="M29" s="73" t="n"/>
      <c r="N29" s="73" t="n"/>
      <c r="O29" s="19" t="n"/>
      <c r="P29" s="18" t="n"/>
      <c r="Q29" s="18" t="n"/>
      <c r="R29" s="73" t="n"/>
      <c r="S29" s="18" t="n"/>
      <c r="T29" s="18" t="n"/>
      <c r="U29" s="26">
        <f>D29+F29+-(H29+J29+L29+N29+P29+R29+T29)</f>
        <v/>
      </c>
      <c r="V29" t="inlineStr">
        <is>
          <t>MECHANICAL</t>
        </is>
      </c>
    </row>
    <row r="30" ht="15" customHeight="1">
      <c r="A30" s="22">
        <f>A29+1</f>
        <v/>
      </c>
      <c r="B30" s="128" t="inlineStr">
        <is>
          <t>Bearing 6305 SKF</t>
        </is>
      </c>
      <c r="C30" s="123" t="inlineStr">
        <is>
          <t>PCS</t>
        </is>
      </c>
      <c r="D30" s="26">
        <f>'Week  1'!U30</f>
        <v/>
      </c>
      <c r="E30" s="125" t="n"/>
      <c r="F30" s="55" t="n"/>
      <c r="G30" s="52" t="n"/>
      <c r="H30" s="55" t="n"/>
      <c r="I30" s="71" t="n"/>
      <c r="J30" s="55" t="n"/>
      <c r="K30" s="18" t="n"/>
      <c r="L30" s="73" t="n"/>
      <c r="M30" s="73" t="n"/>
      <c r="N30" s="73" t="n"/>
      <c r="O30" s="19" t="n"/>
      <c r="P30" s="18" t="n"/>
      <c r="Q30" s="18" t="n"/>
      <c r="R30" s="73" t="n"/>
      <c r="S30" s="18" t="n"/>
      <c r="T30" s="18" t="n"/>
      <c r="U30" s="26">
        <f>D30+F30+-(H30+J30+L30+N30+P30+R30+T30)</f>
        <v/>
      </c>
      <c r="V30" t="inlineStr">
        <is>
          <t>MECHANICAL</t>
        </is>
      </c>
    </row>
    <row r="31" ht="15" customHeight="1">
      <c r="A31" s="22">
        <f>A30+1</f>
        <v/>
      </c>
      <c r="B31" s="30" t="inlineStr">
        <is>
          <t>Bearing SKF 6306 ZZ</t>
        </is>
      </c>
      <c r="C31" s="123" t="inlineStr">
        <is>
          <t>PCS</t>
        </is>
      </c>
      <c r="D31" s="26">
        <f>'Week  1'!U31</f>
        <v/>
      </c>
      <c r="E31" s="124" t="n"/>
      <c r="F31" s="62" t="n"/>
      <c r="G31" s="25" t="n"/>
      <c r="H31" s="56" t="n"/>
      <c r="I31" s="19" t="n"/>
      <c r="J31" s="64" t="n"/>
      <c r="K31" s="18" t="n"/>
      <c r="L31" s="73" t="n"/>
      <c r="M31" s="73" t="n"/>
      <c r="N31" s="73" t="n"/>
      <c r="O31" s="19" t="n"/>
      <c r="P31" s="18" t="n"/>
      <c r="Q31" s="18" t="n"/>
      <c r="R31" s="73" t="n"/>
      <c r="S31" s="18" t="n"/>
      <c r="T31" s="18" t="n"/>
      <c r="U31" s="26">
        <f>D31+F31+-(H31+J31+L31+N31+P31+R31+T31)</f>
        <v/>
      </c>
      <c r="V31" t="inlineStr">
        <is>
          <t>MECHANICAL</t>
        </is>
      </c>
    </row>
    <row r="32" ht="15" customHeight="1">
      <c r="A32" s="22">
        <f>A31+1</f>
        <v/>
      </c>
      <c r="B32" s="30" t="inlineStr">
        <is>
          <t>Bearing SKF 6307 ZZ</t>
        </is>
      </c>
      <c r="C32" s="123" t="inlineStr">
        <is>
          <t>PCS</t>
        </is>
      </c>
      <c r="D32" s="26">
        <f>'Week  1'!U32</f>
        <v/>
      </c>
      <c r="E32" s="125" t="n"/>
      <c r="F32" s="55" t="n"/>
      <c r="G32" s="25" t="n"/>
      <c r="H32" s="56" t="n"/>
      <c r="I32" s="71" t="n"/>
      <c r="J32" s="55" t="n"/>
      <c r="K32" s="18" t="n"/>
      <c r="L32" s="73" t="n"/>
      <c r="M32" s="73" t="n"/>
      <c r="N32" s="73" t="n"/>
      <c r="O32" s="19" t="n"/>
      <c r="P32" s="18" t="n"/>
      <c r="Q32" s="18" t="n"/>
      <c r="R32" s="73" t="n"/>
      <c r="S32" s="18" t="n"/>
      <c r="T32" s="18" t="n"/>
      <c r="U32" s="26">
        <f>D32+F32+-(H32+J32+L32+N32+P32+R32+T32)</f>
        <v/>
      </c>
      <c r="V32" t="inlineStr">
        <is>
          <t>MECHANICAL</t>
        </is>
      </c>
    </row>
    <row r="33" ht="15" customHeight="1">
      <c r="A33" s="22">
        <f>A32+1</f>
        <v/>
      </c>
      <c r="B33" s="30" t="inlineStr">
        <is>
          <t>Bearing SKF 6309 / C3</t>
        </is>
      </c>
      <c r="C33" s="123" t="inlineStr">
        <is>
          <t>PCS</t>
        </is>
      </c>
      <c r="D33" s="26">
        <f>'Week  1'!U33</f>
        <v/>
      </c>
      <c r="E33" s="124" t="n"/>
      <c r="F33" s="62" t="n"/>
      <c r="G33" s="25" t="n"/>
      <c r="H33" s="56" t="n"/>
      <c r="I33" s="19" t="n"/>
      <c r="J33" s="64" t="n"/>
      <c r="K33" s="18" t="n"/>
      <c r="L33" s="73" t="n"/>
      <c r="M33" s="73" t="n"/>
      <c r="N33" s="73" t="n"/>
      <c r="O33" s="19" t="n"/>
      <c r="P33" s="18" t="n"/>
      <c r="Q33" s="18" t="n"/>
      <c r="R33" s="73" t="n"/>
      <c r="S33" s="18" t="n"/>
      <c r="T33" s="18" t="n"/>
      <c r="U33" s="26">
        <f>D33+F33+-(H33+J33+L33+N33+P33+R33+T33)</f>
        <v/>
      </c>
      <c r="V33" t="inlineStr">
        <is>
          <t>MECHANICAL</t>
        </is>
      </c>
    </row>
    <row r="34" ht="15" customHeight="1">
      <c r="A34" s="22">
        <f>A33+1</f>
        <v/>
      </c>
      <c r="B34" s="122" t="inlineStr">
        <is>
          <t>Bearing SKF 63305 ZZ</t>
        </is>
      </c>
      <c r="C34" s="123" t="inlineStr">
        <is>
          <t>PCS</t>
        </is>
      </c>
      <c r="D34" s="26">
        <f>'Week  1'!U34</f>
        <v/>
      </c>
      <c r="E34" s="125" t="n"/>
      <c r="F34" s="55" t="n"/>
      <c r="G34" s="52" t="n"/>
      <c r="H34" s="55" t="n"/>
      <c r="I34" s="71" t="n"/>
      <c r="J34" s="55" t="n"/>
      <c r="K34" s="18" t="n"/>
      <c r="L34" s="73" t="n"/>
      <c r="M34" s="73" t="n"/>
      <c r="N34" s="73" t="n"/>
      <c r="O34" s="19" t="n"/>
      <c r="P34" s="18" t="n"/>
      <c r="Q34" s="18" t="n"/>
      <c r="R34" s="73" t="n"/>
      <c r="S34" s="18" t="n"/>
      <c r="T34" s="18" t="n"/>
      <c r="U34" s="26">
        <f>D34+F34+-(H34+J34+L34+N34+P34+R34+T34)</f>
        <v/>
      </c>
      <c r="V34" t="inlineStr">
        <is>
          <t>MECHANICAL</t>
        </is>
      </c>
    </row>
    <row r="35" ht="15" customHeight="1">
      <c r="A35" s="22">
        <f>A34+1</f>
        <v/>
      </c>
      <c r="B35" s="122" t="inlineStr">
        <is>
          <t>Bearing SKF 6309 C3</t>
        </is>
      </c>
      <c r="C35" s="123" t="inlineStr">
        <is>
          <t>PCS</t>
        </is>
      </c>
      <c r="D35" s="26">
        <f>'Week  1'!U35</f>
        <v/>
      </c>
      <c r="E35" s="124" t="n"/>
      <c r="F35" s="62" t="n"/>
      <c r="G35" s="25" t="n"/>
      <c r="H35" s="56" t="n"/>
      <c r="I35" s="19" t="n"/>
      <c r="J35" s="64" t="n"/>
      <c r="K35" s="18" t="n"/>
      <c r="L35" s="73" t="n"/>
      <c r="M35" s="73" t="n"/>
      <c r="N35" s="73" t="n"/>
      <c r="O35" s="19" t="n"/>
      <c r="P35" s="18" t="n"/>
      <c r="Q35" s="18" t="n"/>
      <c r="R35" s="73" t="n"/>
      <c r="S35" s="18" t="n"/>
      <c r="T35" s="18" t="n"/>
      <c r="U35" s="26">
        <f>D35+F35+-(H35+J35+L35+N35+P35+R35+T35)</f>
        <v/>
      </c>
      <c r="V35" t="inlineStr">
        <is>
          <t>MECHANICAL</t>
        </is>
      </c>
    </row>
    <row r="36" ht="30" customHeight="1">
      <c r="A36" s="22">
        <f>A35+1</f>
        <v/>
      </c>
      <c r="B36" s="122" t="inlineStr">
        <is>
          <t xml:space="preserve">Bulb Lamp 25 W, A 35  Clear Philips,  </t>
        </is>
      </c>
      <c r="C36" s="123" t="inlineStr">
        <is>
          <t>PCS</t>
        </is>
      </c>
      <c r="D36" s="26">
        <f>'Week  1'!U36</f>
        <v/>
      </c>
      <c r="E36" s="125" t="n"/>
      <c r="F36" s="55" t="n"/>
      <c r="G36" s="52" t="n"/>
      <c r="H36" s="55" t="n"/>
      <c r="I36" s="71" t="n"/>
      <c r="J36" s="55" t="n"/>
      <c r="K36" s="18" t="n"/>
      <c r="L36" s="73" t="n"/>
      <c r="M36" s="73" t="n"/>
      <c r="N36" s="73" t="n"/>
      <c r="O36" s="19" t="n"/>
      <c r="P36" s="18" t="n"/>
      <c r="Q36" s="18" t="n"/>
      <c r="R36" s="73" t="n"/>
      <c r="S36" s="18" t="n"/>
      <c r="T36" s="18" t="n"/>
      <c r="U36" s="26">
        <f>D36+F36+-(H36+J36+L36+N36+P36+R36+T36)</f>
        <v/>
      </c>
      <c r="V36" t="inlineStr">
        <is>
          <t>LAMP</t>
        </is>
      </c>
    </row>
    <row r="37" ht="30" customHeight="1">
      <c r="A37" s="22">
        <f>A36+1</f>
        <v/>
      </c>
      <c r="B37" s="122" t="inlineStr">
        <is>
          <t>Bulb Lamp 40 W, B 35  Clear Philips,  E 14 ( cooker hood )</t>
        </is>
      </c>
      <c r="C37" s="123" t="inlineStr">
        <is>
          <t>PCS</t>
        </is>
      </c>
      <c r="D37" s="26">
        <f>'Week  1'!U37</f>
        <v/>
      </c>
      <c r="E37" s="124" t="n"/>
      <c r="F37" s="62" t="n"/>
      <c r="G37" s="25" t="n"/>
      <c r="H37" s="56" t="n"/>
      <c r="I37" s="19" t="n"/>
      <c r="J37" s="64" t="n"/>
      <c r="K37" s="19" t="n"/>
      <c r="L37" s="73" t="n"/>
      <c r="M37" s="73" t="n"/>
      <c r="N37" s="73" t="n"/>
      <c r="O37" s="19" t="n"/>
      <c r="P37" s="18" t="n"/>
      <c r="Q37" s="18" t="n"/>
      <c r="R37" s="73" t="n"/>
      <c r="S37" s="18" t="n"/>
      <c r="T37" s="18" t="n"/>
      <c r="U37" s="26">
        <f>D37+F37+-(H37+J37+L37+N37+P37+R37+T37)</f>
        <v/>
      </c>
      <c r="V37" t="inlineStr">
        <is>
          <t>LAMP</t>
        </is>
      </c>
    </row>
    <row r="38" ht="15" customHeight="1">
      <c r="A38" s="22">
        <f>A37+1</f>
        <v/>
      </c>
      <c r="B38" s="51" t="inlineStr">
        <is>
          <t xml:space="preserve">Capacitor 2,5µf + 2 µf </t>
        </is>
      </c>
      <c r="C38" s="123" t="inlineStr">
        <is>
          <t>PCS</t>
        </is>
      </c>
      <c r="D38" s="26">
        <f>'Week  1'!U38</f>
        <v/>
      </c>
      <c r="E38" s="125" t="n"/>
      <c r="F38" s="55" t="n"/>
      <c r="G38" s="52" t="n"/>
      <c r="H38" s="55" t="n"/>
      <c r="I38" s="71" t="n"/>
      <c r="J38" s="55" t="n"/>
      <c r="K38" s="18" t="n"/>
      <c r="L38" s="73" t="n"/>
      <c r="M38" s="73" t="n"/>
      <c r="N38" s="73" t="n"/>
      <c r="O38" s="19" t="n"/>
      <c r="P38" s="18" t="n"/>
      <c r="Q38" s="18" t="n"/>
      <c r="R38" s="73" t="n"/>
      <c r="S38" s="18" t="n"/>
      <c r="T38" s="18" t="n"/>
      <c r="U38" s="26">
        <f>D38+F38+-(H38+J38+L38+N38+P38+R38+T38)</f>
        <v/>
      </c>
      <c r="V38" t="inlineStr">
        <is>
          <t>ELECTRICAL</t>
        </is>
      </c>
    </row>
    <row r="39" ht="15" customHeight="1">
      <c r="A39" s="22">
        <f>A38+1</f>
        <v/>
      </c>
      <c r="B39" s="122" t="inlineStr">
        <is>
          <t>Capacitor 30µf</t>
        </is>
      </c>
      <c r="C39" s="123" t="inlineStr">
        <is>
          <t>PCS</t>
        </is>
      </c>
      <c r="D39" s="26">
        <f>'Week  1'!U39</f>
        <v/>
      </c>
      <c r="E39" s="124" t="n"/>
      <c r="F39" s="62" t="n"/>
      <c r="G39" s="25" t="n"/>
      <c r="H39" s="56" t="n"/>
      <c r="I39" s="19" t="n"/>
      <c r="J39" s="64" t="n"/>
      <c r="K39" s="18" t="n"/>
      <c r="L39" s="73" t="n"/>
      <c r="M39" s="73" t="n"/>
      <c r="N39" s="73" t="n"/>
      <c r="O39" s="19" t="n"/>
      <c r="P39" s="18" t="n"/>
      <c r="Q39" s="18" t="n"/>
      <c r="R39" s="73" t="n"/>
      <c r="S39" s="18" t="n"/>
      <c r="T39" s="18" t="n"/>
      <c r="U39" s="26">
        <f>D39+F39+-(H39+J39+L39+N39+P39+R39+T39)</f>
        <v/>
      </c>
      <c r="V39" t="inlineStr">
        <is>
          <t>AC</t>
        </is>
      </c>
    </row>
    <row r="40" ht="15" customHeight="1">
      <c r="A40" s="22">
        <f>A39+1</f>
        <v/>
      </c>
      <c r="B40" s="122" t="inlineStr">
        <is>
          <t>Capacitor 40µf</t>
        </is>
      </c>
      <c r="C40" s="123" t="inlineStr">
        <is>
          <t>PCS</t>
        </is>
      </c>
      <c r="D40" s="26">
        <f>'Week  1'!U40</f>
        <v/>
      </c>
      <c r="E40" s="125" t="n"/>
      <c r="F40" s="55" t="n"/>
      <c r="G40" s="52" t="n"/>
      <c r="H40" s="55" t="n"/>
      <c r="I40" s="71" t="n"/>
      <c r="J40" s="55" t="n"/>
      <c r="K40" s="18" t="n"/>
      <c r="L40" s="73" t="n"/>
      <c r="M40" s="73" t="n"/>
      <c r="N40" s="73" t="n"/>
      <c r="O40" s="19" t="n"/>
      <c r="P40" s="18" t="n"/>
      <c r="Q40" s="18" t="n"/>
      <c r="R40" s="73" t="n"/>
      <c r="S40" s="18" t="n"/>
      <c r="T40" s="18" t="n"/>
      <c r="U40" s="26">
        <f>D40+F40+-(H40+J40+L40+N40+P40+R40+T40)</f>
        <v/>
      </c>
      <c r="V40" t="inlineStr">
        <is>
          <t>AC</t>
        </is>
      </c>
    </row>
    <row r="41" ht="12.75" customHeight="1">
      <c r="A41" s="22">
        <f>A40+1</f>
        <v/>
      </c>
      <c r="B41" s="122" t="inlineStr">
        <is>
          <t>Capacitor 35µf</t>
        </is>
      </c>
      <c r="C41" s="123" t="inlineStr">
        <is>
          <t>PCS</t>
        </is>
      </c>
      <c r="D41" s="26">
        <f>'Week  1'!U41</f>
        <v/>
      </c>
      <c r="E41" s="124" t="n"/>
      <c r="F41" s="62" t="n"/>
      <c r="G41" s="25" t="n"/>
      <c r="H41" s="56" t="n"/>
      <c r="I41" s="19" t="n"/>
      <c r="J41" s="64" t="n"/>
      <c r="K41" s="18" t="n"/>
      <c r="L41" s="73" t="n"/>
      <c r="M41" s="73" t="n"/>
      <c r="N41" s="73" t="n"/>
      <c r="O41" s="19" t="n"/>
      <c r="P41" s="18" t="n"/>
      <c r="Q41" s="18" t="n"/>
      <c r="R41" s="73" t="n"/>
      <c r="S41" s="18" t="n"/>
      <c r="T41" s="18" t="n"/>
      <c r="U41" s="26">
        <f>D41+F41+-(H41+J41+L41+N41+P41+R41+T41)</f>
        <v/>
      </c>
      <c r="V41" t="inlineStr">
        <is>
          <t>AC</t>
        </is>
      </c>
    </row>
    <row r="42" ht="15" customHeight="1">
      <c r="A42" s="22">
        <f>A41+1</f>
        <v/>
      </c>
      <c r="B42" s="122" t="inlineStr">
        <is>
          <t>Capacitor 50 µf</t>
        </is>
      </c>
      <c r="C42" s="123" t="inlineStr">
        <is>
          <t>PCS</t>
        </is>
      </c>
      <c r="D42" s="26">
        <f>'Week  1'!U42</f>
        <v/>
      </c>
      <c r="E42" s="125" t="n"/>
      <c r="F42" s="55" t="n"/>
      <c r="G42" s="52" t="n"/>
      <c r="H42" s="55" t="n"/>
      <c r="I42" s="71" t="n"/>
      <c r="J42" s="55" t="n"/>
      <c r="K42" s="18" t="n"/>
      <c r="L42" s="73" t="n"/>
      <c r="M42" s="73" t="n"/>
      <c r="N42" s="73" t="n"/>
      <c r="O42" s="19" t="n"/>
      <c r="P42" s="18" t="n"/>
      <c r="Q42" s="18" t="n"/>
      <c r="R42" s="73" t="n"/>
      <c r="S42" s="18" t="n"/>
      <c r="T42" s="18" t="n"/>
      <c r="U42" s="26">
        <f>D42+F42+-(H42+J42+L42+N42+P42+R42+T42)</f>
        <v/>
      </c>
      <c r="V42" t="inlineStr">
        <is>
          <t>AC</t>
        </is>
      </c>
    </row>
    <row r="43" ht="15" customHeight="1">
      <c r="A43" s="22">
        <f>A42+1</f>
        <v/>
      </c>
      <c r="B43" s="122" t="inlineStr">
        <is>
          <t>Capacitor AC 25 µf</t>
        </is>
      </c>
      <c r="C43" s="123" t="inlineStr">
        <is>
          <t>PCS</t>
        </is>
      </c>
      <c r="D43" s="26">
        <f>'Week  1'!U43</f>
        <v/>
      </c>
      <c r="E43" s="124" t="n"/>
      <c r="F43" s="62" t="n"/>
      <c r="G43" s="25" t="n"/>
      <c r="H43" s="56" t="n"/>
      <c r="I43" s="19" t="n"/>
      <c r="J43" s="64" t="n"/>
      <c r="K43" s="18" t="n"/>
      <c r="L43" s="73" t="n"/>
      <c r="M43" s="73" t="n"/>
      <c r="N43" s="73" t="n"/>
      <c r="O43" s="19" t="n"/>
      <c r="P43" s="18" t="n"/>
      <c r="Q43" s="18" t="n"/>
      <c r="R43" s="73" t="n"/>
      <c r="S43" s="18" t="n"/>
      <c r="T43" s="18" t="n"/>
      <c r="U43" s="26">
        <f>D43+F43+-(H43+J43+L43+N43+P43+R43+T43)</f>
        <v/>
      </c>
      <c r="V43" t="inlineStr">
        <is>
          <t>AC</t>
        </is>
      </c>
    </row>
    <row r="44" ht="15" customHeight="1">
      <c r="A44" s="22">
        <f>A43+1</f>
        <v/>
      </c>
      <c r="B44" s="127" t="inlineStr">
        <is>
          <t>Capacitor Ceiling Fan 5 Cable</t>
        </is>
      </c>
      <c r="C44" s="123" t="inlineStr">
        <is>
          <t>PCS</t>
        </is>
      </c>
      <c r="D44" s="26">
        <f>'Week  1'!U44</f>
        <v/>
      </c>
      <c r="E44" s="125" t="n"/>
      <c r="F44" s="55" t="n"/>
      <c r="G44" s="52" t="n"/>
      <c r="H44" s="55" t="n"/>
      <c r="I44" s="71" t="n"/>
      <c r="J44" s="55" t="n"/>
      <c r="K44" s="18" t="n"/>
      <c r="L44" s="73" t="n"/>
      <c r="M44" s="73" t="n"/>
      <c r="N44" s="73" t="n"/>
      <c r="O44" s="19" t="n"/>
      <c r="P44" s="18" t="n"/>
      <c r="Q44" s="18" t="n"/>
      <c r="R44" s="73" t="n"/>
      <c r="S44" s="18" t="n"/>
      <c r="T44" s="18" t="n"/>
      <c r="U44" s="26">
        <f>D44+F44+-(H44+J44+L44+N44+P44+R44+T44)</f>
        <v/>
      </c>
      <c r="V44" t="inlineStr">
        <is>
          <t>ELECTRICAL</t>
        </is>
      </c>
    </row>
    <row r="45" ht="15" customHeight="1">
      <c r="A45" s="22">
        <f>A44+1</f>
        <v/>
      </c>
      <c r="B45" s="127" t="inlineStr">
        <is>
          <t>Capacitor Washing Machine 12 µf</t>
        </is>
      </c>
      <c r="C45" s="123" t="inlineStr">
        <is>
          <t>PCS</t>
        </is>
      </c>
      <c r="D45" s="26">
        <f>'Week  1'!U45</f>
        <v/>
      </c>
      <c r="E45" s="124" t="n"/>
      <c r="F45" s="62" t="n"/>
      <c r="G45" s="25" t="n"/>
      <c r="H45" s="56" t="n"/>
      <c r="I45" s="19" t="n"/>
      <c r="J45" s="64" t="n"/>
      <c r="K45" s="18" t="n"/>
      <c r="L45" s="73" t="n"/>
      <c r="M45" s="73" t="n"/>
      <c r="N45" s="73" t="n"/>
      <c r="O45" s="19" t="n"/>
      <c r="P45" s="18" t="n"/>
      <c r="Q45" s="18" t="n"/>
      <c r="R45" s="73" t="n"/>
      <c r="S45" s="18" t="n"/>
      <c r="T45" s="18" t="n"/>
      <c r="U45" s="26">
        <f>D45+F45+-(H45+J45+L45+N45+P45+R45+T45)</f>
        <v/>
      </c>
      <c r="V45" t="inlineStr">
        <is>
          <t>ELECTRICAL</t>
        </is>
      </c>
    </row>
    <row r="46" ht="15" customHeight="1">
      <c r="A46" s="22">
        <f>A45+1</f>
        <v/>
      </c>
      <c r="B46" s="122" t="inlineStr">
        <is>
          <t>Capacitor 60 µf</t>
        </is>
      </c>
      <c r="C46" s="123" t="inlineStr">
        <is>
          <t>PCS</t>
        </is>
      </c>
      <c r="D46" s="26">
        <f>'Week  1'!U46</f>
        <v/>
      </c>
      <c r="E46" s="125" t="n"/>
      <c r="F46" s="55" t="n"/>
      <c r="G46" s="52" t="n"/>
      <c r="H46" s="55" t="n"/>
      <c r="I46" s="71" t="n"/>
      <c r="J46" s="55" t="n"/>
      <c r="K46" s="18" t="n"/>
      <c r="L46" s="73" t="n"/>
      <c r="M46" s="73" t="n"/>
      <c r="N46" s="73" t="n"/>
      <c r="O46" s="19" t="n"/>
      <c r="P46" s="18" t="n"/>
      <c r="Q46" s="18" t="n"/>
      <c r="R46" s="73" t="n"/>
      <c r="S46" s="18" t="n"/>
      <c r="T46" s="18" t="n"/>
      <c r="U46" s="26">
        <f>D46+F46+-(H46+J46+L46+N46+P46+R46+T46)</f>
        <v/>
      </c>
      <c r="V46" t="inlineStr">
        <is>
          <t>AC</t>
        </is>
      </c>
    </row>
    <row r="47" ht="25.5" customHeight="1">
      <c r="A47" s="22">
        <f>A46+1</f>
        <v/>
      </c>
      <c r="B47" s="79" t="inlineStr">
        <is>
          <t>CAT DULUX CATYLAC INVERNES  25KG</t>
        </is>
      </c>
      <c r="C47" s="29" t="inlineStr">
        <is>
          <t>Pail</t>
        </is>
      </c>
      <c r="D47" s="26">
        <f>'Week  1'!U47</f>
        <v/>
      </c>
      <c r="E47" s="124" t="n"/>
      <c r="F47" s="62" t="n"/>
      <c r="G47" s="25" t="n"/>
      <c r="H47" s="69" t="n"/>
      <c r="I47" s="19" t="n"/>
      <c r="J47" s="64" t="n"/>
      <c r="K47" s="18" t="n"/>
      <c r="L47" s="73" t="n"/>
      <c r="M47" s="73" t="n"/>
      <c r="N47" s="73" t="n"/>
      <c r="O47" s="19" t="n"/>
      <c r="P47" s="18" t="n"/>
      <c r="Q47" s="18" t="n"/>
      <c r="R47" s="73" t="n"/>
      <c r="S47" s="18" t="n"/>
      <c r="T47" s="18" t="n"/>
      <c r="U47" s="26">
        <f>D47+F47+-(H47+J47+L47+N47+P47+R47+T47)</f>
        <v/>
      </c>
      <c r="V47" t="inlineStr">
        <is>
          <t>CIVIL</t>
        </is>
      </c>
    </row>
    <row r="48" ht="30" customHeight="1">
      <c r="A48" s="22">
        <f>A47+1</f>
        <v/>
      </c>
      <c r="B48" s="122" t="inlineStr">
        <is>
          <t>CAT DULUX CATYLAC INVERNES 5 KG</t>
        </is>
      </c>
      <c r="C48" s="123" t="inlineStr">
        <is>
          <t>GLN</t>
        </is>
      </c>
      <c r="D48" s="26">
        <f>'Week  1'!U48</f>
        <v/>
      </c>
      <c r="E48" s="125" t="n"/>
      <c r="F48" s="55" t="n"/>
      <c r="G48" s="52" t="n"/>
      <c r="H48" s="55" t="n"/>
      <c r="I48" s="71" t="n"/>
      <c r="J48" s="55" t="n"/>
      <c r="K48" s="18" t="n"/>
      <c r="L48" s="73" t="n"/>
      <c r="M48" s="73" t="n"/>
      <c r="N48" s="73" t="n"/>
      <c r="O48" s="19" t="n"/>
      <c r="P48" s="18" t="n"/>
      <c r="Q48" s="18" t="n"/>
      <c r="R48" s="73" t="n"/>
      <c r="S48" s="18" t="n"/>
      <c r="T48" s="18" t="n"/>
      <c r="U48" s="26">
        <f>D48+F48+-(H48+J48+L48+N48+P48+R48+T48)</f>
        <v/>
      </c>
      <c r="V48" t="inlineStr">
        <is>
          <t>CIVIL</t>
        </is>
      </c>
    </row>
    <row r="49" ht="30" customHeight="1">
      <c r="A49" s="22">
        <f>A48+1</f>
        <v/>
      </c>
      <c r="B49" s="122" t="inlineStr">
        <is>
          <t>CAT DULUX MORNING STAR 2,5 LTR</t>
        </is>
      </c>
      <c r="C49" s="123" t="inlineStr">
        <is>
          <t>GLN</t>
        </is>
      </c>
      <c r="D49" s="26">
        <f>'Week  1'!U49</f>
        <v/>
      </c>
      <c r="E49" s="124" t="n"/>
      <c r="F49" s="62" t="n"/>
      <c r="G49" s="25" t="n"/>
      <c r="H49" s="56" t="n"/>
      <c r="I49" s="19" t="n"/>
      <c r="J49" s="64" t="n"/>
      <c r="K49" s="18" t="n"/>
      <c r="L49" s="73" t="n"/>
      <c r="M49" s="73" t="n"/>
      <c r="N49" s="73" t="n"/>
      <c r="O49" s="19" t="n"/>
      <c r="P49" s="18" t="n"/>
      <c r="Q49" s="18" t="n"/>
      <c r="R49" s="73" t="n"/>
      <c r="S49" s="18" t="n"/>
      <c r="T49" s="18" t="n"/>
      <c r="U49" s="26">
        <f>D49+F49+-(H49+J49+L49+N49+P49+R49+T49)</f>
        <v/>
      </c>
      <c r="V49" t="inlineStr">
        <is>
          <t>CIVIL</t>
        </is>
      </c>
    </row>
    <row r="50" ht="15" customHeight="1">
      <c r="A50" s="22">
        <f>A49+1</f>
        <v/>
      </c>
      <c r="B50" s="122" t="inlineStr">
        <is>
          <t>CAT JAVA EXTERIOR</t>
        </is>
      </c>
      <c r="C50" s="123" t="inlineStr">
        <is>
          <t>PAIL</t>
        </is>
      </c>
      <c r="D50" s="26">
        <f>'Week  1'!U50</f>
        <v/>
      </c>
      <c r="E50" s="125" t="n"/>
      <c r="F50" s="55" t="n"/>
      <c r="G50" s="52" t="n"/>
      <c r="H50" s="55" t="n"/>
      <c r="I50" s="71" t="n"/>
      <c r="J50" s="55" t="n"/>
      <c r="K50" s="18" t="n"/>
      <c r="L50" s="73" t="n"/>
      <c r="M50" s="18" t="n"/>
      <c r="N50" s="73" t="n"/>
      <c r="O50" s="19" t="n"/>
      <c r="P50" s="18" t="n"/>
      <c r="Q50" s="18" t="n"/>
      <c r="R50" s="73" t="n"/>
      <c r="S50" s="18" t="n"/>
      <c r="T50" s="18" t="n"/>
      <c r="U50" s="26">
        <f>D50+F50+-(H50+J50+L50+N50+P50+R50+T50)</f>
        <v/>
      </c>
      <c r="V50" t="inlineStr">
        <is>
          <t>CIVIL</t>
        </is>
      </c>
    </row>
    <row r="51" ht="15" customHeight="1">
      <c r="A51" s="22">
        <f>A50+1</f>
        <v/>
      </c>
      <c r="B51" s="122" t="inlineStr">
        <is>
          <t>CAT JAVA INTERIOR NO. 31</t>
        </is>
      </c>
      <c r="C51" s="123" t="inlineStr">
        <is>
          <t>PAIL</t>
        </is>
      </c>
      <c r="D51" s="26">
        <f>'Week  1'!U51</f>
        <v/>
      </c>
      <c r="E51" s="124" t="n"/>
      <c r="F51" s="62" t="n"/>
      <c r="G51" s="25" t="n"/>
      <c r="H51" s="56" t="n"/>
      <c r="I51" s="19" t="n"/>
      <c r="J51" s="64" t="n"/>
      <c r="K51" s="18" t="n"/>
      <c r="L51" s="73" t="n"/>
      <c r="M51" s="73" t="n"/>
      <c r="N51" s="73" t="n"/>
      <c r="O51" s="19" t="n"/>
      <c r="P51" s="18" t="n"/>
      <c r="Q51" s="18" t="n"/>
      <c r="R51" s="73" t="n"/>
      <c r="S51" s="18" t="n"/>
      <c r="T51" s="18" t="n"/>
      <c r="U51" s="26">
        <f>D51+F51+-(H51+J51+L51+N51+P51+R51+T51)</f>
        <v/>
      </c>
      <c r="V51" t="inlineStr">
        <is>
          <t>CIVIL</t>
        </is>
      </c>
    </row>
    <row r="52" ht="15" customHeight="1">
      <c r="A52" s="22">
        <f>A51+1</f>
        <v/>
      </c>
      <c r="B52" s="122" t="inlineStr">
        <is>
          <t>CAT JAVA INTERIOR NO. 32</t>
        </is>
      </c>
      <c r="C52" s="123" t="inlineStr">
        <is>
          <t>PAIL</t>
        </is>
      </c>
      <c r="D52" s="26">
        <f>'Week  1'!U52</f>
        <v/>
      </c>
      <c r="E52" s="125" t="n"/>
      <c r="F52" s="55" t="n"/>
      <c r="G52" s="52" t="n"/>
      <c r="H52" s="55" t="n"/>
      <c r="I52" s="71" t="n"/>
      <c r="J52" s="55" t="n"/>
      <c r="K52" s="18" t="n"/>
      <c r="L52" s="73" t="n"/>
      <c r="M52" s="73" t="n"/>
      <c r="N52" s="73" t="n"/>
      <c r="O52" s="19" t="n"/>
      <c r="P52" s="18" t="n"/>
      <c r="Q52" s="18" t="n"/>
      <c r="R52" s="73" t="n"/>
      <c r="S52" s="18" t="n"/>
      <c r="T52" s="18" t="n"/>
      <c r="U52" s="26">
        <f>D52+F52+-(H52+J52+L52+N52+P52+R52+T52)</f>
        <v/>
      </c>
      <c r="V52" t="inlineStr">
        <is>
          <t>CIVIL</t>
        </is>
      </c>
    </row>
    <row r="53" ht="24" customHeight="1">
      <c r="A53" s="22">
        <f>A52+1</f>
        <v/>
      </c>
      <c r="B53" s="79" t="inlineStr">
        <is>
          <t>Cat NIPPE 2000 No.012 ( CHAMONIK)</t>
        </is>
      </c>
      <c r="C53" s="29" t="inlineStr">
        <is>
          <t>KG</t>
        </is>
      </c>
      <c r="D53" s="26">
        <f>'Week  1'!U53</f>
        <v/>
      </c>
      <c r="E53" s="124" t="n"/>
      <c r="F53" s="62" t="n"/>
      <c r="G53" s="25" t="n"/>
      <c r="H53" s="69" t="n"/>
      <c r="I53" s="19" t="n"/>
      <c r="J53" s="64" t="n"/>
      <c r="K53" s="25" t="n"/>
      <c r="L53" s="56" t="n"/>
      <c r="M53" s="73" t="n"/>
      <c r="N53" s="73" t="n"/>
      <c r="O53" s="19" t="n"/>
      <c r="P53" s="18" t="n"/>
      <c r="Q53" s="18" t="n"/>
      <c r="R53" s="73" t="n"/>
      <c r="S53" s="18" t="n"/>
      <c r="T53" s="18" t="n"/>
      <c r="U53" s="26">
        <f>D53+F53+-(H53+J53+L53+N53+P53+R53+T53)</f>
        <v/>
      </c>
      <c r="V53" t="inlineStr">
        <is>
          <t>CIVIL</t>
        </is>
      </c>
    </row>
    <row r="54" ht="24" customHeight="1">
      <c r="A54" s="22">
        <f>A53+1</f>
        <v/>
      </c>
      <c r="B54" s="104" t="inlineStr">
        <is>
          <t>Cat Pylox Hitam</t>
        </is>
      </c>
      <c r="C54" s="29" t="inlineStr">
        <is>
          <t>Btl</t>
        </is>
      </c>
      <c r="D54" s="26">
        <f>'Week  1'!U54</f>
        <v/>
      </c>
      <c r="E54" s="125" t="n"/>
      <c r="F54" s="55" t="n"/>
      <c r="G54" s="52" t="n"/>
      <c r="H54" s="55" t="n"/>
      <c r="I54" s="71" t="n"/>
      <c r="J54" s="55" t="n"/>
      <c r="K54" s="18" t="n"/>
      <c r="L54" s="73" t="n"/>
      <c r="M54" s="73" t="n"/>
      <c r="N54" s="73" t="n"/>
      <c r="O54" s="19" t="n"/>
      <c r="P54" s="18" t="n"/>
      <c r="Q54" s="18" t="n"/>
      <c r="R54" s="73" t="n"/>
      <c r="S54" s="18" t="n"/>
      <c r="T54" s="18" t="n"/>
      <c r="U54" s="26">
        <f>D54+F54+-(H54+J54+L54+N54+P54+R54+T54)</f>
        <v/>
      </c>
      <c r="V54" t="inlineStr">
        <is>
          <t>CIVIL</t>
        </is>
      </c>
    </row>
    <row r="55" ht="24" customHeight="1">
      <c r="A55" s="22">
        <f>A54+1</f>
        <v/>
      </c>
      <c r="B55" s="79" t="inlineStr">
        <is>
          <t>Cat Pylox Merah</t>
        </is>
      </c>
      <c r="C55" s="29" t="inlineStr">
        <is>
          <t>Btl</t>
        </is>
      </c>
      <c r="D55" s="26">
        <f>'Week  1'!U55</f>
        <v/>
      </c>
      <c r="E55" s="124" t="n"/>
      <c r="F55" s="62" t="n"/>
      <c r="G55" s="25" t="n"/>
      <c r="H55" s="56" t="n"/>
      <c r="I55" s="19" t="n"/>
      <c r="J55" s="64" t="n"/>
      <c r="K55" s="18" t="n"/>
      <c r="L55" s="73" t="n"/>
      <c r="M55" s="73" t="n"/>
      <c r="N55" s="73" t="n"/>
      <c r="O55" s="19" t="n"/>
      <c r="P55" s="18" t="n"/>
      <c r="Q55" s="18" t="n"/>
      <c r="R55" s="73" t="n"/>
      <c r="S55" s="18" t="n"/>
      <c r="T55" s="18" t="n"/>
      <c r="U55" s="26">
        <f>D55+F55+-(H55+J55+L55+N55+P55+R55+T55)</f>
        <v/>
      </c>
      <c r="V55" t="inlineStr">
        <is>
          <t>CIVIL</t>
        </is>
      </c>
    </row>
    <row r="56" ht="24" customHeight="1">
      <c r="A56" s="22">
        <f>A55+1</f>
        <v/>
      </c>
      <c r="B56" s="104" t="inlineStr">
        <is>
          <t>Cat Pylox Putih</t>
        </is>
      </c>
      <c r="C56" s="29" t="inlineStr">
        <is>
          <t>Btl</t>
        </is>
      </c>
      <c r="D56" s="26">
        <f>'Week  1'!U56</f>
        <v/>
      </c>
      <c r="E56" s="125" t="n"/>
      <c r="F56" s="55" t="n"/>
      <c r="G56" s="52" t="n"/>
      <c r="H56" s="55" t="n"/>
      <c r="I56" s="71" t="n"/>
      <c r="J56" s="55" t="n"/>
      <c r="K56" s="18" t="n"/>
      <c r="L56" s="73" t="n"/>
      <c r="M56" s="73" t="n"/>
      <c r="N56" s="73" t="n"/>
      <c r="O56" s="19" t="n"/>
      <c r="P56" s="18" t="n"/>
      <c r="Q56" s="18" t="n"/>
      <c r="R56" s="73" t="n"/>
      <c r="S56" s="18" t="n"/>
      <c r="T56" s="18" t="n"/>
      <c r="U56" s="26">
        <f>D56+F56+-(H56+J56+L56+N56+P56+R56+T56)</f>
        <v/>
      </c>
      <c r="V56" t="inlineStr">
        <is>
          <t>CIVIL</t>
        </is>
      </c>
    </row>
    <row r="57" ht="24" customHeight="1">
      <c r="A57" s="22">
        <f>A56+1</f>
        <v/>
      </c>
      <c r="B57" s="104" t="inlineStr">
        <is>
          <t>Cat Zynchromate</t>
        </is>
      </c>
      <c r="C57" s="29" t="inlineStr">
        <is>
          <t>Kg</t>
        </is>
      </c>
      <c r="D57" s="26">
        <f>'Week  1'!U57</f>
        <v/>
      </c>
      <c r="E57" s="124" t="n"/>
      <c r="F57" s="62" t="n"/>
      <c r="G57" s="25" t="n"/>
      <c r="H57" s="56" t="n"/>
      <c r="I57" s="19" t="n"/>
      <c r="J57" s="64" t="n"/>
      <c r="K57" s="18" t="n"/>
      <c r="L57" s="73" t="n"/>
      <c r="M57" s="73" t="n"/>
      <c r="N57" s="73" t="n"/>
      <c r="O57" s="19" t="n"/>
      <c r="P57" s="18" t="n"/>
      <c r="Q57" s="18" t="n"/>
      <c r="R57" s="73" t="n"/>
      <c r="S57" s="18" t="n"/>
      <c r="T57" s="18" t="n"/>
      <c r="U57" s="26">
        <f>D57+F57+-(H57+J57+L57+N57+P57+R57+T57)</f>
        <v/>
      </c>
      <c r="V57" t="inlineStr">
        <is>
          <t>CIVIL</t>
        </is>
      </c>
    </row>
    <row r="58" ht="24" customHeight="1">
      <c r="A58" s="22">
        <f>A57+1</f>
        <v/>
      </c>
      <c r="B58" s="104" t="inlineStr">
        <is>
          <t>Cat Avian Putih</t>
        </is>
      </c>
      <c r="C58" s="29" t="inlineStr">
        <is>
          <t>Kg</t>
        </is>
      </c>
      <c r="D58" s="26">
        <f>'Week  1'!U58</f>
        <v/>
      </c>
      <c r="E58" s="125" t="n"/>
      <c r="F58" s="55" t="n"/>
      <c r="G58" s="52" t="n"/>
      <c r="H58" s="55" t="n"/>
      <c r="I58" s="71" t="n"/>
      <c r="J58" s="55" t="n"/>
      <c r="K58" s="18" t="n"/>
      <c r="L58" s="73" t="n"/>
      <c r="M58" s="73" t="n"/>
      <c r="N58" s="73" t="n"/>
      <c r="O58" s="19" t="n"/>
      <c r="P58" s="18" t="n"/>
      <c r="Q58" s="18" t="n"/>
      <c r="R58" s="73" t="n"/>
      <c r="S58" s="18" t="n"/>
      <c r="T58" s="18" t="n"/>
      <c r="U58" s="26">
        <f>D58+F58+-(H58+J58+L58+N58+P58+R58+T58)</f>
        <v/>
      </c>
      <c r="V58" t="inlineStr">
        <is>
          <t>CIVIL</t>
        </is>
      </c>
    </row>
    <row r="59" ht="27" customHeight="1">
      <c r="A59" s="22">
        <f>A58+1</f>
        <v/>
      </c>
      <c r="B59" s="122" t="inlineStr">
        <is>
          <t>Semen, Gresik</t>
        </is>
      </c>
      <c r="C59" s="123" t="inlineStr">
        <is>
          <t>SACK</t>
        </is>
      </c>
      <c r="D59" s="26">
        <f>'Week  1'!U59</f>
        <v/>
      </c>
      <c r="E59" s="129" t="n"/>
      <c r="F59" s="62" t="n"/>
      <c r="G59" s="68" t="n"/>
      <c r="H59" s="65" t="n"/>
      <c r="I59" s="19" t="n"/>
      <c r="J59" s="77" t="n"/>
      <c r="K59" s="19" t="n"/>
      <c r="L59" s="73" t="n"/>
      <c r="M59" s="19" t="n"/>
      <c r="N59" s="73" t="n"/>
      <c r="O59" s="19" t="n"/>
      <c r="P59" s="18" t="n"/>
      <c r="Q59" s="18" t="n"/>
      <c r="R59" s="73" t="n"/>
      <c r="S59" s="18" t="n"/>
      <c r="T59" s="18" t="n"/>
      <c r="U59" s="26">
        <f>D59+F59+-(H59+J59+L59+N59+P59+R59+T59)</f>
        <v/>
      </c>
      <c r="V59" t="inlineStr">
        <is>
          <t>CIVIL</t>
        </is>
      </c>
    </row>
    <row r="60" ht="15" customHeight="1">
      <c r="A60" s="22">
        <f>A59+1</f>
        <v/>
      </c>
      <c r="B60" s="122" t="inlineStr">
        <is>
          <t>Semen Putih</t>
        </is>
      </c>
      <c r="C60" s="123" t="inlineStr">
        <is>
          <t>Kg</t>
        </is>
      </c>
      <c r="D60" s="26">
        <f>'Week  1'!U60</f>
        <v/>
      </c>
      <c r="E60" s="125" t="n"/>
      <c r="F60" s="55" t="n"/>
      <c r="G60" s="68" t="n"/>
      <c r="H60" s="55" t="n"/>
      <c r="I60" s="71" t="n"/>
      <c r="J60" s="55" t="n"/>
      <c r="K60" s="19" t="n"/>
      <c r="L60" s="73" t="n"/>
      <c r="M60" s="73" t="n"/>
      <c r="N60" s="73" t="n"/>
      <c r="O60" s="19" t="n"/>
      <c r="P60" s="18" t="n"/>
      <c r="Q60" s="18" t="n"/>
      <c r="R60" s="73" t="n"/>
      <c r="S60" s="18" t="n"/>
      <c r="T60" s="18" t="n"/>
      <c r="U60" s="26">
        <f>D60+F60+-(H60+J60+L60+N60+P60+R60+T60)</f>
        <v/>
      </c>
      <c r="V60" t="inlineStr">
        <is>
          <t>CIVIL</t>
        </is>
      </c>
    </row>
    <row r="61" ht="15" customHeight="1">
      <c r="A61" s="22">
        <f>A60+1</f>
        <v/>
      </c>
      <c r="B61" s="122" t="inlineStr">
        <is>
          <t>Ceramic size 20x25 PUTIH</t>
        </is>
      </c>
      <c r="C61" s="123" t="inlineStr">
        <is>
          <t>DUs</t>
        </is>
      </c>
      <c r="D61" s="26">
        <f>'Week  1'!U61</f>
        <v/>
      </c>
      <c r="E61" s="124" t="n"/>
      <c r="F61" s="62" t="n"/>
      <c r="G61" s="25" t="n"/>
      <c r="H61" s="56" t="n"/>
      <c r="I61" s="19" t="n"/>
      <c r="J61" s="64" t="n"/>
      <c r="K61" s="18" t="n"/>
      <c r="L61" s="73" t="n"/>
      <c r="M61" s="73" t="n"/>
      <c r="N61" s="73" t="n"/>
      <c r="O61" s="19" t="n"/>
      <c r="P61" s="18" t="n"/>
      <c r="Q61" s="18" t="n"/>
      <c r="R61" s="73" t="n"/>
      <c r="S61" s="18" t="n"/>
      <c r="T61" s="18" t="n"/>
      <c r="U61" s="26">
        <f>D61+F61+-(H61+J61+L61+N61+P61+R61+T61)</f>
        <v/>
      </c>
      <c r="V61" t="inlineStr">
        <is>
          <t>CIVIL</t>
        </is>
      </c>
    </row>
    <row r="62" ht="15" customHeight="1">
      <c r="A62" s="22">
        <f>A61+1</f>
        <v/>
      </c>
      <c r="B62" s="122" t="inlineStr">
        <is>
          <t>Ceramic size 30x30</t>
        </is>
      </c>
      <c r="C62" s="123" t="inlineStr">
        <is>
          <t>Dus</t>
        </is>
      </c>
      <c r="D62" s="26">
        <f>'Week  1'!U62</f>
        <v/>
      </c>
      <c r="E62" s="125" t="n"/>
      <c r="F62" s="55" t="n"/>
      <c r="G62" s="52" t="n"/>
      <c r="H62" s="55" t="n"/>
      <c r="I62" s="71" t="n"/>
      <c r="J62" s="55" t="n"/>
      <c r="K62" s="18" t="n"/>
      <c r="L62" s="73" t="n"/>
      <c r="M62" s="73" t="n"/>
      <c r="N62" s="73" t="n"/>
      <c r="O62" s="19" t="n"/>
      <c r="P62" s="18" t="n"/>
      <c r="Q62" s="18" t="n"/>
      <c r="R62" s="73" t="n"/>
      <c r="S62" s="18" t="n"/>
      <c r="T62" s="18" t="n"/>
      <c r="U62" s="26">
        <f>D62+F62+-(H62+J62+L62+N62+P62+R62+T62)</f>
        <v/>
      </c>
      <c r="V62" t="inlineStr">
        <is>
          <t>CIVIL</t>
        </is>
      </c>
    </row>
    <row r="63" ht="15" customHeight="1">
      <c r="A63" s="22">
        <f>A62+1</f>
        <v/>
      </c>
      <c r="B63" s="122" t="inlineStr">
        <is>
          <t>Contactor LC1D09M7, Scheider</t>
        </is>
      </c>
      <c r="C63" s="123" t="inlineStr">
        <is>
          <t>PCS</t>
        </is>
      </c>
      <c r="D63" s="26">
        <f>'Week  1'!U63</f>
        <v/>
      </c>
      <c r="E63" s="124" t="n"/>
      <c r="F63" s="62" t="n"/>
      <c r="G63" s="25" t="n"/>
      <c r="H63" s="56" t="n"/>
      <c r="I63" s="19" t="n"/>
      <c r="J63" s="64" t="n"/>
      <c r="K63" s="18" t="n"/>
      <c r="L63" s="73" t="n"/>
      <c r="M63" s="73" t="n"/>
      <c r="N63" s="73" t="n"/>
      <c r="O63" s="19" t="n"/>
      <c r="P63" s="18" t="n"/>
      <c r="Q63" s="18" t="n"/>
      <c r="R63" s="73" t="n"/>
      <c r="S63" s="18" t="n"/>
      <c r="T63" s="18" t="n"/>
      <c r="U63" s="26">
        <f>D63+F63+-(H63+J63+L63+N63+P63+R63+T63)</f>
        <v/>
      </c>
      <c r="V63" t="inlineStr">
        <is>
          <t>ELECTRICAL</t>
        </is>
      </c>
    </row>
    <row r="64" ht="15" customHeight="1">
      <c r="A64" s="22">
        <f>A63+1</f>
        <v/>
      </c>
      <c r="B64" s="122" t="inlineStr">
        <is>
          <t>Contactor LC1D12M7, Scheider</t>
        </is>
      </c>
      <c r="C64" s="123" t="inlineStr">
        <is>
          <t>PCS</t>
        </is>
      </c>
      <c r="D64" s="26">
        <f>'Week  1'!U64</f>
        <v/>
      </c>
      <c r="E64" s="125" t="n"/>
      <c r="F64" s="55" t="n"/>
      <c r="G64" s="52" t="n"/>
      <c r="H64" s="55" t="n"/>
      <c r="I64" s="71" t="n"/>
      <c r="J64" s="55" t="n"/>
      <c r="K64" s="18" t="n"/>
      <c r="L64" s="73" t="n"/>
      <c r="M64" s="73" t="n"/>
      <c r="N64" s="73" t="n"/>
      <c r="O64" s="19" t="n"/>
      <c r="P64" s="18" t="n"/>
      <c r="Q64" s="18" t="n"/>
      <c r="R64" s="73" t="n"/>
      <c r="S64" s="18" t="n"/>
      <c r="T64" s="18" t="n"/>
      <c r="U64" s="26">
        <f>D64+F64+-(H64+J64+L64+N64+P64+R64+T64)</f>
        <v/>
      </c>
      <c r="V64" t="inlineStr">
        <is>
          <t>ELECTRICAL</t>
        </is>
      </c>
    </row>
    <row r="65" ht="15" customHeight="1">
      <c r="A65" s="22">
        <f>A64+1</f>
        <v/>
      </c>
      <c r="B65" s="122" t="inlineStr">
        <is>
          <t>Contactor LC1D18M7, Scheider</t>
        </is>
      </c>
      <c r="C65" s="123" t="inlineStr">
        <is>
          <t>PCS</t>
        </is>
      </c>
      <c r="D65" s="26">
        <f>'Week  1'!U65</f>
        <v/>
      </c>
      <c r="E65" s="124" t="n"/>
      <c r="F65" s="62" t="n"/>
      <c r="G65" s="25" t="n"/>
      <c r="H65" s="56" t="n"/>
      <c r="I65" s="19" t="n"/>
      <c r="J65" s="64" t="n"/>
      <c r="K65" s="18" t="n"/>
      <c r="L65" s="73" t="n"/>
      <c r="M65" s="73" t="n"/>
      <c r="N65" s="73" t="n"/>
      <c r="O65" s="19" t="n"/>
      <c r="P65" s="18" t="n"/>
      <c r="Q65" s="18" t="n"/>
      <c r="R65" s="73" t="n"/>
      <c r="S65" s="18" t="n"/>
      <c r="T65" s="18" t="n"/>
      <c r="U65" s="26">
        <f>D65+F65+-(H65+J65+L65+N65+P65+R65+T65)</f>
        <v/>
      </c>
      <c r="V65" t="inlineStr">
        <is>
          <t>ELECTRICAL</t>
        </is>
      </c>
    </row>
    <row r="66" ht="15" customHeight="1">
      <c r="A66" s="22">
        <f>A65+1</f>
        <v/>
      </c>
      <c r="B66" s="122" t="inlineStr">
        <is>
          <t>Contactor LC1D25M7, Scheider</t>
        </is>
      </c>
      <c r="C66" s="123" t="inlineStr">
        <is>
          <t>PCS</t>
        </is>
      </c>
      <c r="D66" s="26">
        <f>'Week  1'!U66</f>
        <v/>
      </c>
      <c r="E66" s="125" t="n"/>
      <c r="F66" s="55" t="n"/>
      <c r="G66" s="52" t="n"/>
      <c r="H66" s="55" t="n"/>
      <c r="I66" s="71" t="n"/>
      <c r="J66" s="55" t="n"/>
      <c r="K66" s="18" t="n"/>
      <c r="L66" s="73" t="n"/>
      <c r="M66" s="73" t="n"/>
      <c r="N66" s="73" t="n"/>
      <c r="O66" s="19" t="n"/>
      <c r="P66" s="18" t="n"/>
      <c r="Q66" s="19" t="n"/>
      <c r="R66" s="18" t="n"/>
      <c r="S66" s="18" t="n"/>
      <c r="T66" s="18" t="n"/>
      <c r="U66" s="26">
        <f>D66+F66+-(H66+J66+L66+N66+P66+R66+T66)</f>
        <v/>
      </c>
      <c r="V66" t="inlineStr">
        <is>
          <t>ELECTRICAL</t>
        </is>
      </c>
    </row>
    <row r="67" ht="15" customHeight="1">
      <c r="A67" s="22">
        <f>A66+1</f>
        <v/>
      </c>
      <c r="B67" s="122" t="inlineStr">
        <is>
          <t>Contactor LC1D32M7, Scheider</t>
        </is>
      </c>
      <c r="C67" s="123" t="inlineStr">
        <is>
          <t>PCS</t>
        </is>
      </c>
      <c r="D67" s="26">
        <f>'Week  1'!U67</f>
        <v/>
      </c>
      <c r="E67" s="124" t="n"/>
      <c r="F67" s="62" t="n"/>
      <c r="G67" s="25" t="n"/>
      <c r="H67" s="56" t="n"/>
      <c r="I67" s="19" t="n"/>
      <c r="J67" s="64" t="n"/>
      <c r="K67" s="19" t="n"/>
      <c r="L67" s="73" t="n"/>
      <c r="M67" s="73" t="n"/>
      <c r="N67" s="73" t="n"/>
      <c r="O67" s="19" t="n"/>
      <c r="P67" s="18" t="n"/>
      <c r="Q67" s="18" t="n"/>
      <c r="R67" s="73" t="n"/>
      <c r="S67" s="18" t="n"/>
      <c r="T67" s="18" t="n"/>
      <c r="U67" s="26">
        <f>D67+F67+-(H67+J67+L67+N67+P67+R67+T67)</f>
        <v/>
      </c>
      <c r="V67" t="inlineStr">
        <is>
          <t>ELECTRICAL</t>
        </is>
      </c>
    </row>
    <row r="68" ht="15" customHeight="1">
      <c r="A68" s="22">
        <f>A67+1</f>
        <v/>
      </c>
      <c r="B68" s="38" t="inlineStr">
        <is>
          <t>Coupler  Equal Tee 20 x 20</t>
        </is>
      </c>
      <c r="C68" s="123" t="inlineStr">
        <is>
          <t>PCS</t>
        </is>
      </c>
      <c r="D68" s="26">
        <f>'Week  1'!U68</f>
        <v/>
      </c>
      <c r="E68" s="125" t="n"/>
      <c r="F68" s="55" t="n"/>
      <c r="G68" s="52" t="n"/>
      <c r="H68" s="55" t="n"/>
      <c r="I68" s="71" t="n"/>
      <c r="J68" s="55" t="n"/>
      <c r="K68" s="18" t="n"/>
      <c r="L68" s="73" t="n"/>
      <c r="M68" s="73" t="n"/>
      <c r="N68" s="73" t="n"/>
      <c r="O68" s="19" t="n"/>
      <c r="P68" s="18" t="n"/>
      <c r="Q68" s="18" t="n"/>
      <c r="R68" s="73" t="n"/>
      <c r="S68" s="18" t="n"/>
      <c r="T68" s="18" t="n"/>
      <c r="U68" s="26">
        <f>D68+F68+-(H68+J68+L68+N68+P68+R68+T68)</f>
        <v/>
      </c>
      <c r="V68" t="inlineStr">
        <is>
          <t>VALVE AND PIPE</t>
        </is>
      </c>
    </row>
    <row r="69" ht="15" customHeight="1">
      <c r="A69" s="22">
        <f>A68+1</f>
        <v/>
      </c>
      <c r="B69" s="38" t="inlineStr">
        <is>
          <t>Coupler  Equal Tee 32 x 32</t>
        </is>
      </c>
      <c r="C69" s="123" t="inlineStr">
        <is>
          <t>PCS</t>
        </is>
      </c>
      <c r="D69" s="26">
        <f>'Week  1'!U69</f>
        <v/>
      </c>
      <c r="E69" s="124" t="n"/>
      <c r="F69" s="62" t="n"/>
      <c r="G69" s="25" t="n"/>
      <c r="H69" s="56" t="n"/>
      <c r="I69" s="19" t="n"/>
      <c r="J69" s="64" t="n"/>
      <c r="K69" s="18" t="n"/>
      <c r="L69" s="73" t="n"/>
      <c r="M69" s="73" t="n"/>
      <c r="N69" s="73" t="n"/>
      <c r="O69" s="19" t="n"/>
      <c r="P69" s="18" t="n"/>
      <c r="Q69" s="18" t="n"/>
      <c r="R69" s="73" t="n"/>
      <c r="S69" s="18" t="n"/>
      <c r="T69" s="18" t="n"/>
      <c r="U69" s="26">
        <f>D69+F69+-(H69+J69+L69+N69+P69+R69+T69)</f>
        <v/>
      </c>
      <c r="V69" t="inlineStr">
        <is>
          <t>VALVE AND PIPE</t>
        </is>
      </c>
    </row>
    <row r="70" ht="30.75" customHeight="1">
      <c r="A70" s="22">
        <f>A69+1</f>
        <v/>
      </c>
      <c r="B70" s="39" t="inlineStr">
        <is>
          <t>Coupler HDPE Mechanical Joint ø 110</t>
        </is>
      </c>
      <c r="C70" s="123" t="inlineStr">
        <is>
          <t>PCS</t>
        </is>
      </c>
      <c r="D70" s="26">
        <f>'Week  1'!U70</f>
        <v/>
      </c>
      <c r="E70" s="125" t="n"/>
      <c r="F70" s="55" t="n"/>
      <c r="G70" s="52" t="n"/>
      <c r="H70" s="55" t="n"/>
      <c r="I70" s="71" t="n"/>
      <c r="J70" s="55" t="n"/>
      <c r="K70" s="18" t="n"/>
      <c r="L70" s="73" t="n"/>
      <c r="M70" s="73" t="n"/>
      <c r="N70" s="73" t="n"/>
      <c r="O70" s="19" t="n"/>
      <c r="P70" s="18" t="n"/>
      <c r="Q70" s="18" t="n"/>
      <c r="R70" s="73" t="n"/>
      <c r="S70" s="18" t="n"/>
      <c r="T70" s="18" t="n"/>
      <c r="U70" s="26">
        <f>D70+F70+-(H70+J70+L70+N70+P70+R70+T70)</f>
        <v/>
      </c>
      <c r="V70" t="inlineStr">
        <is>
          <t>VALVE AND PIPE</t>
        </is>
      </c>
    </row>
    <row r="71" ht="33.75" customHeight="1">
      <c r="A71" s="22">
        <f>A70+1</f>
        <v/>
      </c>
      <c r="B71" s="39" t="inlineStr">
        <is>
          <t>Coupler HDPE Mechanical Joint ø 63</t>
        </is>
      </c>
      <c r="C71" s="123" t="inlineStr">
        <is>
          <t>PCS</t>
        </is>
      </c>
      <c r="D71" s="26">
        <f>'Week  1'!U71</f>
        <v/>
      </c>
      <c r="E71" s="124" t="n"/>
      <c r="F71" s="62" t="n"/>
      <c r="G71" s="25" t="n"/>
      <c r="H71" s="56" t="n"/>
      <c r="I71" s="19" t="n"/>
      <c r="J71" s="64" t="n"/>
      <c r="K71" s="18" t="n"/>
      <c r="L71" s="73" t="n"/>
      <c r="M71" s="73" t="n"/>
      <c r="N71" s="73" t="n"/>
      <c r="O71" s="19" t="n"/>
      <c r="P71" s="18" t="n"/>
      <c r="Q71" s="18" t="n"/>
      <c r="R71" s="73" t="n"/>
      <c r="S71" s="18" t="n"/>
      <c r="T71" s="18" t="n"/>
      <c r="U71" s="26">
        <f>D71+F71+-(H71+J71+L71+N71+P71+R71+T71)</f>
        <v/>
      </c>
      <c r="V71" t="inlineStr">
        <is>
          <t>VALVE AND PIPE</t>
        </is>
      </c>
    </row>
    <row r="72" ht="30" customHeight="1">
      <c r="A72" s="22">
        <f>A71+1</f>
        <v/>
      </c>
      <c r="B72" s="39" t="inlineStr">
        <is>
          <t>Coupler HDPE Mechanical Joint ø 90 X 75</t>
        </is>
      </c>
      <c r="C72" s="123" t="inlineStr">
        <is>
          <t>PCS</t>
        </is>
      </c>
      <c r="D72" s="26">
        <f>'Week  1'!U72</f>
        <v/>
      </c>
      <c r="E72" s="125" t="n"/>
      <c r="F72" s="55" t="n"/>
      <c r="G72" s="52" t="n"/>
      <c r="H72" s="55" t="n"/>
      <c r="I72" s="71" t="n"/>
      <c r="J72" s="55" t="n"/>
      <c r="K72" s="18" t="n"/>
      <c r="L72" s="73" t="n"/>
      <c r="M72" s="73" t="n"/>
      <c r="N72" s="73" t="n"/>
      <c r="O72" s="19" t="n"/>
      <c r="P72" s="18" t="n"/>
      <c r="Q72" s="18" t="n"/>
      <c r="R72" s="73" t="n"/>
      <c r="S72" s="18" t="n"/>
      <c r="T72" s="18" t="n"/>
      <c r="U72" s="26">
        <f>D72+F72+-(H72+J72+L72+N72+P72+R72+T72)</f>
        <v/>
      </c>
      <c r="V72" t="inlineStr">
        <is>
          <t>VALVE AND PIPE</t>
        </is>
      </c>
    </row>
    <row r="73" ht="24" customHeight="1">
      <c r="A73" s="22">
        <f>A72+1</f>
        <v/>
      </c>
      <c r="B73" s="38" t="inlineStr">
        <is>
          <t>Coupler of Reducing  25 x 20</t>
        </is>
      </c>
      <c r="C73" s="123" t="inlineStr">
        <is>
          <t>PCS</t>
        </is>
      </c>
      <c r="D73" s="26">
        <f>'Week  1'!U73</f>
        <v/>
      </c>
      <c r="E73" s="124" t="n"/>
      <c r="F73" s="62" t="n"/>
      <c r="G73" s="25" t="n"/>
      <c r="H73" s="56" t="n"/>
      <c r="I73" s="19" t="n"/>
      <c r="J73" s="64" t="n"/>
      <c r="K73" s="18" t="n"/>
      <c r="L73" s="73" t="n"/>
      <c r="M73" s="73" t="n"/>
      <c r="N73" s="73" t="n"/>
      <c r="O73" s="19" t="n"/>
      <c r="P73" s="18" t="n"/>
      <c r="Q73" s="18" t="n"/>
      <c r="R73" s="73" t="n"/>
      <c r="S73" s="18" t="n"/>
      <c r="T73" s="18" t="n"/>
      <c r="U73" s="26">
        <f>D73+F73+-(H73+J73+L73+N73+P73+R73+T73)</f>
        <v/>
      </c>
      <c r="V73" t="inlineStr">
        <is>
          <t>VALVE AND PIPE</t>
        </is>
      </c>
    </row>
    <row r="74" ht="24" customHeight="1">
      <c r="A74" s="22">
        <f>A73+1</f>
        <v/>
      </c>
      <c r="B74" s="38" t="inlineStr">
        <is>
          <t>Coupler Straight 20 x 20</t>
        </is>
      </c>
      <c r="C74" s="123" t="inlineStr">
        <is>
          <t>PCS</t>
        </is>
      </c>
      <c r="D74" s="26">
        <f>'Week  1'!U74</f>
        <v/>
      </c>
      <c r="E74" s="125" t="n"/>
      <c r="F74" s="55" t="n"/>
      <c r="G74" s="52" t="n"/>
      <c r="H74" s="55" t="n"/>
      <c r="I74" s="71" t="n"/>
      <c r="J74" s="55" t="n"/>
      <c r="K74" s="18" t="n"/>
      <c r="L74" s="73" t="n"/>
      <c r="M74" s="73" t="n"/>
      <c r="N74" s="73" t="n"/>
      <c r="O74" s="19" t="n"/>
      <c r="P74" s="18" t="n"/>
      <c r="Q74" s="18" t="n"/>
      <c r="R74" s="73" t="n"/>
      <c r="S74" s="18" t="n"/>
      <c r="T74" s="18" t="n"/>
      <c r="U74" s="26">
        <f>D74+F74+-(H74+J74+L74+N74+P74+R74+T74)</f>
        <v/>
      </c>
      <c r="V74" t="inlineStr">
        <is>
          <t>VALVE AND PIPE</t>
        </is>
      </c>
    </row>
    <row r="75" ht="24" customHeight="1">
      <c r="A75" s="22">
        <f>A74+1</f>
        <v/>
      </c>
      <c r="B75" s="38" t="inlineStr">
        <is>
          <t xml:space="preserve">Coupler Straight 25 x 25 </t>
        </is>
      </c>
      <c r="C75" s="123" t="inlineStr">
        <is>
          <t>PCS</t>
        </is>
      </c>
      <c r="D75" s="26">
        <f>'Week  1'!U75</f>
        <v/>
      </c>
      <c r="E75" s="124" t="n"/>
      <c r="F75" s="62" t="n"/>
      <c r="G75" s="25" t="n"/>
      <c r="H75" s="56" t="n"/>
      <c r="I75" s="19" t="n"/>
      <c r="J75" s="64" t="n"/>
      <c r="K75" s="18" t="n"/>
      <c r="L75" s="73" t="n"/>
      <c r="M75" s="73" t="n"/>
      <c r="N75" s="73" t="n"/>
      <c r="O75" s="19" t="n"/>
      <c r="P75" s="18" t="n"/>
      <c r="Q75" s="18" t="n"/>
      <c r="R75" s="73" t="n"/>
      <c r="S75" s="18" t="n"/>
      <c r="T75" s="18" t="n"/>
      <c r="U75" s="26">
        <f>D75+F75+-(H75+J75+L75+N75+P75+R75+T75)</f>
        <v/>
      </c>
      <c r="V75" t="inlineStr">
        <is>
          <t>VALVE AND PIPE</t>
        </is>
      </c>
    </row>
    <row r="76" ht="15" customHeight="1">
      <c r="A76" s="22">
        <f>A75+1</f>
        <v/>
      </c>
      <c r="B76" s="38" t="inlineStr">
        <is>
          <t>Coupler Straight 32 x 32</t>
        </is>
      </c>
      <c r="C76" s="123" t="inlineStr">
        <is>
          <t>PCS</t>
        </is>
      </c>
      <c r="D76" s="26">
        <f>'Week  1'!U76</f>
        <v/>
      </c>
      <c r="E76" s="125" t="n"/>
      <c r="F76" s="55" t="n"/>
      <c r="G76" s="52" t="n"/>
      <c r="H76" s="55" t="n"/>
      <c r="I76" s="71" t="n"/>
      <c r="J76" s="55" t="n"/>
      <c r="K76" s="18" t="n"/>
      <c r="L76" s="73" t="n"/>
      <c r="M76" s="73" t="n"/>
      <c r="N76" s="73" t="n"/>
      <c r="O76" s="19" t="n"/>
      <c r="P76" s="18" t="n"/>
      <c r="Q76" s="18" t="n"/>
      <c r="R76" s="73" t="n"/>
      <c r="S76" s="18" t="n"/>
      <c r="T76" s="18" t="n"/>
      <c r="U76" s="26">
        <f>D76+F76+-(H76+J76+L76+N76+P76+R76+T76)</f>
        <v/>
      </c>
      <c r="V76" t="inlineStr">
        <is>
          <t>VALVE AND PIPE</t>
        </is>
      </c>
    </row>
    <row r="77" ht="15" customHeight="1">
      <c r="A77" s="22">
        <f>A76+1</f>
        <v/>
      </c>
      <c r="B77" s="122" t="inlineStr">
        <is>
          <t xml:space="preserve">Cylinder Lock, Muller </t>
        </is>
      </c>
      <c r="C77" s="123" t="inlineStr">
        <is>
          <t>PCS</t>
        </is>
      </c>
      <c r="D77" s="26">
        <f>'Week  1'!U77</f>
        <v/>
      </c>
      <c r="E77" s="124" t="n"/>
      <c r="F77" s="62" t="n"/>
      <c r="G77" s="25" t="n"/>
      <c r="H77" s="56" t="n"/>
      <c r="I77" s="19" t="n"/>
      <c r="J77" s="64" t="n"/>
      <c r="K77" s="68" t="n"/>
      <c r="L77" s="56" t="n"/>
      <c r="M77" s="73" t="n"/>
      <c r="N77" s="73" t="n"/>
      <c r="O77" s="19" t="n"/>
      <c r="P77" s="18" t="n"/>
      <c r="Q77" s="18" t="n"/>
      <c r="R77" s="73" t="n"/>
      <c r="S77" s="18" t="n"/>
      <c r="T77" s="18" t="n"/>
      <c r="U77" s="26">
        <f>D77+F77+-(H77+J77+L77+N77+P77+R77+T77)</f>
        <v/>
      </c>
      <c r="V77" t="inlineStr">
        <is>
          <t>CIVIL</t>
        </is>
      </c>
    </row>
    <row r="78" ht="24" customHeight="1">
      <c r="A78" s="22">
        <f>A77+1</f>
        <v/>
      </c>
      <c r="B78" s="122" t="inlineStr">
        <is>
          <t>Defrost Kulkas LG</t>
        </is>
      </c>
      <c r="C78" s="123" t="inlineStr">
        <is>
          <t>PCS</t>
        </is>
      </c>
      <c r="D78" s="26">
        <f>'Week  1'!U78</f>
        <v/>
      </c>
      <c r="E78" s="125" t="n"/>
      <c r="F78" s="55" t="n"/>
      <c r="G78" s="52" t="n"/>
      <c r="H78" s="55" t="n"/>
      <c r="I78" s="71" t="n"/>
      <c r="J78" s="55" t="n"/>
      <c r="K78" s="18" t="n"/>
      <c r="L78" s="73" t="n"/>
      <c r="M78" s="73" t="n"/>
      <c r="N78" s="73" t="n"/>
      <c r="O78" s="19" t="n"/>
      <c r="P78" s="18" t="n"/>
      <c r="Q78" s="18" t="n"/>
      <c r="R78" s="73" t="n"/>
      <c r="S78" s="18" t="n"/>
      <c r="T78" s="18" t="n"/>
      <c r="U78" s="26">
        <f>D78+F78+-(H78+J78+L78+N78+P78+R78+T78)</f>
        <v/>
      </c>
      <c r="V78" t="inlineStr">
        <is>
          <t>ELECTRICAL</t>
        </is>
      </c>
    </row>
    <row r="79" ht="24" customHeight="1">
      <c r="A79" s="22">
        <f>A78+1</f>
        <v/>
      </c>
      <c r="B79" s="122" t="inlineStr">
        <is>
          <t>Defrost Kulkas samsung / panasonic</t>
        </is>
      </c>
      <c r="C79" s="123" t="inlineStr">
        <is>
          <t>PCS</t>
        </is>
      </c>
      <c r="D79" s="26">
        <f>'Week  1'!U79</f>
        <v/>
      </c>
      <c r="E79" s="124" t="n"/>
      <c r="F79" s="62" t="n"/>
      <c r="G79" s="25" t="n"/>
      <c r="H79" s="56" t="n"/>
      <c r="I79" s="19" t="n"/>
      <c r="J79" s="64" t="n"/>
      <c r="K79" s="18" t="n"/>
      <c r="L79" s="73" t="n"/>
      <c r="M79" s="73" t="n"/>
      <c r="N79" s="73" t="n"/>
      <c r="O79" s="19" t="n"/>
      <c r="P79" s="18" t="n"/>
      <c r="Q79" s="18" t="n"/>
      <c r="R79" s="73" t="n"/>
      <c r="S79" s="18" t="n"/>
      <c r="T79" s="18" t="n"/>
      <c r="U79" s="26">
        <f>D79+F79+-(H79+J79+L79+N79+P79+R79+T79)</f>
        <v/>
      </c>
      <c r="V79" t="inlineStr">
        <is>
          <t>ELECTRICAL</t>
        </is>
      </c>
    </row>
    <row r="80" ht="24" customHeight="1">
      <c r="A80" s="22">
        <f>A79+1</f>
        <v/>
      </c>
      <c r="B80" s="122" t="inlineStr">
        <is>
          <t>Defrost Kulkas SANYO</t>
        </is>
      </c>
      <c r="C80" s="123" t="inlineStr">
        <is>
          <t>PCS</t>
        </is>
      </c>
      <c r="D80" s="26">
        <f>'Week  1'!U80</f>
        <v/>
      </c>
      <c r="E80" s="125" t="n"/>
      <c r="F80" s="55" t="n"/>
      <c r="G80" s="52" t="n"/>
      <c r="H80" s="55" t="n"/>
      <c r="I80" s="71" t="n"/>
      <c r="J80" s="55" t="n"/>
      <c r="K80" s="18" t="n"/>
      <c r="L80" s="73" t="n"/>
      <c r="M80" s="73" t="n"/>
      <c r="N80" s="73" t="n"/>
      <c r="O80" s="19" t="n"/>
      <c r="P80" s="18" t="n"/>
      <c r="Q80" s="18" t="n"/>
      <c r="R80" s="73" t="n"/>
      <c r="S80" s="18" t="n"/>
      <c r="T80" s="18" t="n"/>
      <c r="U80" s="26">
        <f>D80+F80+-(H80+J80+L80+N80+P80+R80+T80)</f>
        <v/>
      </c>
      <c r="V80" t="inlineStr">
        <is>
          <t>ELECTRICAL</t>
        </is>
      </c>
    </row>
    <row r="81" ht="39" customHeight="1">
      <c r="A81" s="22">
        <f>A80+1</f>
        <v/>
      </c>
      <c r="B81" s="79" t="inlineStr">
        <is>
          <t>Doble Neple Besi 1/2"</t>
        </is>
      </c>
      <c r="C81" s="40" t="inlineStr">
        <is>
          <t>Pcs</t>
        </is>
      </c>
      <c r="D81" s="26">
        <f>'Week  1'!U81</f>
        <v/>
      </c>
      <c r="E81" s="124" t="n"/>
      <c r="F81" s="62" t="n"/>
      <c r="G81" s="25" t="n"/>
      <c r="H81" s="56" t="n"/>
      <c r="I81" s="19" t="n"/>
      <c r="J81" s="64" t="n"/>
      <c r="K81" s="18" t="n"/>
      <c r="L81" s="73" t="n"/>
      <c r="M81" s="73" t="n"/>
      <c r="N81" s="73" t="n"/>
      <c r="O81" s="19" t="n"/>
      <c r="P81" s="18" t="n"/>
      <c r="Q81" s="18" t="n"/>
      <c r="R81" s="73" t="n"/>
      <c r="S81" s="18" t="n"/>
      <c r="T81" s="18" t="n"/>
      <c r="U81" s="26">
        <f>D81+F81+-(H81+J81+L81+N81+P81+R81+T81)</f>
        <v/>
      </c>
      <c r="V81" t="inlineStr">
        <is>
          <t>VALVE AND PIPE</t>
        </is>
      </c>
    </row>
    <row r="82" ht="29.25" customHeight="1">
      <c r="A82" s="22">
        <f>A81+1</f>
        <v/>
      </c>
      <c r="B82" s="38" t="inlineStr">
        <is>
          <t>Elbow Drat Dalam  20 x 1/2" hdpe</t>
        </is>
      </c>
      <c r="C82" s="123" t="inlineStr">
        <is>
          <t>PCS</t>
        </is>
      </c>
      <c r="D82" s="26">
        <f>'Week  1'!U82</f>
        <v/>
      </c>
      <c r="E82" s="125" t="n"/>
      <c r="F82" s="55" t="n"/>
      <c r="G82" s="52" t="n"/>
      <c r="H82" s="55" t="n"/>
      <c r="I82" s="71" t="n"/>
      <c r="J82" s="55" t="n"/>
      <c r="K82" s="18" t="n"/>
      <c r="L82" s="73" t="n"/>
      <c r="M82" s="73" t="n"/>
      <c r="N82" s="73" t="n"/>
      <c r="O82" s="19" t="n"/>
      <c r="P82" s="18" t="n"/>
      <c r="Q82" s="18" t="n"/>
      <c r="R82" s="73" t="n"/>
      <c r="S82" s="18" t="n"/>
      <c r="T82" s="18" t="n"/>
      <c r="U82" s="26">
        <f>D82+F82+-(H82+J82+L82+N82+P82+R82+T82)</f>
        <v/>
      </c>
      <c r="V82" t="inlineStr">
        <is>
          <t>VALVE AND PIPE</t>
        </is>
      </c>
    </row>
    <row r="83">
      <c r="A83" s="22">
        <f>A82+1</f>
        <v/>
      </c>
      <c r="B83" s="79" t="inlineStr">
        <is>
          <t>Elbow PVC AW  1"</t>
        </is>
      </c>
      <c r="C83" s="40" t="inlineStr">
        <is>
          <t>Pcs</t>
        </is>
      </c>
      <c r="D83" s="26">
        <f>'Week  1'!U83</f>
        <v/>
      </c>
      <c r="E83" s="124" t="n"/>
      <c r="F83" s="62" t="n"/>
      <c r="G83" s="25" t="n"/>
      <c r="H83" s="56" t="n"/>
      <c r="I83" s="19" t="n"/>
      <c r="J83" s="64" t="n"/>
      <c r="K83" s="18" t="inlineStr">
        <is>
          <t>Madura 6</t>
        </is>
      </c>
      <c r="L83" s="73" t="n">
        <v>1</v>
      </c>
      <c r="M83" s="73" t="n"/>
      <c r="N83" s="73" t="n"/>
      <c r="O83" s="19" t="n"/>
      <c r="P83" s="18" t="n"/>
      <c r="Q83" s="18" t="n"/>
      <c r="R83" s="73" t="n"/>
      <c r="S83" s="18" t="n"/>
      <c r="T83" s="18" t="n"/>
      <c r="U83" s="26">
        <f>D83+F83+-(H83+J83+L83+N83+P83+R83+T83)</f>
        <v/>
      </c>
      <c r="V83" t="inlineStr">
        <is>
          <t>VALVE AND PIPE</t>
        </is>
      </c>
    </row>
    <row r="84">
      <c r="A84" s="22">
        <f>A83+1</f>
        <v/>
      </c>
      <c r="B84" s="79" t="inlineStr">
        <is>
          <t>Elbow PVC AW  1/2"</t>
        </is>
      </c>
      <c r="C84" s="40" t="inlineStr">
        <is>
          <t>Pcs</t>
        </is>
      </c>
      <c r="D84" s="26">
        <f>'Week  1'!U84</f>
        <v/>
      </c>
      <c r="E84" s="125" t="n"/>
      <c r="F84" s="55" t="n"/>
      <c r="G84" s="52" t="n"/>
      <c r="H84" s="55" t="n"/>
      <c r="I84" s="71" t="n"/>
      <c r="J84" s="55" t="n"/>
      <c r="K84" s="18" t="n"/>
      <c r="L84" s="73" t="n"/>
      <c r="M84" s="73" t="n"/>
      <c r="N84" s="73" t="n"/>
      <c r="O84" s="19" t="n"/>
      <c r="P84" s="18" t="n"/>
      <c r="Q84" s="18" t="n"/>
      <c r="R84" s="73" t="n"/>
      <c r="S84" s="18" t="n"/>
      <c r="T84" s="18" t="n"/>
      <c r="U84" s="26">
        <f>D84+F84+-(H84+J84+L84+N84+P84+R84+T84)</f>
        <v/>
      </c>
      <c r="V84" t="inlineStr">
        <is>
          <t>VALVE AND PIPE</t>
        </is>
      </c>
    </row>
    <row r="85" ht="24" customFormat="1" customHeight="1" s="42">
      <c r="A85" s="22" t="n">
        <v>80</v>
      </c>
      <c r="B85" s="38" t="inlineStr">
        <is>
          <t>Elbow PVC AW 2"</t>
        </is>
      </c>
      <c r="C85" s="41" t="inlineStr">
        <is>
          <t>Pcs</t>
        </is>
      </c>
      <c r="D85" s="26">
        <f>'Week  1'!U85</f>
        <v/>
      </c>
      <c r="E85" s="124" t="n"/>
      <c r="F85" s="62" t="n"/>
      <c r="G85" s="25" t="n"/>
      <c r="H85" s="56" t="n"/>
      <c r="I85" s="19" t="n"/>
      <c r="J85" s="64" t="n"/>
      <c r="K85" s="18" t="n"/>
      <c r="L85" s="73" t="n"/>
      <c r="M85" s="73" t="n"/>
      <c r="N85" s="73" t="n"/>
      <c r="O85" s="19" t="n"/>
      <c r="P85" s="18" t="n"/>
      <c r="Q85" s="18" t="n"/>
      <c r="R85" s="73" t="n"/>
      <c r="S85" s="18" t="n"/>
      <c r="T85" s="18" t="n"/>
      <c r="U85" s="26">
        <f>D85+F85+-(H85+J85+L85+N85+P85+R85+T85)</f>
        <v/>
      </c>
      <c r="V85" t="inlineStr">
        <is>
          <t>VALVE AND PIPE</t>
        </is>
      </c>
    </row>
    <row r="86" ht="23.25" customHeight="1">
      <c r="A86" s="22">
        <f>A85+1</f>
        <v/>
      </c>
      <c r="B86" s="122" t="inlineStr">
        <is>
          <t>ELCB 2P, 25A SCHNEIDER</t>
        </is>
      </c>
      <c r="C86" s="123" t="inlineStr">
        <is>
          <t>PCS</t>
        </is>
      </c>
      <c r="D86" s="26">
        <f>'Week  1'!U86</f>
        <v/>
      </c>
      <c r="E86" s="125" t="n"/>
      <c r="F86" s="55" t="n"/>
      <c r="G86" s="52" t="n"/>
      <c r="H86" s="55" t="n"/>
      <c r="I86" s="71" t="n"/>
      <c r="J86" s="55" t="n"/>
      <c r="K86" s="18" t="n"/>
      <c r="L86" s="73" t="n"/>
      <c r="M86" s="73" t="n"/>
      <c r="N86" s="73" t="n"/>
      <c r="O86" s="19" t="n"/>
      <c r="P86" s="18" t="n"/>
      <c r="Q86" s="18" t="n"/>
      <c r="R86" s="73" t="n"/>
      <c r="S86" s="18" t="n"/>
      <c r="T86" s="18" t="n"/>
      <c r="U86" s="26">
        <f>D86+F86+-(H86+J86+L86+N86+P86+R86+T86)</f>
        <v/>
      </c>
      <c r="V86" t="inlineStr">
        <is>
          <t>ELECTRICAL</t>
        </is>
      </c>
    </row>
    <row r="87" ht="23.25" customHeight="1">
      <c r="A87" s="22">
        <f>A86+1</f>
        <v/>
      </c>
      <c r="B87" s="122" t="inlineStr">
        <is>
          <t>ELCB 2P, 30A SCHNEIDER</t>
        </is>
      </c>
      <c r="C87" s="123" t="inlineStr">
        <is>
          <t>PCS</t>
        </is>
      </c>
      <c r="D87" s="26">
        <f>'Week  1'!U87</f>
        <v/>
      </c>
      <c r="E87" s="124" t="n"/>
      <c r="F87" s="62" t="n"/>
      <c r="G87" s="25" t="n"/>
      <c r="H87" s="56" t="n"/>
      <c r="I87" s="19" t="n"/>
      <c r="J87" s="64" t="n"/>
      <c r="K87" s="18" t="n"/>
      <c r="L87" s="73" t="n"/>
      <c r="M87" s="73" t="n"/>
      <c r="N87" s="73" t="n"/>
      <c r="O87" s="19" t="n"/>
      <c r="P87" s="18" t="n"/>
      <c r="Q87" s="18" t="n"/>
      <c r="R87" s="73" t="n"/>
      <c r="S87" s="18" t="n"/>
      <c r="T87" s="18" t="n"/>
      <c r="U87" s="26">
        <f>D87+F87+-(H87+J87+L87+N87+P87+R87+T87)</f>
        <v/>
      </c>
      <c r="V87" t="inlineStr">
        <is>
          <t>ELECTRICAL</t>
        </is>
      </c>
    </row>
    <row r="88" ht="23.25" customHeight="1">
      <c r="A88" s="22">
        <f>A87+1</f>
        <v/>
      </c>
      <c r="B88" s="122" t="inlineStr">
        <is>
          <t>ELCB 2P, 40A SCHNEIDER</t>
        </is>
      </c>
      <c r="C88" s="123" t="inlineStr">
        <is>
          <t>PCS</t>
        </is>
      </c>
      <c r="D88" s="26">
        <f>'Week  1'!U88</f>
        <v/>
      </c>
      <c r="E88" s="125" t="n"/>
      <c r="F88" s="55" t="n"/>
      <c r="G88" s="52" t="n"/>
      <c r="H88" s="55" t="n"/>
      <c r="I88" s="71" t="n"/>
      <c r="J88" s="55" t="n"/>
      <c r="K88" s="18" t="n"/>
      <c r="L88" s="73" t="n"/>
      <c r="M88" s="73" t="n"/>
      <c r="N88" s="73" t="n"/>
      <c r="O88" s="19" t="n"/>
      <c r="P88" s="18" t="n"/>
      <c r="Q88" s="18" t="n"/>
      <c r="R88" s="73" t="n"/>
      <c r="S88" s="18" t="n"/>
      <c r="T88" s="18" t="n"/>
      <c r="U88" s="26">
        <f>D88+F88+-(H88+J88+L88+N88+P88+R88+T88)</f>
        <v/>
      </c>
      <c r="V88" t="inlineStr">
        <is>
          <t>ELECTRICAL</t>
        </is>
      </c>
    </row>
    <row r="89" ht="23.25" customHeight="1">
      <c r="A89" s="22">
        <f>A88+1</f>
        <v/>
      </c>
      <c r="B89" s="122" t="inlineStr">
        <is>
          <t>ELCB 2P, 63A SCHNEIDER</t>
        </is>
      </c>
      <c r="C89" s="123" t="inlineStr">
        <is>
          <t>PCS</t>
        </is>
      </c>
      <c r="D89" s="26">
        <f>'Week  1'!U89</f>
        <v/>
      </c>
      <c r="E89" s="124" t="n"/>
      <c r="F89" s="62" t="n"/>
      <c r="G89" s="25" t="n"/>
      <c r="H89" s="56" t="n"/>
      <c r="I89" s="19" t="n"/>
      <c r="J89" s="64" t="n"/>
      <c r="K89" s="18" t="n"/>
      <c r="L89" s="73" t="n"/>
      <c r="M89" s="73" t="n"/>
      <c r="N89" s="73" t="n"/>
      <c r="O89" s="19" t="n"/>
      <c r="P89" s="18" t="n"/>
      <c r="Q89" s="19" t="n"/>
      <c r="R89" s="73" t="n"/>
      <c r="S89" s="18" t="n"/>
      <c r="T89" s="18" t="n"/>
      <c r="U89" s="26">
        <f>D89+F89+-(H89+J89+L89+N89+P89+R89+T89)</f>
        <v/>
      </c>
      <c r="V89" t="inlineStr">
        <is>
          <t>ELECTRICAL</t>
        </is>
      </c>
    </row>
    <row r="90" ht="23.25" customHeight="1">
      <c r="A90" s="22">
        <f>A89+1</f>
        <v/>
      </c>
      <c r="B90" s="122" t="inlineStr">
        <is>
          <t>ELCB 4P, 25A SCHNEIDER</t>
        </is>
      </c>
      <c r="C90" s="123" t="inlineStr">
        <is>
          <t>PCS</t>
        </is>
      </c>
      <c r="D90" s="26">
        <f>'Week  1'!U90</f>
        <v/>
      </c>
      <c r="E90" s="125" t="n"/>
      <c r="F90" s="55" t="n"/>
      <c r="G90" s="52" t="n"/>
      <c r="H90" s="55" t="n"/>
      <c r="I90" s="71" t="n"/>
      <c r="J90" s="55" t="n"/>
      <c r="K90" s="18" t="n"/>
      <c r="L90" s="73" t="n"/>
      <c r="M90" s="73" t="n"/>
      <c r="N90" s="73" t="n"/>
      <c r="O90" s="19" t="n"/>
      <c r="P90" s="18" t="n"/>
      <c r="Q90" s="18" t="n"/>
      <c r="R90" s="73" t="n"/>
      <c r="S90" s="18" t="n"/>
      <c r="T90" s="18" t="n"/>
      <c r="U90" s="26">
        <f>D90+F90+-(H90+J90+L90+N90+P90+R90+T90)</f>
        <v/>
      </c>
      <c r="V90" t="inlineStr">
        <is>
          <t>ELECTRICAL</t>
        </is>
      </c>
    </row>
    <row r="91" ht="23.25" customHeight="1">
      <c r="A91" s="22">
        <f>A90+1</f>
        <v/>
      </c>
      <c r="B91" s="122" t="inlineStr">
        <is>
          <t>ELCB 4P, 40A SCHNEIDER</t>
        </is>
      </c>
      <c r="C91" s="123" t="inlineStr">
        <is>
          <t>PCS</t>
        </is>
      </c>
      <c r="D91" s="26">
        <f>'Week  1'!U91</f>
        <v/>
      </c>
      <c r="E91" s="124" t="n"/>
      <c r="F91" s="62" t="n"/>
      <c r="G91" s="25" t="n"/>
      <c r="H91" s="56" t="n"/>
      <c r="I91" s="19" t="n"/>
      <c r="J91" s="64" t="n"/>
      <c r="K91" s="18" t="n"/>
      <c r="L91" s="73" t="n"/>
      <c r="M91" s="73" t="n"/>
      <c r="N91" s="73" t="n"/>
      <c r="O91" s="19" t="n"/>
      <c r="P91" s="18" t="n"/>
      <c r="Q91" s="18" t="n"/>
      <c r="R91" s="73" t="n"/>
      <c r="S91" s="18" t="n"/>
      <c r="T91" s="18" t="n"/>
      <c r="U91" s="26">
        <f>D91+F91+-(H91+J91+L91+N91+P91+R91+T91)</f>
        <v/>
      </c>
      <c r="V91" t="inlineStr">
        <is>
          <t>ELECTRICAL</t>
        </is>
      </c>
    </row>
    <row r="92" ht="23.25" customHeight="1">
      <c r="A92" s="22">
        <f>A91+1</f>
        <v/>
      </c>
      <c r="B92" s="122" t="inlineStr">
        <is>
          <t>ELCB 4P, 63A SCHNEIDER</t>
        </is>
      </c>
      <c r="C92" s="123" t="inlineStr">
        <is>
          <t>PCS</t>
        </is>
      </c>
      <c r="D92" s="26">
        <f>'Week  1'!U92</f>
        <v/>
      </c>
      <c r="E92" s="125" t="n"/>
      <c r="F92" s="55" t="n"/>
      <c r="G92" s="52" t="n"/>
      <c r="H92" s="55" t="n"/>
      <c r="I92" s="71" t="n"/>
      <c r="J92" s="55" t="n"/>
      <c r="K92" s="18" t="n"/>
      <c r="L92" s="73" t="n"/>
      <c r="M92" s="73" t="n"/>
      <c r="N92" s="73" t="n"/>
      <c r="O92" s="19" t="n"/>
      <c r="P92" s="18" t="n"/>
      <c r="Q92" s="18" t="n"/>
      <c r="R92" s="73" t="n"/>
      <c r="S92" s="18" t="n"/>
      <c r="T92" s="18" t="n"/>
      <c r="U92" s="26">
        <f>D92+F92+-(H92+J92+L92+N92+P92+R92+T92)</f>
        <v/>
      </c>
      <c r="V92" t="inlineStr">
        <is>
          <t>ELECTRICAL</t>
        </is>
      </c>
    </row>
    <row r="93" ht="13.5" customHeight="1">
      <c r="A93" s="22">
        <f>A92+1</f>
        <v/>
      </c>
      <c r="B93" s="122" t="inlineStr">
        <is>
          <t>Emco Paint Biru No. 75</t>
        </is>
      </c>
      <c r="C93" s="123" t="inlineStr">
        <is>
          <t>Klg</t>
        </is>
      </c>
      <c r="D93" s="26">
        <f>'Week  1'!U93</f>
        <v/>
      </c>
      <c r="E93" s="124" t="n"/>
      <c r="F93" s="62" t="n"/>
      <c r="G93" s="25" t="n"/>
      <c r="H93" s="56" t="n"/>
      <c r="I93" s="19" t="n"/>
      <c r="J93" s="64" t="n"/>
      <c r="K93" s="18" t="n"/>
      <c r="L93" s="73" t="n"/>
      <c r="M93" s="73" t="n"/>
      <c r="N93" s="73" t="n"/>
      <c r="O93" s="19" t="n"/>
      <c r="P93" s="18" t="n"/>
      <c r="Q93" s="19" t="n"/>
      <c r="R93" s="18" t="n"/>
      <c r="S93" s="18" t="n"/>
      <c r="T93" s="18" t="n"/>
      <c r="U93" s="26">
        <f>D93+F93+-(H93+J93+L93+N93+P93+R93+T93)</f>
        <v/>
      </c>
      <c r="V93" t="inlineStr">
        <is>
          <t>CIVIL</t>
        </is>
      </c>
    </row>
    <row r="94" ht="27" customHeight="1">
      <c r="A94" s="22">
        <f>A93+1</f>
        <v/>
      </c>
      <c r="B94" s="122" t="inlineStr">
        <is>
          <t xml:space="preserve">Emco Paint, Black Color </t>
        </is>
      </c>
      <c r="C94" s="123" t="inlineStr">
        <is>
          <t>PCS</t>
        </is>
      </c>
      <c r="D94" s="26">
        <f>'Week  1'!U94</f>
        <v/>
      </c>
      <c r="E94" s="125" t="n"/>
      <c r="F94" s="55" t="n"/>
      <c r="G94" s="72" t="n"/>
      <c r="H94" s="55" t="n"/>
      <c r="I94" s="71" t="n"/>
      <c r="J94" s="55" t="n"/>
      <c r="K94" s="71" t="n"/>
      <c r="L94" s="55" t="n"/>
      <c r="M94" s="25" t="n"/>
      <c r="N94" s="73" t="n"/>
      <c r="O94" s="71" t="n"/>
      <c r="P94" s="18" t="n"/>
      <c r="Q94" s="18" t="n"/>
      <c r="R94" s="73" t="n"/>
      <c r="S94" s="18" t="n"/>
      <c r="T94" s="18" t="n"/>
      <c r="U94" s="26">
        <f>D94+F94+-(H94+J94+L94+N94+P94+R94+T94)</f>
        <v/>
      </c>
      <c r="V94" t="inlineStr">
        <is>
          <t>CIVIL</t>
        </is>
      </c>
    </row>
    <row r="95" ht="25.5" customHeight="1">
      <c r="A95" s="22">
        <f>A94+1</f>
        <v/>
      </c>
      <c r="B95" s="43" t="inlineStr">
        <is>
          <t>Emco Paint, Blue Color No. 102</t>
        </is>
      </c>
      <c r="C95" s="123" t="inlineStr">
        <is>
          <t>PCS</t>
        </is>
      </c>
      <c r="D95" s="26">
        <f>'Week  1'!U95</f>
        <v/>
      </c>
      <c r="E95" s="124" t="n"/>
      <c r="F95" s="62" t="n"/>
      <c r="G95" s="25" t="n"/>
      <c r="H95" s="69" t="n"/>
      <c r="I95" s="25" t="n"/>
      <c r="J95" s="69" t="n"/>
      <c r="K95" s="25" t="n"/>
      <c r="L95" s="69" t="n"/>
      <c r="M95" s="68" t="n"/>
      <c r="N95" s="73" t="n"/>
      <c r="O95" s="25" t="n"/>
      <c r="P95" s="73" t="n"/>
      <c r="Q95" s="18" t="n"/>
      <c r="R95" s="73" t="n"/>
      <c r="S95" s="18" t="n"/>
      <c r="T95" s="18" t="n"/>
      <c r="U95" s="26">
        <f>D95+F95+-(H95+J95+L95+N95+P95+R95+T95)</f>
        <v/>
      </c>
      <c r="V95" t="inlineStr">
        <is>
          <t>CIVIL</t>
        </is>
      </c>
    </row>
    <row r="96" ht="13.5" customHeight="1">
      <c r="A96" s="22">
        <f>A95+1</f>
        <v/>
      </c>
      <c r="B96" s="43" t="inlineStr">
        <is>
          <t>Emco Paint Coklat 83</t>
        </is>
      </c>
      <c r="C96" s="123" t="inlineStr">
        <is>
          <t>PCS</t>
        </is>
      </c>
      <c r="D96" s="26">
        <f>'Week  1'!U96</f>
        <v/>
      </c>
      <c r="E96" s="130" t="n"/>
      <c r="F96" s="55" t="n"/>
      <c r="G96" s="52" t="n"/>
      <c r="H96" s="55" t="n"/>
      <c r="I96" s="71" t="n"/>
      <c r="J96" s="55" t="n"/>
      <c r="K96" s="71" t="n"/>
      <c r="L96" s="55" t="n"/>
      <c r="M96" s="25" t="n"/>
      <c r="N96" s="73" t="n"/>
      <c r="O96" s="71" t="n"/>
      <c r="P96" s="18" t="n"/>
      <c r="Q96" s="18" t="n"/>
      <c r="R96" s="73" t="n"/>
      <c r="S96" s="18" t="n"/>
      <c r="T96" s="18" t="n"/>
      <c r="U96" s="26">
        <f>D96+F96+-(H96+J96+L96+N96+P96+R96+T96)</f>
        <v/>
      </c>
      <c r="V96" t="inlineStr">
        <is>
          <t>CIVIL</t>
        </is>
      </c>
    </row>
    <row r="97" ht="13.5" customHeight="1">
      <c r="A97" s="22">
        <f>A96+1</f>
        <v/>
      </c>
      <c r="B97" s="122" t="inlineStr">
        <is>
          <t>Emco Paint, Chili Red No. 132</t>
        </is>
      </c>
      <c r="C97" s="123" t="inlineStr">
        <is>
          <t>PCS</t>
        </is>
      </c>
      <c r="D97" s="26">
        <f>'Week  1'!U97</f>
        <v/>
      </c>
      <c r="E97" s="124" t="n"/>
      <c r="F97" s="62" t="n"/>
      <c r="G97" s="25" t="n"/>
      <c r="H97" s="56" t="n"/>
      <c r="I97" s="19" t="n"/>
      <c r="J97" s="64" t="n"/>
      <c r="K97" s="18" t="n"/>
      <c r="L97" s="73" t="n"/>
      <c r="M97" s="73" t="n"/>
      <c r="N97" s="73" t="n"/>
      <c r="O97" s="19" t="n"/>
      <c r="P97" s="18" t="n"/>
      <c r="Q97" s="18" t="n"/>
      <c r="R97" s="73" t="n"/>
      <c r="S97" s="18" t="n"/>
      <c r="T97" s="18" t="n"/>
      <c r="U97" s="26">
        <f>D97+F97+-(H97+J97+L97+N97+P97+R97+T97)</f>
        <v/>
      </c>
      <c r="V97" t="inlineStr">
        <is>
          <t>CIVIL</t>
        </is>
      </c>
    </row>
    <row r="98" ht="15" customHeight="1">
      <c r="A98" s="22">
        <f>A97+1</f>
        <v/>
      </c>
      <c r="B98" s="122" t="inlineStr">
        <is>
          <t>Emco Paint, Green Color No. 64</t>
        </is>
      </c>
      <c r="C98" s="123" t="inlineStr">
        <is>
          <t>PCS</t>
        </is>
      </c>
      <c r="D98" s="26">
        <f>'Week  1'!U98</f>
        <v/>
      </c>
      <c r="E98" s="125" t="n"/>
      <c r="F98" s="55" t="n"/>
      <c r="G98" s="52" t="n"/>
      <c r="H98" s="55" t="n"/>
      <c r="I98" s="71" t="n"/>
      <c r="J98" s="55" t="n"/>
      <c r="K98" s="18" t="n"/>
      <c r="L98" s="73" t="n"/>
      <c r="M98" s="73" t="n"/>
      <c r="N98" s="73" t="n"/>
      <c r="O98" s="19" t="n"/>
      <c r="P98" s="18" t="n"/>
      <c r="Q98" s="18" t="n"/>
      <c r="R98" s="73" t="n"/>
      <c r="S98" s="18" t="n"/>
      <c r="T98" s="18" t="n"/>
      <c r="U98" s="26">
        <f>D98+F98+-(H98+J98+L98+N98+P98+R98+T98)</f>
        <v/>
      </c>
      <c r="V98" t="inlineStr">
        <is>
          <t>CIVIL</t>
        </is>
      </c>
    </row>
    <row r="99" ht="30" customHeight="1">
      <c r="A99" s="22">
        <f>A98+1</f>
        <v/>
      </c>
      <c r="B99" s="122" t="inlineStr">
        <is>
          <t>Emco Paint, Traffic Red Color No. 78</t>
        </is>
      </c>
      <c r="C99" s="123" t="inlineStr">
        <is>
          <t>PCS</t>
        </is>
      </c>
      <c r="D99" s="26">
        <f>'Week  1'!U99</f>
        <v/>
      </c>
      <c r="E99" s="124" t="n"/>
      <c r="F99" s="62" t="n"/>
      <c r="G99" s="25" t="n"/>
      <c r="H99" s="56" t="n"/>
      <c r="I99" s="19" t="n"/>
      <c r="J99" s="64" t="n"/>
      <c r="K99" s="18" t="n"/>
      <c r="L99" s="73" t="n"/>
      <c r="M99" s="73" t="n"/>
      <c r="N99" s="73" t="n"/>
      <c r="O99" s="19" t="n"/>
      <c r="P99" s="18" t="n"/>
      <c r="Q99" s="18" t="n"/>
      <c r="R99" s="73" t="n"/>
      <c r="S99" s="18" t="n"/>
      <c r="T99" s="18" t="n"/>
      <c r="U99" s="26">
        <f>D99+F99+-(H99+J99+L99+N99+P99+R99+T99)</f>
        <v/>
      </c>
      <c r="V99" t="inlineStr">
        <is>
          <t>CIVIL</t>
        </is>
      </c>
    </row>
    <row r="100" ht="15" customHeight="1">
      <c r="A100" s="22">
        <f>A99+1</f>
        <v/>
      </c>
      <c r="B100" s="122" t="inlineStr">
        <is>
          <t>Emco Paint, White Color</t>
        </is>
      </c>
      <c r="C100" s="123" t="inlineStr">
        <is>
          <t>PCS</t>
        </is>
      </c>
      <c r="D100" s="26">
        <f>'Week  1'!U100</f>
        <v/>
      </c>
      <c r="E100" s="129" t="n"/>
      <c r="F100" s="55" t="n"/>
      <c r="G100" s="25" t="n"/>
      <c r="H100" s="69" t="n"/>
      <c r="I100" s="25" t="n"/>
      <c r="J100" s="69" t="n"/>
      <c r="K100" s="25" t="n"/>
      <c r="L100" s="69" t="n"/>
      <c r="M100" s="25" t="n"/>
      <c r="N100" s="73" t="n"/>
      <c r="O100" s="25" t="inlineStr">
        <is>
          <t>Sulawesi 4</t>
        </is>
      </c>
      <c r="P100" s="73" t="n">
        <v>3</v>
      </c>
      <c r="Q100" s="25" t="inlineStr">
        <is>
          <t>Sulawesi 4</t>
        </is>
      </c>
      <c r="R100" s="73" t="n">
        <v>1</v>
      </c>
      <c r="S100" s="18" t="n"/>
      <c r="T100" s="18" t="n"/>
      <c r="U100" s="26">
        <f>D100+F100+-(H100+J100+L100+N100+P100+R100+T100)</f>
        <v/>
      </c>
      <c r="V100" t="inlineStr">
        <is>
          <t>CIVIL</t>
        </is>
      </c>
    </row>
    <row r="101" ht="15" customHeight="1">
      <c r="A101" s="22">
        <f>A100+1</f>
        <v/>
      </c>
      <c r="B101" s="122" t="inlineStr">
        <is>
          <t>Emco Paint, Yellow Color No. 67</t>
        </is>
      </c>
      <c r="C101" s="123" t="inlineStr">
        <is>
          <t>PCS</t>
        </is>
      </c>
      <c r="D101" s="26">
        <f>'Week  1'!U101</f>
        <v/>
      </c>
      <c r="E101" s="129" t="n"/>
      <c r="F101" s="55" t="n"/>
      <c r="G101" s="72" t="n"/>
      <c r="H101" s="55" t="n"/>
      <c r="I101" s="71" t="n"/>
      <c r="J101" s="55" t="n"/>
      <c r="K101" s="18" t="n"/>
      <c r="L101" s="73" t="n"/>
      <c r="M101" s="73" t="n"/>
      <c r="N101" s="73" t="n"/>
      <c r="O101" s="19" t="n"/>
      <c r="P101" s="18" t="n"/>
      <c r="Q101" s="18" t="n"/>
      <c r="R101" s="73" t="n"/>
      <c r="S101" s="18" t="n"/>
      <c r="T101" s="18" t="n"/>
      <c r="U101" s="26">
        <f>D101+F101+-(H101+J101+L101+N101+P101+R101+T101)</f>
        <v/>
      </c>
      <c r="V101" t="inlineStr">
        <is>
          <t>CIVIL</t>
        </is>
      </c>
    </row>
    <row r="102">
      <c r="A102" s="22">
        <f>A101+1</f>
        <v/>
      </c>
      <c r="B102" s="79" t="inlineStr">
        <is>
          <t>Engsel Jendela 3 "</t>
        </is>
      </c>
      <c r="C102" s="40" t="inlineStr">
        <is>
          <t>Pcs</t>
        </is>
      </c>
      <c r="D102" s="26">
        <f>'Week  1'!U102</f>
        <v/>
      </c>
      <c r="E102" s="125" t="n"/>
      <c r="F102" s="55" t="n"/>
      <c r="G102" s="52" t="n"/>
      <c r="H102" s="55" t="n"/>
      <c r="I102" s="71" t="n"/>
      <c r="J102" s="55" t="n"/>
      <c r="K102" s="18" t="n"/>
      <c r="L102" s="73" t="n"/>
      <c r="M102" s="73" t="n"/>
      <c r="N102" s="73" t="n"/>
      <c r="O102" s="19" t="n"/>
      <c r="P102" s="18" t="n"/>
      <c r="Q102" s="18" t="n"/>
      <c r="R102" s="73" t="n"/>
      <c r="S102" s="18" t="n"/>
      <c r="T102" s="18" t="n"/>
      <c r="U102" s="26">
        <f>D102+F102+-(H102+J102+L102+N102+P102+R102+T102)</f>
        <v/>
      </c>
      <c r="V102" t="inlineStr">
        <is>
          <t>CIVIL</t>
        </is>
      </c>
    </row>
    <row r="103">
      <c r="A103" s="22">
        <f>A102+1</f>
        <v/>
      </c>
      <c r="B103" s="79" t="inlineStr">
        <is>
          <t>Engsel Pintu 4"</t>
        </is>
      </c>
      <c r="C103" s="40" t="inlineStr">
        <is>
          <t>Pcs</t>
        </is>
      </c>
      <c r="D103" s="26">
        <f>'Week  1'!U103</f>
        <v/>
      </c>
      <c r="E103" s="124" t="n"/>
      <c r="F103" s="62" t="n"/>
      <c r="G103" s="25" t="n"/>
      <c r="H103" s="56" t="n"/>
      <c r="I103" s="19" t="n"/>
      <c r="J103" s="64" t="n"/>
      <c r="K103" s="18" t="n"/>
      <c r="L103" s="73" t="n"/>
      <c r="M103" s="73" t="n"/>
      <c r="N103" s="73" t="n"/>
      <c r="O103" s="19" t="n"/>
      <c r="P103" s="18" t="n"/>
      <c r="Q103" s="18" t="n"/>
      <c r="R103" s="73" t="n"/>
      <c r="S103" s="18" t="n"/>
      <c r="T103" s="18" t="n"/>
      <c r="U103" s="26">
        <f>D103+F103+-(H103+J103+L103+N103+P103+R103+T103)</f>
        <v/>
      </c>
      <c r="V103" t="inlineStr">
        <is>
          <t>CIVIL</t>
        </is>
      </c>
    </row>
    <row r="104" ht="27" customHeight="1">
      <c r="A104" s="22">
        <f>A103+1</f>
        <v/>
      </c>
      <c r="B104" s="38" t="inlineStr">
        <is>
          <t>Engsel Sendok</t>
        </is>
      </c>
      <c r="C104" s="123" t="inlineStr">
        <is>
          <t>PCS</t>
        </is>
      </c>
      <c r="D104" s="26">
        <f>'Week  1'!U104</f>
        <v/>
      </c>
      <c r="E104" s="125" t="n"/>
      <c r="F104" s="55" t="n"/>
      <c r="G104" s="52" t="n"/>
      <c r="H104" s="55" t="n"/>
      <c r="I104" s="71" t="n"/>
      <c r="J104" s="55" t="n"/>
      <c r="K104" s="18" t="n"/>
      <c r="L104" s="73" t="n"/>
      <c r="M104" s="73" t="n"/>
      <c r="N104" s="73" t="n"/>
      <c r="O104" s="19" t="n"/>
      <c r="P104" s="18" t="n"/>
      <c r="Q104" s="18" t="n"/>
      <c r="R104" s="73" t="n"/>
      <c r="S104" s="18" t="n"/>
      <c r="T104" s="18" t="n"/>
      <c r="U104" s="26">
        <f>D104+F104+-(H104+J104+L104+N104+P104+R104+T104)</f>
        <v/>
      </c>
      <c r="V104" t="inlineStr">
        <is>
          <t>CIVIL</t>
        </is>
      </c>
    </row>
    <row r="105" ht="15" customFormat="1" customHeight="1" s="42">
      <c r="A105" s="22">
        <f>A104+1</f>
        <v/>
      </c>
      <c r="B105" s="38" t="inlineStr">
        <is>
          <t>Equal Elbow 20 x20</t>
        </is>
      </c>
      <c r="C105" s="123" t="inlineStr">
        <is>
          <t>PCS</t>
        </is>
      </c>
      <c r="D105" s="26">
        <f>'Week  1'!U105</f>
        <v/>
      </c>
      <c r="E105" s="124" t="n"/>
      <c r="F105" s="62" t="n"/>
      <c r="G105" s="25" t="n"/>
      <c r="H105" s="56" t="n"/>
      <c r="I105" s="19" t="n"/>
      <c r="J105" s="64" t="n"/>
      <c r="K105" s="18" t="n"/>
      <c r="L105" s="73" t="n"/>
      <c r="M105" s="73" t="n"/>
      <c r="N105" s="73" t="n"/>
      <c r="O105" s="19" t="n"/>
      <c r="P105" s="18" t="n"/>
      <c r="Q105" s="18" t="n"/>
      <c r="R105" s="73" t="n"/>
      <c r="S105" s="18" t="n"/>
      <c r="T105" s="18" t="n"/>
      <c r="U105" s="26">
        <f>D105+F105+-(H105+J105+L105+N105+P105+R105+T105)</f>
        <v/>
      </c>
      <c r="V105" t="inlineStr">
        <is>
          <t>VALVE AND PIPE</t>
        </is>
      </c>
    </row>
    <row r="106" ht="15" customHeight="1">
      <c r="A106" s="22">
        <f>A105+1</f>
        <v/>
      </c>
      <c r="B106" s="38" t="inlineStr">
        <is>
          <t>Equal Elbow 25 x 25</t>
        </is>
      </c>
      <c r="C106" s="123" t="inlineStr">
        <is>
          <t>PCS</t>
        </is>
      </c>
      <c r="D106" s="26">
        <f>'Week  1'!U106</f>
        <v/>
      </c>
      <c r="E106" s="125" t="n"/>
      <c r="F106" s="55" t="n"/>
      <c r="G106" s="52" t="n"/>
      <c r="H106" s="55" t="n"/>
      <c r="I106" s="71" t="n"/>
      <c r="J106" s="55" t="n"/>
      <c r="K106" s="18" t="n"/>
      <c r="L106" s="73" t="n"/>
      <c r="M106" s="73" t="n"/>
      <c r="N106" s="73" t="n"/>
      <c r="O106" s="19" t="n"/>
      <c r="P106" s="18" t="n"/>
      <c r="Q106" s="18" t="n"/>
      <c r="R106" s="73" t="n"/>
      <c r="S106" s="18" t="n"/>
      <c r="T106" s="18" t="n"/>
      <c r="U106" s="26">
        <f>D106+F106+-(H106+J106+L106+N106+P106+R106+T106)</f>
        <v/>
      </c>
      <c r="V106" t="inlineStr">
        <is>
          <t>VALVE AND PIPE</t>
        </is>
      </c>
    </row>
    <row r="107" ht="15" customHeight="1">
      <c r="A107" s="22">
        <f>A106+1</f>
        <v/>
      </c>
      <c r="B107" s="38" t="inlineStr">
        <is>
          <t>Equal Elbow 32 x 32</t>
        </is>
      </c>
      <c r="C107" s="123" t="inlineStr">
        <is>
          <t>PCS</t>
        </is>
      </c>
      <c r="D107" s="26">
        <f>'Week  1'!U107</f>
        <v/>
      </c>
      <c r="E107" s="124" t="n"/>
      <c r="F107" s="62" t="n"/>
      <c r="G107" s="25" t="n"/>
      <c r="H107" s="56" t="n"/>
      <c r="I107" s="19" t="n"/>
      <c r="J107" s="64" t="n"/>
      <c r="K107" s="18" t="n"/>
      <c r="L107" s="73" t="n"/>
      <c r="M107" s="73" t="n"/>
      <c r="N107" s="73" t="n"/>
      <c r="O107" s="19" t="n"/>
      <c r="P107" s="18" t="n"/>
      <c r="Q107" s="18" t="n"/>
      <c r="R107" s="73" t="n"/>
      <c r="S107" s="18" t="n"/>
      <c r="T107" s="18" t="n"/>
      <c r="U107" s="26">
        <f>D107+F107+-(H107+J107+L107+N107+P107+R107+T107)</f>
        <v/>
      </c>
      <c r="V107" t="inlineStr">
        <is>
          <t>VALVE AND PIPE</t>
        </is>
      </c>
    </row>
    <row r="108" ht="15" customHeight="1">
      <c r="A108" s="22">
        <f>A107+1</f>
        <v/>
      </c>
      <c r="B108" s="38" t="inlineStr">
        <is>
          <t>Equal Tee 32 x 20</t>
        </is>
      </c>
      <c r="C108" s="123" t="inlineStr">
        <is>
          <t>PCS</t>
        </is>
      </c>
      <c r="D108" s="26">
        <f>'Week  1'!U108</f>
        <v/>
      </c>
      <c r="E108" s="125" t="n"/>
      <c r="F108" s="55" t="n"/>
      <c r="G108" s="52" t="n"/>
      <c r="H108" s="55" t="n"/>
      <c r="I108" s="71" t="n"/>
      <c r="J108" s="55" t="n"/>
      <c r="K108" s="18" t="n"/>
      <c r="L108" s="73" t="n"/>
      <c r="M108" s="73" t="n"/>
      <c r="N108" s="73" t="n"/>
      <c r="O108" s="19" t="n"/>
      <c r="P108" s="18" t="n"/>
      <c r="Q108" s="18" t="n"/>
      <c r="R108" s="73" t="n"/>
      <c r="S108" s="18" t="n"/>
      <c r="T108" s="18" t="n"/>
      <c r="U108" s="26">
        <f>D108+F108+-(H108+J108+L108+N108+P108+R108+T108)</f>
        <v/>
      </c>
      <c r="V108" t="inlineStr">
        <is>
          <t>VALVE AND PIPE</t>
        </is>
      </c>
    </row>
    <row r="109" ht="15" customHeight="1">
      <c r="A109" s="22">
        <f>A108+1</f>
        <v/>
      </c>
      <c r="B109" s="38" t="inlineStr">
        <is>
          <t>Male thread adaptor 32 x 1"</t>
        </is>
      </c>
      <c r="C109" s="123" t="inlineStr">
        <is>
          <t>PCS</t>
        </is>
      </c>
      <c r="D109" s="26">
        <f>'Week  1'!U109</f>
        <v/>
      </c>
      <c r="E109" s="124" t="n"/>
      <c r="F109" s="62" t="n"/>
      <c r="G109" s="25" t="n"/>
      <c r="H109" s="56" t="n"/>
      <c r="I109" s="19" t="n"/>
      <c r="J109" s="64" t="n"/>
      <c r="K109" s="18" t="n"/>
      <c r="L109" s="73" t="n"/>
      <c r="M109" s="73" t="n"/>
      <c r="N109" s="73" t="n"/>
      <c r="O109" s="19" t="n"/>
      <c r="P109" s="18" t="n"/>
      <c r="Q109" s="18" t="n"/>
      <c r="R109" s="73" t="n"/>
      <c r="S109" s="18" t="n"/>
      <c r="T109" s="18" t="n"/>
      <c r="U109" s="26">
        <f>D109+F109+-(H109+J109+L109+N109+P109+R109+T109)</f>
        <v/>
      </c>
      <c r="V109" t="inlineStr">
        <is>
          <t>VALVE AND PIPE</t>
        </is>
      </c>
    </row>
    <row r="110" ht="27" customHeight="1">
      <c r="A110" s="22">
        <f>A109+1</f>
        <v/>
      </c>
      <c r="B110" s="122" t="inlineStr">
        <is>
          <t>FITING LAMPU</t>
        </is>
      </c>
      <c r="C110" s="123" t="inlineStr">
        <is>
          <t>PCS</t>
        </is>
      </c>
      <c r="D110" s="26">
        <f>'Week  1'!U110</f>
        <v/>
      </c>
      <c r="E110" s="125" t="n"/>
      <c r="F110" s="55" t="n"/>
      <c r="G110" s="52" t="n"/>
      <c r="H110" s="55" t="n"/>
      <c r="I110" s="71" t="n"/>
      <c r="J110" s="55" t="n"/>
      <c r="K110" s="18" t="n"/>
      <c r="L110" s="73" t="n"/>
      <c r="M110" s="73" t="n"/>
      <c r="N110" s="73" t="n"/>
      <c r="O110" s="19" t="n"/>
      <c r="P110" s="18" t="n"/>
      <c r="Q110" s="73" t="inlineStr">
        <is>
          <t>POS S</t>
        </is>
      </c>
      <c r="R110" s="73" t="n">
        <v>1</v>
      </c>
      <c r="S110" s="18" t="n"/>
      <c r="T110" s="18" t="n"/>
      <c r="U110" s="26">
        <f>D110+F110+-(H110+J110+L110+N110+P110+R110+T110)</f>
        <v/>
      </c>
      <c r="V110" t="inlineStr">
        <is>
          <t>LAMP</t>
        </is>
      </c>
    </row>
    <row r="111" ht="25.5" customHeight="1">
      <c r="A111" s="22">
        <f>A110+1</f>
        <v/>
      </c>
      <c r="B111" s="51" t="inlineStr">
        <is>
          <t>Sensor Photo cell</t>
        </is>
      </c>
      <c r="C111" s="123" t="inlineStr">
        <is>
          <t>PCS</t>
        </is>
      </c>
      <c r="D111" s="26">
        <f>'Week  1'!U111</f>
        <v/>
      </c>
      <c r="E111" s="124" t="n"/>
      <c r="F111" s="62" t="n"/>
      <c r="G111" s="68" t="n"/>
      <c r="H111" s="56" t="n"/>
      <c r="I111" s="19" t="n"/>
      <c r="J111" s="64" t="n"/>
      <c r="K111" s="18" t="n"/>
      <c r="L111" s="73" t="n"/>
      <c r="M111" s="73" t="n"/>
      <c r="N111" s="73" t="n"/>
      <c r="O111" s="19" t="n"/>
      <c r="P111" s="18" t="n"/>
      <c r="Q111" s="18" t="n"/>
      <c r="R111" s="73" t="n"/>
      <c r="S111" s="18" t="n"/>
      <c r="T111" s="18" t="n"/>
      <c r="U111" s="26">
        <f>D111+F111+-(H111+J111+L111+N111+P111+R111+T111)</f>
        <v/>
      </c>
      <c r="V111" t="inlineStr">
        <is>
          <t>LAMP</t>
        </is>
      </c>
    </row>
    <row r="112" ht="25.5" customHeight="1">
      <c r="A112" s="22">
        <f>A111+1</f>
        <v/>
      </c>
      <c r="B112" s="122" t="inlineStr">
        <is>
          <t>Filter Fleet Guard WF 2071 (Filter Udara)</t>
        </is>
      </c>
      <c r="C112" s="123" t="inlineStr">
        <is>
          <t>PCS</t>
        </is>
      </c>
      <c r="D112" s="26">
        <f>'Week  1'!U112</f>
        <v/>
      </c>
      <c r="E112" s="125" t="n"/>
      <c r="F112" s="55" t="n"/>
      <c r="G112" s="52" t="n"/>
      <c r="H112" s="55" t="n"/>
      <c r="I112" s="71" t="n"/>
      <c r="J112" s="55" t="n"/>
      <c r="K112" s="18" t="n"/>
      <c r="L112" s="73" t="n"/>
      <c r="M112" s="73" t="n"/>
      <c r="N112" s="73" t="n"/>
      <c r="O112" s="19" t="n"/>
      <c r="P112" s="18" t="n"/>
      <c r="Q112" s="18" t="n"/>
      <c r="R112" s="73" t="n"/>
      <c r="S112" s="18" t="n"/>
      <c r="T112" s="18" t="n"/>
      <c r="U112" s="26">
        <f>D112+F112+-(H112+J112+L112+N112+P112+R112+T112)</f>
        <v/>
      </c>
      <c r="V112" t="inlineStr">
        <is>
          <t>CONSUMABLE</t>
        </is>
      </c>
    </row>
    <row r="113" ht="42" customHeight="1">
      <c r="A113" s="22">
        <f>A112+1</f>
        <v/>
      </c>
      <c r="B113" s="122" t="inlineStr">
        <is>
          <t>Filter Fleet Guard FS 1212 (Filter Solar)</t>
        </is>
      </c>
      <c r="C113" s="123" t="inlineStr">
        <is>
          <t>PCS</t>
        </is>
      </c>
      <c r="D113" s="26">
        <f>'Week  1'!U113</f>
        <v/>
      </c>
      <c r="E113" s="124" t="n"/>
      <c r="F113" s="62" t="n"/>
      <c r="G113" s="25" t="n"/>
      <c r="H113" s="56" t="n"/>
      <c r="I113" s="19" t="n"/>
      <c r="J113" s="64" t="n"/>
      <c r="K113" s="18" t="n"/>
      <c r="L113" s="73" t="n"/>
      <c r="M113" s="73" t="n"/>
      <c r="N113" s="73" t="n"/>
      <c r="O113" s="19" t="n"/>
      <c r="P113" s="18" t="n"/>
      <c r="Q113" s="18" t="n"/>
      <c r="R113" s="73" t="n"/>
      <c r="S113" s="18" t="n"/>
      <c r="T113" s="18" t="n"/>
      <c r="U113" s="26">
        <f>D113+F113+-(H113+J113+L113+N113+P113+R113+T113)</f>
        <v/>
      </c>
      <c r="V113" t="inlineStr">
        <is>
          <t>CONSUMABLE</t>
        </is>
      </c>
    </row>
    <row r="114" ht="30" customHeight="1">
      <c r="A114" s="22">
        <f>A113+1</f>
        <v/>
      </c>
      <c r="B114" s="122" t="inlineStr">
        <is>
          <t>Filter Fleet Guard LF 3000 (Oil Filter )</t>
        </is>
      </c>
      <c r="C114" s="123" t="inlineStr">
        <is>
          <t>PCS</t>
        </is>
      </c>
      <c r="D114" s="26">
        <f>'Week  1'!U114</f>
        <v/>
      </c>
      <c r="E114" s="125" t="n"/>
      <c r="F114" s="55" t="n"/>
      <c r="G114" s="52" t="n"/>
      <c r="H114" s="55" t="n"/>
      <c r="I114" s="71" t="n"/>
      <c r="J114" s="55" t="n"/>
      <c r="K114" s="18" t="n"/>
      <c r="L114" s="73" t="n"/>
      <c r="M114" s="73" t="n"/>
      <c r="N114" s="73" t="n"/>
      <c r="O114" s="19" t="n"/>
      <c r="P114" s="18" t="n"/>
      <c r="Q114" s="18" t="n"/>
      <c r="R114" s="73" t="n"/>
      <c r="S114" s="18" t="n"/>
      <c r="T114" s="18" t="n"/>
      <c r="U114" s="26">
        <f>D114+F114+-(H114+J114+L114+N114+P114+R114+T114)</f>
        <v/>
      </c>
      <c r="V114" t="inlineStr">
        <is>
          <t>CONSUMABLE</t>
        </is>
      </c>
    </row>
    <row r="115" ht="27" customHeight="1">
      <c r="A115" s="22">
        <f>A114+1</f>
        <v/>
      </c>
      <c r="B115" s="122" t="inlineStr">
        <is>
          <t>Filter Fleet Guard WF 2076 (Filter Udara)</t>
        </is>
      </c>
      <c r="C115" s="123" t="inlineStr">
        <is>
          <t>PCS</t>
        </is>
      </c>
      <c r="D115" s="26">
        <f>'Week  1'!U115</f>
        <v/>
      </c>
      <c r="E115" s="124" t="n"/>
      <c r="F115" s="62" t="n"/>
      <c r="G115" s="25" t="n"/>
      <c r="H115" s="56" t="n"/>
      <c r="I115" s="19" t="n"/>
      <c r="J115" s="64" t="n"/>
      <c r="K115" s="18" t="n"/>
      <c r="L115" s="73" t="n"/>
      <c r="M115" s="73" t="n"/>
      <c r="N115" s="73" t="n"/>
      <c r="O115" s="19" t="n"/>
      <c r="P115" s="18" t="n"/>
      <c r="Q115" s="18" t="n"/>
      <c r="R115" s="73" t="n"/>
      <c r="S115" s="18" t="n"/>
      <c r="T115" s="18" t="n"/>
      <c r="U115" s="26">
        <f>D115+F115+-(H115+J115+L115+N115+P115+R115+T115)</f>
        <v/>
      </c>
      <c r="V115" t="inlineStr">
        <is>
          <t>CONSUMABLE</t>
        </is>
      </c>
    </row>
    <row r="116" ht="20.25" customHeight="1">
      <c r="A116" s="22">
        <f>A115+1</f>
        <v/>
      </c>
      <c r="B116" s="122" t="inlineStr">
        <is>
          <t>Flexible Hose  50 CM</t>
        </is>
      </c>
      <c r="C116" s="123" t="inlineStr">
        <is>
          <t>PCS</t>
        </is>
      </c>
      <c r="D116" s="26">
        <f>'Week  1'!U116</f>
        <v/>
      </c>
      <c r="E116" s="125" t="n"/>
      <c r="F116" s="55" t="n"/>
      <c r="G116" s="52" t="n"/>
      <c r="H116" s="55" t="n"/>
      <c r="I116" s="71" t="n"/>
      <c r="J116" s="55" t="n"/>
      <c r="K116" s="18" t="n"/>
      <c r="L116" s="73" t="n"/>
      <c r="M116" s="73" t="n"/>
      <c r="N116" s="73" t="n"/>
      <c r="O116" s="19" t="n"/>
      <c r="P116" s="18" t="n"/>
      <c r="Q116" s="18" t="n"/>
      <c r="R116" s="73" t="n"/>
      <c r="S116" s="18" t="n"/>
      <c r="T116" s="18" t="n"/>
      <c r="U116" s="26">
        <f>D116+F116+-(H116+J116+L116+N116+P116+R116+T116)</f>
        <v/>
      </c>
      <c r="V116" t="inlineStr">
        <is>
          <t>VALVE AND PIPE</t>
        </is>
      </c>
    </row>
    <row r="117" ht="27" customHeight="1">
      <c r="A117" s="22">
        <f>A116+1</f>
        <v/>
      </c>
      <c r="B117" s="122" t="inlineStr">
        <is>
          <t>Flexible Hose  60 CM STAINLESS</t>
        </is>
      </c>
      <c r="C117" s="123" t="inlineStr">
        <is>
          <t>PCS</t>
        </is>
      </c>
      <c r="D117" s="26">
        <f>'Week  1'!U117</f>
        <v/>
      </c>
      <c r="E117" s="124" t="n"/>
      <c r="F117" s="62" t="n"/>
      <c r="G117" s="25" t="n"/>
      <c r="H117" s="56" t="n"/>
      <c r="I117" s="19" t="n"/>
      <c r="J117" s="64" t="n"/>
      <c r="K117" s="18" t="n"/>
      <c r="L117" s="73" t="n"/>
      <c r="M117" s="73" t="n"/>
      <c r="N117" s="73" t="n"/>
      <c r="O117" s="19" t="n"/>
      <c r="P117" s="18" t="n"/>
      <c r="Q117" s="18" t="n"/>
      <c r="R117" s="73" t="n"/>
      <c r="S117" s="18" t="n"/>
      <c r="T117" s="18" t="n"/>
      <c r="U117" s="26">
        <f>D117+F117+-(H117+J117+L117+N117+P117+R117+T117)</f>
        <v/>
      </c>
      <c r="V117" t="inlineStr">
        <is>
          <t>VALVE AND PIPE</t>
        </is>
      </c>
    </row>
    <row r="118" ht="28.5" customHeight="1">
      <c r="A118" s="22">
        <f>A117+1</f>
        <v/>
      </c>
      <c r="B118" s="122" t="inlineStr">
        <is>
          <t>Flexible Hose 40 Cm</t>
        </is>
      </c>
      <c r="C118" s="123" t="inlineStr">
        <is>
          <t>PCS</t>
        </is>
      </c>
      <c r="D118" s="26">
        <f>'Week  1'!U118</f>
        <v/>
      </c>
      <c r="E118" s="125" t="n"/>
      <c r="F118" s="55" t="n"/>
      <c r="G118" s="52" t="n"/>
      <c r="H118" s="55" t="n"/>
      <c r="I118" s="71" t="n"/>
      <c r="J118" s="55" t="n"/>
      <c r="K118" s="18" t="n"/>
      <c r="L118" s="73" t="n"/>
      <c r="M118" s="73" t="n"/>
      <c r="N118" s="73" t="n"/>
      <c r="O118" s="19" t="n"/>
      <c r="P118" s="18" t="n"/>
      <c r="Q118" s="18" t="n"/>
      <c r="R118" s="73" t="n"/>
      <c r="S118" s="18" t="n"/>
      <c r="T118" s="18" t="n"/>
      <c r="U118" s="26">
        <f>D118+F118+-(H118+J118+L118+N118+P118+R118+T118)</f>
        <v/>
      </c>
      <c r="V118" t="inlineStr">
        <is>
          <t>VALVE AND PIPE</t>
        </is>
      </c>
    </row>
    <row r="119" ht="27" customHeight="1">
      <c r="A119" s="22">
        <f>A118+1</f>
        <v/>
      </c>
      <c r="B119" s="122" t="inlineStr">
        <is>
          <t>Flexible Hose of Washbasin, DUPON</t>
        </is>
      </c>
      <c r="C119" s="123" t="inlineStr">
        <is>
          <t>SET</t>
        </is>
      </c>
      <c r="D119" s="26">
        <f>'Week  1'!U119</f>
        <v/>
      </c>
      <c r="E119" s="124" t="n"/>
      <c r="F119" s="62" t="n"/>
      <c r="G119" s="25" t="n"/>
      <c r="H119" s="56" t="n"/>
      <c r="I119" s="19" t="n"/>
      <c r="J119" s="64" t="n"/>
      <c r="K119" s="18" t="n"/>
      <c r="L119" s="73" t="n"/>
      <c r="M119" s="73" t="n"/>
      <c r="N119" s="73" t="n"/>
      <c r="O119" s="19" t="n"/>
      <c r="P119" s="18" t="n"/>
      <c r="Q119" s="18" t="n"/>
      <c r="R119" s="73" t="n"/>
      <c r="S119" s="18" t="n"/>
      <c r="T119" s="18" t="n"/>
      <c r="U119" s="26">
        <f>D119+F119+-(H119+J119+L119+N119+P119+R119+T119)</f>
        <v/>
      </c>
      <c r="V119" t="inlineStr">
        <is>
          <t>VALVE AND PIPE</t>
        </is>
      </c>
    </row>
    <row r="120" ht="27" customHeight="1">
      <c r="A120" s="22">
        <f>A119+1</f>
        <v/>
      </c>
      <c r="B120" s="122" t="inlineStr">
        <is>
          <t>Flexible Hose of Washbasin, MOVE</t>
        </is>
      </c>
      <c r="C120" s="123" t="inlineStr">
        <is>
          <t>PCS</t>
        </is>
      </c>
      <c r="D120" s="26">
        <f>'Week  1'!U120</f>
        <v/>
      </c>
      <c r="E120" s="125" t="n"/>
      <c r="F120" s="55" t="n"/>
      <c r="G120" s="52" t="n"/>
      <c r="H120" s="55" t="n"/>
      <c r="I120" s="71" t="n"/>
      <c r="J120" s="55" t="n"/>
      <c r="K120" s="18" t="n"/>
      <c r="L120" s="73" t="n"/>
      <c r="M120" s="73" t="n"/>
      <c r="N120" s="73" t="n"/>
      <c r="O120" s="19" t="n"/>
      <c r="P120" s="18" t="n"/>
      <c r="Q120" s="18" t="n"/>
      <c r="R120" s="73" t="n"/>
      <c r="S120" s="18" t="n"/>
      <c r="T120" s="18" t="n"/>
      <c r="U120" s="26">
        <f>D120+F120+-(H120+J120+L120+N120+P120+R120+T120)</f>
        <v/>
      </c>
      <c r="V120" t="inlineStr">
        <is>
          <t>VALVE AND PIPE</t>
        </is>
      </c>
    </row>
    <row r="121" ht="32.25" customHeight="1">
      <c r="A121" s="22">
        <f>A120+1</f>
        <v/>
      </c>
      <c r="B121" s="122" t="inlineStr">
        <is>
          <t>Floating Valve of Closet ( Tombol Atas )</t>
        </is>
      </c>
      <c r="C121" s="123" t="inlineStr">
        <is>
          <t>PCS</t>
        </is>
      </c>
      <c r="D121" s="26">
        <f>'Week  1'!U121</f>
        <v/>
      </c>
      <c r="E121" s="124" t="n"/>
      <c r="F121" s="62" t="n"/>
      <c r="G121" s="25" t="n"/>
      <c r="H121" s="56" t="n"/>
      <c r="I121" s="19" t="n"/>
      <c r="J121" s="64" t="n"/>
      <c r="K121" s="18" t="n"/>
      <c r="L121" s="73" t="n"/>
      <c r="M121" s="73" t="n"/>
      <c r="N121" s="73" t="n"/>
      <c r="O121" s="19" t="n"/>
      <c r="P121" s="18" t="n"/>
      <c r="Q121" s="18" t="n"/>
      <c r="R121" s="73" t="n"/>
      <c r="S121" s="18" t="n"/>
      <c r="T121" s="18" t="n"/>
      <c r="U121" s="26">
        <f>D121+F121+-(H121+J121+L121+N121+P121+R121+T121)</f>
        <v/>
      </c>
      <c r="V121" t="inlineStr">
        <is>
          <t>SANITARY</t>
        </is>
      </c>
    </row>
    <row r="122" ht="27.75" customHeight="1">
      <c r="A122" s="22">
        <f>A121+1</f>
        <v/>
      </c>
      <c r="B122" s="122" t="inlineStr">
        <is>
          <t>Floating Valve of Closet ( Tombol Samping  )</t>
        </is>
      </c>
      <c r="C122" s="123" t="inlineStr">
        <is>
          <t>PCS</t>
        </is>
      </c>
      <c r="D122" s="26">
        <f>'Week  1'!U122</f>
        <v/>
      </c>
      <c r="E122" s="125" t="n"/>
      <c r="F122" s="55" t="n"/>
      <c r="G122" s="52" t="n"/>
      <c r="H122" s="55" t="n"/>
      <c r="I122" s="71" t="n"/>
      <c r="J122" s="55" t="n"/>
      <c r="K122" s="18" t="n"/>
      <c r="L122" s="73" t="n"/>
      <c r="M122" s="73" t="n"/>
      <c r="N122" s="73" t="n"/>
      <c r="O122" s="19" t="n"/>
      <c r="P122" s="18" t="n"/>
      <c r="Q122" s="18" t="n"/>
      <c r="R122" s="73" t="n"/>
      <c r="S122" s="18" t="n"/>
      <c r="T122" s="18" t="n"/>
      <c r="U122" s="26">
        <f>D122+F122+-(H122+J122+L122+N122+P122+R122+T122)</f>
        <v/>
      </c>
      <c r="V122" t="inlineStr">
        <is>
          <t>SANITARY</t>
        </is>
      </c>
    </row>
    <row r="123" ht="24" customHeight="1">
      <c r="A123" s="22">
        <f>A122+1</f>
        <v/>
      </c>
      <c r="B123" s="122" t="inlineStr">
        <is>
          <t>Floor Drain</t>
        </is>
      </c>
      <c r="C123" s="123" t="inlineStr">
        <is>
          <t>PCS</t>
        </is>
      </c>
      <c r="D123" s="26">
        <f>'Week  1'!U123</f>
        <v/>
      </c>
      <c r="E123" s="124" t="n"/>
      <c r="F123" s="62" t="n"/>
      <c r="G123" s="25" t="n"/>
      <c r="H123" s="56" t="n"/>
      <c r="I123" s="19" t="n"/>
      <c r="J123" s="64" t="n"/>
      <c r="K123" s="18" t="n"/>
      <c r="L123" s="73" t="n"/>
      <c r="M123" s="73" t="n"/>
      <c r="N123" s="73" t="n"/>
      <c r="O123" s="19" t="n"/>
      <c r="P123" s="18" t="n"/>
      <c r="Q123" s="18" t="n"/>
      <c r="R123" s="73" t="n"/>
      <c r="S123" s="18" t="n"/>
      <c r="T123" s="18" t="n"/>
      <c r="U123" s="26">
        <f>D123+F123+-(H123+J123+L123+N123+P123+R123+T123)</f>
        <v/>
      </c>
      <c r="V123" t="inlineStr">
        <is>
          <t>SANITARY</t>
        </is>
      </c>
    </row>
    <row r="124" ht="24" customHeight="1">
      <c r="A124" s="22">
        <f>A123+1</f>
        <v/>
      </c>
      <c r="B124" s="122" t="inlineStr">
        <is>
          <t>FREON R 22 DUPONT ( 13,62 Kg )</t>
        </is>
      </c>
      <c r="C124" s="123" t="inlineStr">
        <is>
          <t>BTL</t>
        </is>
      </c>
      <c r="D124" s="26">
        <f>'Week  1'!U124</f>
        <v/>
      </c>
      <c r="E124" s="125" t="n"/>
      <c r="F124" s="55" t="n"/>
      <c r="G124" s="52" t="n"/>
      <c r="H124" s="55" t="n"/>
      <c r="I124" s="71" t="n"/>
      <c r="J124" s="55" t="n"/>
      <c r="K124" s="18" t="n"/>
      <c r="L124" s="73" t="n"/>
      <c r="M124" s="73" t="n"/>
      <c r="N124" s="73" t="n"/>
      <c r="O124" s="19" t="n"/>
      <c r="P124" s="18" t="n"/>
      <c r="Q124" s="18" t="n"/>
      <c r="R124" s="73" t="n"/>
      <c r="S124" s="18" t="n"/>
      <c r="T124" s="18" t="n"/>
      <c r="U124" s="26">
        <f>D124+F124+-(H124+J124+L124+N124+P124+R124+T124)</f>
        <v/>
      </c>
      <c r="V124" t="inlineStr">
        <is>
          <t>AC</t>
        </is>
      </c>
    </row>
    <row r="125" ht="24" customHeight="1">
      <c r="A125" s="22">
        <f>A124+1</f>
        <v/>
      </c>
      <c r="B125" s="122" t="inlineStr">
        <is>
          <t xml:space="preserve">FREON R 32 </t>
        </is>
      </c>
      <c r="C125" s="123" t="inlineStr">
        <is>
          <t>BTL</t>
        </is>
      </c>
      <c r="D125" s="26">
        <f>'Week  1'!U125</f>
        <v/>
      </c>
      <c r="E125" s="124" t="n"/>
      <c r="F125" s="62" t="n"/>
      <c r="G125" s="25" t="n"/>
      <c r="H125" s="56" t="n"/>
      <c r="I125" s="19" t="n"/>
      <c r="J125" s="64" t="n"/>
      <c r="K125" s="18" t="n"/>
      <c r="L125" s="73" t="n"/>
      <c r="M125" s="73" t="n"/>
      <c r="N125" s="73" t="n"/>
      <c r="O125" s="19" t="n"/>
      <c r="P125" s="18" t="n"/>
      <c r="Q125" s="18" t="n"/>
      <c r="R125" s="73" t="n"/>
      <c r="S125" s="18" t="n"/>
      <c r="T125" s="18" t="n"/>
      <c r="U125" s="26">
        <f>D125+F125+-(H125+J125+L125+N125+P125+R125+T125)</f>
        <v/>
      </c>
      <c r="V125" t="inlineStr">
        <is>
          <t>AC</t>
        </is>
      </c>
    </row>
    <row r="126" ht="27" customHeight="1">
      <c r="A126" s="22">
        <f>A125+1</f>
        <v/>
      </c>
      <c r="B126" s="79" t="inlineStr">
        <is>
          <t>FLANGE PVC 2,5"</t>
        </is>
      </c>
      <c r="C126" s="29" t="inlineStr">
        <is>
          <t>Pcs</t>
        </is>
      </c>
      <c r="D126" s="26">
        <f>'Week  1'!U126</f>
        <v/>
      </c>
      <c r="E126" s="125" t="n"/>
      <c r="F126" s="55" t="n"/>
      <c r="G126" s="52" t="n"/>
      <c r="H126" s="55" t="n"/>
      <c r="I126" s="71" t="n"/>
      <c r="J126" s="55" t="n"/>
      <c r="K126" s="18" t="n"/>
      <c r="L126" s="73" t="n"/>
      <c r="M126" s="73" t="n"/>
      <c r="N126" s="73" t="n"/>
      <c r="O126" s="19" t="n"/>
      <c r="P126" s="18" t="n"/>
      <c r="Q126" s="18" t="n"/>
      <c r="R126" s="73" t="n"/>
      <c r="S126" s="18" t="n"/>
      <c r="T126" s="18" t="n"/>
      <c r="U126" s="26">
        <f>D126+F126+-(H126+J126+L126+N126+P126+R126+T126)</f>
        <v/>
      </c>
      <c r="V126" t="inlineStr">
        <is>
          <t>VALVE AND PIPE</t>
        </is>
      </c>
    </row>
    <row r="127" ht="27" customHeight="1">
      <c r="A127" s="22">
        <f>A126+1</f>
        <v/>
      </c>
      <c r="B127" s="79" t="inlineStr">
        <is>
          <t>FLANGE PVC 2"</t>
        </is>
      </c>
      <c r="C127" s="29" t="inlineStr">
        <is>
          <t>Pcs</t>
        </is>
      </c>
      <c r="D127" s="26">
        <f>'Week  1'!U127</f>
        <v/>
      </c>
      <c r="E127" s="124" t="n"/>
      <c r="F127" s="62" t="n"/>
      <c r="G127" s="25" t="n"/>
      <c r="H127" s="56" t="n"/>
      <c r="I127" s="19" t="n"/>
      <c r="J127" s="64" t="n"/>
      <c r="K127" s="18" t="n"/>
      <c r="L127" s="73" t="n"/>
      <c r="M127" s="73" t="n"/>
      <c r="N127" s="73" t="n"/>
      <c r="O127" s="19" t="n"/>
      <c r="P127" s="18" t="n"/>
      <c r="Q127" s="19" t="n"/>
      <c r="R127" s="73" t="n"/>
      <c r="S127" s="18" t="n"/>
      <c r="T127" s="18" t="n"/>
      <c r="U127" s="26">
        <f>D127+F127+-(H127+J127+L127+N127+P127+R127+T127)</f>
        <v/>
      </c>
      <c r="V127" t="inlineStr">
        <is>
          <t>VALVE AND PIPE</t>
        </is>
      </c>
    </row>
    <row r="128">
      <c r="A128" s="22">
        <f>A127+1</f>
        <v/>
      </c>
      <c r="B128" s="79" t="inlineStr">
        <is>
          <t xml:space="preserve">Grendel </t>
        </is>
      </c>
      <c r="C128" s="40" t="inlineStr">
        <is>
          <t>Pcs</t>
        </is>
      </c>
      <c r="D128" s="26">
        <f>'Week  1'!U128</f>
        <v/>
      </c>
      <c r="E128" s="125" t="n"/>
      <c r="F128" s="55" t="n"/>
      <c r="G128" s="52" t="n"/>
      <c r="H128" s="55" t="n"/>
      <c r="I128" s="71" t="n"/>
      <c r="J128" s="55" t="n"/>
      <c r="K128" s="19" t="n"/>
      <c r="L128" s="73" t="n"/>
      <c r="M128" s="73" t="n"/>
      <c r="N128" s="73" t="n"/>
      <c r="O128" s="19" t="n"/>
      <c r="P128" s="18" t="n"/>
      <c r="Q128" s="18" t="n"/>
      <c r="R128" s="73" t="n"/>
      <c r="S128" s="18" t="n"/>
      <c r="T128" s="18" t="n"/>
      <c r="U128" s="26">
        <f>D128+F128+-(H128+J128+L128+N128+P128+R128+T128)</f>
        <v/>
      </c>
      <c r="V128" t="inlineStr">
        <is>
          <t>CIVIL</t>
        </is>
      </c>
    </row>
    <row r="129" ht="27" customHeight="1">
      <c r="A129" s="22">
        <f>A128+1</f>
        <v/>
      </c>
      <c r="B129" s="122" t="inlineStr">
        <is>
          <t xml:space="preserve">Hand Shower </t>
        </is>
      </c>
      <c r="C129" s="123" t="inlineStr">
        <is>
          <t>PCS</t>
        </is>
      </c>
      <c r="D129" s="26">
        <f>'Week  1'!U129</f>
        <v/>
      </c>
      <c r="E129" s="124" t="n"/>
      <c r="F129" s="62" t="n"/>
      <c r="G129" s="68" t="n"/>
      <c r="H129" s="56" t="n"/>
      <c r="I129" s="19" t="n"/>
      <c r="J129" s="64" t="n"/>
      <c r="K129" s="19" t="n"/>
      <c r="L129" s="73" t="n"/>
      <c r="M129" s="73" t="inlineStr">
        <is>
          <t>Sulawesi 11</t>
        </is>
      </c>
      <c r="N129" s="73" t="n">
        <v>1</v>
      </c>
      <c r="O129" s="19" t="inlineStr">
        <is>
          <t>Jawa 12</t>
        </is>
      </c>
      <c r="P129" s="18" t="n">
        <v>1</v>
      </c>
      <c r="Q129" s="18" t="n"/>
      <c r="R129" s="73" t="n"/>
      <c r="S129" s="18" t="n"/>
      <c r="T129" s="18" t="n"/>
      <c r="U129" s="26">
        <f>D129+F129+-(H129+J129+L129+N129+P129+R129+T129)</f>
        <v/>
      </c>
      <c r="V129" t="inlineStr">
        <is>
          <t>SANITARY</t>
        </is>
      </c>
    </row>
    <row r="130" ht="27" customHeight="1">
      <c r="A130" s="22">
        <f>A129+1</f>
        <v/>
      </c>
      <c r="B130" s="122" t="inlineStr">
        <is>
          <t xml:space="preserve">HANDLE PINTU </t>
        </is>
      </c>
      <c r="C130" s="123" t="inlineStr">
        <is>
          <t>Set</t>
        </is>
      </c>
      <c r="D130" s="26">
        <f>'Week  1'!U130</f>
        <v/>
      </c>
      <c r="E130" s="124" t="n"/>
      <c r="F130" s="55" t="n"/>
      <c r="G130" s="52" t="n"/>
      <c r="H130" s="55" t="n"/>
      <c r="I130" s="71" t="n"/>
      <c r="J130" s="55" t="n"/>
      <c r="K130" s="18" t="n"/>
      <c r="L130" s="73" t="n"/>
      <c r="M130" s="73" t="n"/>
      <c r="N130" s="73" t="n"/>
      <c r="O130" s="19" t="n"/>
      <c r="P130" s="18" t="n"/>
      <c r="Q130" s="18" t="n"/>
      <c r="R130" s="73" t="n"/>
      <c r="S130" s="18" t="n"/>
      <c r="T130" s="18" t="n"/>
      <c r="U130" s="26">
        <f>D130+F130+-(H130+J130+L130+N130+P130+R130+T130)</f>
        <v/>
      </c>
      <c r="V130" t="inlineStr">
        <is>
          <t>CIVIL</t>
        </is>
      </c>
    </row>
    <row r="131" ht="27" customHeight="1">
      <c r="A131" s="22">
        <f>A130+1</f>
        <v/>
      </c>
      <c r="B131" s="122" t="inlineStr">
        <is>
          <t>Hose of Washing Machine Drain</t>
        </is>
      </c>
      <c r="C131" s="123" t="inlineStr">
        <is>
          <t>PCS</t>
        </is>
      </c>
      <c r="D131" s="26">
        <f>'Week  1'!U131</f>
        <v/>
      </c>
      <c r="E131" s="124" t="n"/>
      <c r="F131" s="62" t="n"/>
      <c r="G131" s="25" t="n"/>
      <c r="H131" s="56" t="n"/>
      <c r="I131" s="19" t="n"/>
      <c r="J131" s="64" t="n"/>
      <c r="K131" s="18" t="n"/>
      <c r="L131" s="73" t="n"/>
      <c r="M131" s="73" t="n"/>
      <c r="N131" s="73" t="n"/>
      <c r="O131" s="19" t="n"/>
      <c r="P131" s="18" t="n"/>
      <c r="Q131" s="18" t="n"/>
      <c r="R131" s="73" t="n"/>
      <c r="S131" s="18" t="n"/>
      <c r="T131" s="18" t="n"/>
      <c r="U131" s="26">
        <f>D131+F131+-(H131+J131+L131+N131+P131+R131+T131)</f>
        <v/>
      </c>
      <c r="V131" t="inlineStr">
        <is>
          <t>SANITARY</t>
        </is>
      </c>
    </row>
    <row r="132" ht="13.5" customHeight="1">
      <c r="A132" s="22">
        <f>A131+1</f>
        <v/>
      </c>
      <c r="B132" s="122" t="inlineStr">
        <is>
          <t>Ignition of Stove</t>
        </is>
      </c>
      <c r="C132" s="123" t="inlineStr">
        <is>
          <t>PCS</t>
        </is>
      </c>
      <c r="D132" s="26">
        <f>'Week  1'!U132</f>
        <v/>
      </c>
      <c r="E132" s="125" t="n"/>
      <c r="F132" s="55" t="n"/>
      <c r="G132" s="52" t="n"/>
      <c r="H132" s="55" t="n"/>
      <c r="I132" s="71" t="n"/>
      <c r="J132" s="55" t="n"/>
      <c r="K132" s="18" t="n"/>
      <c r="L132" s="73" t="n"/>
      <c r="M132" s="73" t="n"/>
      <c r="N132" s="73" t="n"/>
      <c r="O132" s="19" t="n"/>
      <c r="P132" s="18" t="n"/>
      <c r="Q132" s="18" t="n"/>
      <c r="R132" s="73" t="n"/>
      <c r="S132" s="18" t="n"/>
      <c r="T132" s="18" t="n"/>
      <c r="U132" s="26">
        <f>D132+F132+-(H132+J132+L132+N132+P132+R132+T132)</f>
        <v/>
      </c>
      <c r="V132" t="inlineStr">
        <is>
          <t>SPAREPART</t>
        </is>
      </c>
    </row>
    <row r="133" ht="15" customHeight="1">
      <c r="A133" s="22">
        <f>A132+1</f>
        <v/>
      </c>
      <c r="B133" s="122" t="inlineStr">
        <is>
          <t xml:space="preserve">Jati Plywood </t>
        </is>
      </c>
      <c r="C133" s="123" t="inlineStr">
        <is>
          <t>PCS</t>
        </is>
      </c>
      <c r="D133" s="26">
        <f>'Week  1'!U133</f>
        <v/>
      </c>
      <c r="E133" s="124" t="n"/>
      <c r="F133" s="62" t="n"/>
      <c r="G133" s="25" t="n"/>
      <c r="H133" s="56" t="n"/>
      <c r="I133" s="19" t="n"/>
      <c r="J133" s="64" t="n"/>
      <c r="K133" s="18" t="n"/>
      <c r="L133" s="73" t="n"/>
      <c r="M133" s="73" t="n"/>
      <c r="N133" s="73" t="n"/>
      <c r="O133" s="19" t="n"/>
      <c r="P133" s="18" t="n"/>
      <c r="Q133" s="18" t="n"/>
      <c r="R133" s="73" t="n"/>
      <c r="S133" s="18" t="n"/>
      <c r="T133" s="18" t="n"/>
      <c r="U133" s="26">
        <f>D133+F133+-(H133+J133+L133+N133+P133+R133+T133)</f>
        <v/>
      </c>
      <c r="V133" t="inlineStr">
        <is>
          <t>CIVIL</t>
        </is>
      </c>
    </row>
    <row r="134" ht="24" customHeight="1">
      <c r="A134" s="22">
        <f>A133+1</f>
        <v/>
      </c>
      <c r="B134" s="79" t="inlineStr">
        <is>
          <t>Kabel NYY 4 x 2,5</t>
        </is>
      </c>
      <c r="C134" s="29" t="inlineStr">
        <is>
          <t>Meter</t>
        </is>
      </c>
      <c r="D134" s="26">
        <f>'Week  1'!U134</f>
        <v/>
      </c>
      <c r="E134" s="125" t="n"/>
      <c r="F134" s="55" t="n"/>
      <c r="G134" s="52" t="n"/>
      <c r="H134" s="55" t="n"/>
      <c r="I134" s="71" t="n"/>
      <c r="J134" s="55" t="n"/>
      <c r="K134" s="18" t="n"/>
      <c r="L134" s="73" t="n"/>
      <c r="M134" s="73" t="n"/>
      <c r="N134" s="73" t="n"/>
      <c r="O134" s="19" t="n"/>
      <c r="P134" s="18" t="n"/>
      <c r="Q134" s="18" t="n"/>
      <c r="R134" s="73" t="n"/>
      <c r="S134" s="18" t="n"/>
      <c r="T134" s="18" t="n"/>
      <c r="U134" s="26">
        <f>D134+F134+-(H134+J134+L134+N134+P134+R134+T134)</f>
        <v/>
      </c>
      <c r="V134" t="inlineStr">
        <is>
          <t>ELECTRICAL</t>
        </is>
      </c>
    </row>
    <row r="135" ht="24" customHeight="1">
      <c r="A135" s="22">
        <f>A134+1</f>
        <v/>
      </c>
      <c r="B135" s="79" t="inlineStr">
        <is>
          <t>Kabel NYYHY 4 x 2,5</t>
        </is>
      </c>
      <c r="C135" s="29" t="inlineStr">
        <is>
          <t>Meter</t>
        </is>
      </c>
      <c r="D135" s="26">
        <f>'Week  1'!U135</f>
        <v/>
      </c>
      <c r="E135" s="124" t="n"/>
      <c r="F135" s="62" t="n"/>
      <c r="G135" s="25" t="n"/>
      <c r="H135" s="56" t="n"/>
      <c r="I135" s="19" t="n"/>
      <c r="J135" s="64" t="n"/>
      <c r="K135" s="18" t="n"/>
      <c r="L135" s="73" t="n"/>
      <c r="M135" s="73" t="n"/>
      <c r="N135" s="73" t="n"/>
      <c r="O135" s="19" t="n"/>
      <c r="P135" s="18" t="n"/>
      <c r="Q135" s="18" t="n"/>
      <c r="R135" s="73" t="n"/>
      <c r="S135" s="18" t="n"/>
      <c r="T135" s="18" t="n"/>
      <c r="U135" s="26">
        <f>D135+F135+-(H135+J135+L135+N135+P135+R135+T135)</f>
        <v/>
      </c>
      <c r="V135" t="inlineStr">
        <is>
          <t>ELECTRICAL</t>
        </is>
      </c>
    </row>
    <row r="136" ht="24" customHeight="1">
      <c r="A136" s="22">
        <f>A135+1</f>
        <v/>
      </c>
      <c r="B136" s="79" t="inlineStr">
        <is>
          <t>Kabel NYY 3 x 2,5</t>
        </is>
      </c>
      <c r="C136" s="29" t="inlineStr">
        <is>
          <t>Meter</t>
        </is>
      </c>
      <c r="D136" s="26">
        <f>'Week  1'!U136</f>
        <v/>
      </c>
      <c r="E136" s="125" t="n"/>
      <c r="F136" s="55" t="n"/>
      <c r="G136" s="52" t="n"/>
      <c r="H136" s="55" t="n"/>
      <c r="I136" s="71" t="n"/>
      <c r="J136" s="55" t="n"/>
      <c r="K136" s="18" t="n"/>
      <c r="L136" s="73" t="n"/>
      <c r="M136" s="73" t="n"/>
      <c r="N136" s="73" t="n"/>
      <c r="O136" s="19" t="n"/>
      <c r="P136" s="18" t="n"/>
      <c r="Q136" s="18" t="n"/>
      <c r="R136" s="73" t="n"/>
      <c r="S136" s="18" t="n"/>
      <c r="T136" s="18" t="n"/>
      <c r="U136" s="26">
        <f>D136+F136+-(H136+J136+L136+N136+P136+R136+T136)</f>
        <v/>
      </c>
      <c r="V136" t="inlineStr">
        <is>
          <t>ELECTRICAL</t>
        </is>
      </c>
    </row>
    <row r="137" ht="24" customHeight="1">
      <c r="A137" s="22">
        <f>A136+1</f>
        <v/>
      </c>
      <c r="B137" s="79" t="inlineStr">
        <is>
          <t>Kabel NYM 3 x 2,5</t>
        </is>
      </c>
      <c r="C137" s="29" t="inlineStr">
        <is>
          <t>Meter</t>
        </is>
      </c>
      <c r="D137" s="26">
        <f>'Week  1'!U137</f>
        <v/>
      </c>
      <c r="E137" s="124" t="n"/>
      <c r="F137" s="62" t="n"/>
      <c r="G137" s="25" t="n"/>
      <c r="H137" s="56" t="n"/>
      <c r="I137" s="25" t="n"/>
      <c r="J137" s="56" t="n"/>
      <c r="K137" s="25" t="n"/>
      <c r="L137" s="73" t="n"/>
      <c r="M137" s="73" t="n"/>
      <c r="N137" s="73" t="n"/>
      <c r="O137" s="19" t="n"/>
      <c r="P137" s="18" t="n"/>
      <c r="Q137" s="18" t="n"/>
      <c r="R137" s="73" t="n"/>
      <c r="S137" s="18" t="n"/>
      <c r="T137" s="18" t="n"/>
      <c r="U137" s="26">
        <f>D137+F137+-(H137+J137+L137+N137+P137+R137+T137)</f>
        <v/>
      </c>
      <c r="V137" t="inlineStr">
        <is>
          <t>ELECTRICAL</t>
        </is>
      </c>
    </row>
    <row r="138" ht="24" customHeight="1">
      <c r="A138" s="22">
        <f>A137+1</f>
        <v/>
      </c>
      <c r="B138" s="79" t="inlineStr">
        <is>
          <t>Kabel NYM 3 x 1,5</t>
        </is>
      </c>
      <c r="C138" s="29" t="inlineStr">
        <is>
          <t>Meter</t>
        </is>
      </c>
      <c r="D138" s="26">
        <f>'Week  1'!U138</f>
        <v/>
      </c>
      <c r="E138" s="124" t="n"/>
      <c r="F138" s="62" t="n"/>
      <c r="G138" s="25" t="n"/>
      <c r="H138" s="56" t="n"/>
      <c r="I138" s="25" t="n"/>
      <c r="J138" s="56" t="n"/>
      <c r="K138" s="19" t="n"/>
      <c r="L138" s="73" t="n"/>
      <c r="M138" s="73" t="n"/>
      <c r="N138" s="73" t="n"/>
      <c r="O138" s="19" t="n"/>
      <c r="P138" s="18" t="n"/>
      <c r="Q138" s="18" t="n"/>
      <c r="R138" s="73" t="n"/>
      <c r="S138" s="18" t="n"/>
      <c r="T138" s="18" t="n"/>
      <c r="U138" s="26">
        <f>D138+F138+-(H138+J138+L138+N138+P138+R138+T138)</f>
        <v/>
      </c>
      <c r="V138" t="inlineStr">
        <is>
          <t>ELECTRICAL</t>
        </is>
      </c>
    </row>
    <row r="139" ht="24" customHeight="1">
      <c r="A139" s="22">
        <f>A138+1</f>
        <v/>
      </c>
      <c r="B139" s="79" t="inlineStr">
        <is>
          <t>Kawat Seling Calfit</t>
        </is>
      </c>
      <c r="C139" s="29" t="inlineStr">
        <is>
          <t>M</t>
        </is>
      </c>
      <c r="D139" s="26">
        <f>'Week  1'!U139</f>
        <v/>
      </c>
      <c r="E139" s="125" t="n"/>
      <c r="F139" s="55" t="n"/>
      <c r="G139" s="52" t="n"/>
      <c r="H139" s="55" t="n"/>
      <c r="I139" s="71" t="n"/>
      <c r="J139" s="55" t="n"/>
      <c r="K139" s="18" t="n"/>
      <c r="L139" s="73" t="n"/>
      <c r="M139" s="73" t="n"/>
      <c r="N139" s="73" t="n"/>
      <c r="O139" s="19" t="n"/>
      <c r="P139" s="18" t="n"/>
      <c r="Q139" s="18" t="n"/>
      <c r="R139" s="73" t="n"/>
      <c r="S139" s="18" t="n"/>
      <c r="T139" s="18" t="n"/>
      <c r="U139" s="26">
        <f>D139+F139+-(H139+J139+L139+N139+P139+R139+T139)</f>
        <v/>
      </c>
      <c r="V139" t="inlineStr">
        <is>
          <t>CONSUMABLE</t>
        </is>
      </c>
    </row>
    <row r="140" ht="27" customHeight="1">
      <c r="A140" s="22">
        <f>A139+1</f>
        <v/>
      </c>
      <c r="B140" s="122" t="inlineStr">
        <is>
          <t>Kayu 3 x 20 x 4</t>
        </is>
      </c>
      <c r="C140" s="123" t="inlineStr">
        <is>
          <t>Batang</t>
        </is>
      </c>
      <c r="D140" s="26">
        <f>'Week  1'!U140</f>
        <v/>
      </c>
      <c r="E140" s="124" t="n"/>
      <c r="F140" s="62" t="n"/>
      <c r="G140" s="25" t="n"/>
      <c r="H140" s="56" t="n"/>
      <c r="I140" s="19" t="n"/>
      <c r="J140" s="64" t="n"/>
      <c r="K140" s="18" t="n"/>
      <c r="L140" s="73" t="n"/>
      <c r="M140" s="73" t="n"/>
      <c r="N140" s="73" t="n"/>
      <c r="O140" s="19" t="n"/>
      <c r="P140" s="18" t="n"/>
      <c r="Q140" s="18" t="n"/>
      <c r="R140" s="73" t="n"/>
      <c r="S140" s="18" t="n"/>
      <c r="T140" s="18" t="n"/>
      <c r="U140" s="26">
        <f>D140+F140+-(H140+J140+L140+N140+P140+R140+T140)</f>
        <v/>
      </c>
      <c r="V140" t="inlineStr">
        <is>
          <t>CIVIL</t>
        </is>
      </c>
    </row>
    <row r="141" ht="25.5" customHeight="1">
      <c r="A141" s="22">
        <f>A140+1</f>
        <v/>
      </c>
      <c r="B141" s="122" t="inlineStr">
        <is>
          <t>Kayu 6 x 12 x 4</t>
        </is>
      </c>
      <c r="C141" s="123" t="inlineStr">
        <is>
          <t>Batang</t>
        </is>
      </c>
      <c r="D141" s="26">
        <f>'Week  1'!U141</f>
        <v/>
      </c>
      <c r="E141" s="125" t="n"/>
      <c r="F141" s="55" t="n"/>
      <c r="G141" s="52" t="n"/>
      <c r="H141" s="55" t="n"/>
      <c r="I141" s="71" t="n"/>
      <c r="J141" s="55" t="n"/>
      <c r="K141" s="18" t="n"/>
      <c r="L141" s="73" t="n"/>
      <c r="M141" s="73" t="n"/>
      <c r="N141" s="73" t="n"/>
      <c r="O141" s="19" t="n"/>
      <c r="P141" s="18" t="n"/>
      <c r="Q141" s="18" t="n"/>
      <c r="R141" s="73" t="n"/>
      <c r="S141" s="18" t="n"/>
      <c r="T141" s="18" t="n"/>
      <c r="U141" s="26">
        <f>D141+F141+-(H141+J141+L141+N141+P141+R141+T141)</f>
        <v/>
      </c>
      <c r="V141" t="inlineStr">
        <is>
          <t>CIVIL</t>
        </is>
      </c>
    </row>
    <row r="142" ht="27" customHeight="1">
      <c r="A142" s="22">
        <f>A141+1</f>
        <v/>
      </c>
      <c r="B142" s="122" t="inlineStr">
        <is>
          <t>Kayu 6 x 15 x 4</t>
        </is>
      </c>
      <c r="C142" s="123" t="inlineStr">
        <is>
          <t>Batang</t>
        </is>
      </c>
      <c r="D142" s="26">
        <f>'Week  1'!U142</f>
        <v/>
      </c>
      <c r="E142" s="124" t="n"/>
      <c r="F142" s="62" t="n"/>
      <c r="G142" s="25" t="n"/>
      <c r="H142" s="56" t="n"/>
      <c r="I142" s="19" t="n"/>
      <c r="J142" s="64" t="n"/>
      <c r="K142" s="18" t="n"/>
      <c r="L142" s="73" t="n"/>
      <c r="M142" s="73" t="n"/>
      <c r="N142" s="73" t="n"/>
      <c r="O142" s="19" t="n"/>
      <c r="P142" s="18" t="n"/>
      <c r="Q142" s="18" t="n"/>
      <c r="R142" s="73" t="n"/>
      <c r="S142" s="18" t="n"/>
      <c r="T142" s="18" t="n"/>
      <c r="U142" s="26">
        <f>D142+F142+-(H142+J142+L142+N142+P142+R142+T142)</f>
        <v/>
      </c>
      <c r="V142" t="inlineStr">
        <is>
          <t>CIVIL</t>
        </is>
      </c>
    </row>
    <row r="143" ht="13.5" customHeight="1">
      <c r="A143" s="22">
        <f>A142+1</f>
        <v/>
      </c>
      <c r="B143" s="122" t="inlineStr">
        <is>
          <t>Kayu 8 x 12 x 4</t>
        </is>
      </c>
      <c r="C143" s="123" t="inlineStr">
        <is>
          <t>Batang</t>
        </is>
      </c>
      <c r="D143" s="26">
        <f>'Week  1'!U143</f>
        <v/>
      </c>
      <c r="E143" s="125" t="n"/>
      <c r="F143" s="55" t="n"/>
      <c r="G143" s="52" t="n"/>
      <c r="H143" s="55" t="n"/>
      <c r="I143" s="71" t="n"/>
      <c r="J143" s="55" t="n"/>
      <c r="K143" s="18" t="n"/>
      <c r="L143" s="73" t="n"/>
      <c r="M143" s="73" t="n"/>
      <c r="N143" s="73" t="n"/>
      <c r="O143" s="19" t="n"/>
      <c r="P143" s="18" t="n"/>
      <c r="Q143" s="18" t="n"/>
      <c r="R143" s="73" t="n"/>
      <c r="S143" s="18" t="n"/>
      <c r="T143" s="18" t="n"/>
      <c r="U143" s="26">
        <f>D143+F143+-(H143+J143+L143+N143+P143+R143+T143)</f>
        <v/>
      </c>
      <c r="V143" t="inlineStr">
        <is>
          <t>CIVIL</t>
        </is>
      </c>
    </row>
    <row r="144" ht="27.75" customHeight="1">
      <c r="A144" s="22">
        <f>A143+1</f>
        <v/>
      </c>
      <c r="B144" s="79" t="inlineStr">
        <is>
          <t>Klem Selang LPG</t>
        </is>
      </c>
      <c r="C144" s="40" t="inlineStr">
        <is>
          <t>Pcs</t>
        </is>
      </c>
      <c r="D144" s="26">
        <f>'Week  1'!U144</f>
        <v/>
      </c>
      <c r="E144" s="124" t="n"/>
      <c r="F144" s="62" t="n"/>
      <c r="G144" s="25" t="n"/>
      <c r="H144" s="56" t="n"/>
      <c r="I144" s="19" t="n"/>
      <c r="J144" s="64" t="n"/>
      <c r="K144" s="18" t="n"/>
      <c r="L144" s="73" t="n"/>
      <c r="M144" s="73" t="n"/>
      <c r="N144" s="73" t="n"/>
      <c r="O144" s="19" t="n"/>
      <c r="P144" s="18" t="n"/>
      <c r="Q144" s="18" t="n"/>
      <c r="R144" s="73" t="n"/>
      <c r="S144" s="18" t="n"/>
      <c r="T144" s="18" t="n"/>
      <c r="U144" s="26">
        <f>D144+F144+-(H144+J144+L144+N144+P144+R144+T144)</f>
        <v/>
      </c>
      <c r="V144" t="inlineStr">
        <is>
          <t>CONSUMABLE</t>
        </is>
      </c>
    </row>
    <row r="145" ht="26.25" customHeight="1">
      <c r="A145" s="22">
        <f>A144+1</f>
        <v/>
      </c>
      <c r="B145" s="79" t="inlineStr">
        <is>
          <t>Klem Seling Calfit</t>
        </is>
      </c>
      <c r="C145" s="29" t="inlineStr">
        <is>
          <t>Pcs</t>
        </is>
      </c>
      <c r="D145" s="26">
        <f>'Week  1'!U145</f>
        <v/>
      </c>
      <c r="E145" s="125" t="n"/>
      <c r="F145" s="55" t="n"/>
      <c r="G145" s="52" t="n"/>
      <c r="H145" s="55" t="n"/>
      <c r="I145" s="71" t="n"/>
      <c r="J145" s="55" t="n"/>
      <c r="K145" s="18" t="n"/>
      <c r="L145" s="73" t="n"/>
      <c r="M145" s="73" t="n"/>
      <c r="N145" s="73" t="n"/>
      <c r="O145" s="19" t="n"/>
      <c r="P145" s="18" t="n"/>
      <c r="Q145" s="18" t="n"/>
      <c r="R145" s="73" t="n"/>
      <c r="S145" s="18" t="n"/>
      <c r="T145" s="18" t="n"/>
      <c r="U145" s="26">
        <f>D145+F145+-(H145+J145+L145+N145+P145+R145+T145)</f>
        <v/>
      </c>
      <c r="V145" t="inlineStr">
        <is>
          <t>CONSUMABLE</t>
        </is>
      </c>
    </row>
    <row r="146" ht="26.25" customHeight="1">
      <c r="A146" s="22">
        <f>A145+1</f>
        <v/>
      </c>
      <c r="B146" s="27" t="inlineStr">
        <is>
          <t>Kuas 3"</t>
        </is>
      </c>
      <c r="C146" s="123" t="inlineStr">
        <is>
          <t>PCS</t>
        </is>
      </c>
      <c r="D146" s="26">
        <f>'Week  1'!U146</f>
        <v/>
      </c>
      <c r="E146" s="124" t="n"/>
      <c r="F146" s="62" t="n"/>
      <c r="G146" s="25" t="n"/>
      <c r="H146" s="56" t="n"/>
      <c r="I146" s="19" t="n"/>
      <c r="J146" s="64" t="n"/>
      <c r="K146" s="18" t="n"/>
      <c r="L146" s="73" t="n"/>
      <c r="M146" s="73" t="n"/>
      <c r="N146" s="73" t="n"/>
      <c r="O146" s="19" t="n"/>
      <c r="P146" s="18" t="n"/>
      <c r="Q146" s="18" t="n"/>
      <c r="R146" s="73" t="n"/>
      <c r="S146" s="18" t="n"/>
      <c r="T146" s="18" t="n"/>
      <c r="U146" s="26">
        <f>D146+F146+-(H146+J146+L146+N146+P146+R146+T146)</f>
        <v/>
      </c>
      <c r="V146" t="inlineStr">
        <is>
          <t>CONSUMABLE</t>
        </is>
      </c>
    </row>
    <row r="147" ht="15" customHeight="1">
      <c r="A147" s="22">
        <f>A146+1</f>
        <v/>
      </c>
      <c r="B147" s="27" t="inlineStr">
        <is>
          <t>Kuas 2"</t>
        </is>
      </c>
      <c r="C147" s="123" t="inlineStr">
        <is>
          <t>PCS</t>
        </is>
      </c>
      <c r="D147" s="26">
        <f>'Week  1'!U147</f>
        <v/>
      </c>
      <c r="E147" s="124" t="n"/>
      <c r="F147" s="55" t="n"/>
      <c r="G147" s="52" t="n"/>
      <c r="H147" s="55" t="n"/>
      <c r="I147" s="19" t="n"/>
      <c r="J147" s="55" t="n"/>
      <c r="K147" s="18" t="n"/>
      <c r="L147" s="73" t="n"/>
      <c r="M147" s="73" t="n"/>
      <c r="N147" s="73" t="n"/>
      <c r="O147" s="19" t="inlineStr">
        <is>
          <t>Sulawesi 4</t>
        </is>
      </c>
      <c r="P147" s="18" t="n">
        <v>1</v>
      </c>
      <c r="Q147" s="18" t="n"/>
      <c r="R147" s="73" t="n"/>
      <c r="S147" s="18" t="n"/>
      <c r="T147" s="18" t="n"/>
      <c r="U147" s="26">
        <f>D147+F147+-(H147+J147+L147+N147+P147+R147+T147)</f>
        <v/>
      </c>
      <c r="V147" t="inlineStr">
        <is>
          <t>CONSUMABLE</t>
        </is>
      </c>
    </row>
    <row r="148" ht="15" customHeight="1">
      <c r="A148" s="22">
        <f>A147+1</f>
        <v/>
      </c>
      <c r="B148" s="78" t="inlineStr">
        <is>
          <t xml:space="preserve">Pipa AC Inverter 1 PK </t>
        </is>
      </c>
      <c r="C148" s="123" t="inlineStr">
        <is>
          <t>PCS</t>
        </is>
      </c>
      <c r="D148" s="26">
        <f>'Week  1'!U148</f>
        <v/>
      </c>
      <c r="E148" s="124" t="n"/>
      <c r="F148" s="55" t="n"/>
      <c r="G148" s="52" t="n"/>
      <c r="H148" s="55" t="n"/>
      <c r="I148" s="52" t="n"/>
      <c r="J148" s="55" t="n"/>
      <c r="K148" s="52" t="n"/>
      <c r="L148" s="55" t="n"/>
      <c r="M148" s="73" t="n"/>
      <c r="N148" s="73" t="n"/>
      <c r="O148" s="19" t="n"/>
      <c r="P148" s="18" t="n"/>
      <c r="Q148" s="19" t="n"/>
      <c r="R148" s="18" t="n"/>
      <c r="S148" s="18" t="n"/>
      <c r="T148" s="18" t="n"/>
      <c r="U148" s="26">
        <f>D148+F148+-(H148+J148+L148+N148+P148+R148+T148)</f>
        <v/>
      </c>
      <c r="V148" t="inlineStr">
        <is>
          <t>AC</t>
        </is>
      </c>
    </row>
    <row r="149" ht="15" customHeight="1">
      <c r="A149" s="22">
        <f>A148+1</f>
        <v/>
      </c>
      <c r="B149" s="78" t="inlineStr">
        <is>
          <t xml:space="preserve">Pipa AC Inverter 1,5 PK </t>
        </is>
      </c>
      <c r="C149" s="123" t="inlineStr">
        <is>
          <t>PCS</t>
        </is>
      </c>
      <c r="D149" s="26">
        <f>'Week  1'!U149</f>
        <v/>
      </c>
      <c r="E149" s="124" t="n"/>
      <c r="F149" s="55" t="n"/>
      <c r="G149" s="52" t="n"/>
      <c r="H149" s="55" t="n"/>
      <c r="I149" s="71" t="n"/>
      <c r="J149" s="55" t="n"/>
      <c r="K149" s="52" t="n"/>
      <c r="L149" s="55" t="n"/>
      <c r="M149" s="73" t="n"/>
      <c r="N149" s="73" t="n"/>
      <c r="O149" s="19" t="n"/>
      <c r="P149" s="18" t="n"/>
      <c r="Q149" s="18" t="n"/>
      <c r="R149" s="73" t="n"/>
      <c r="S149" s="18" t="n"/>
      <c r="T149" s="18" t="n"/>
      <c r="U149" s="26">
        <f>D149+F149+-(H149+J149+L149+N149+P149+R149+T149)</f>
        <v/>
      </c>
      <c r="V149" t="inlineStr">
        <is>
          <t>AC</t>
        </is>
      </c>
    </row>
    <row r="150" ht="27" customHeight="1">
      <c r="A150" s="22">
        <f>A149+1</f>
        <v/>
      </c>
      <c r="B150" s="79" t="inlineStr">
        <is>
          <t>LAMPU LED PHILIPS 6 WATT KUNING</t>
        </is>
      </c>
      <c r="C150" s="123" t="inlineStr">
        <is>
          <t>PCS</t>
        </is>
      </c>
      <c r="D150" s="26">
        <f>'Week  1'!U150</f>
        <v/>
      </c>
      <c r="E150" s="124" t="n"/>
      <c r="F150" s="62" t="n"/>
      <c r="G150" s="25" t="n"/>
      <c r="H150" s="56" t="n"/>
      <c r="I150" s="19" t="n"/>
      <c r="J150" s="64" t="n"/>
      <c r="K150" s="18" t="n"/>
      <c r="L150" s="73" t="n"/>
      <c r="M150" s="73" t="n"/>
      <c r="N150" s="73" t="n"/>
      <c r="O150" s="19" t="n"/>
      <c r="P150" s="18" t="n"/>
      <c r="Q150" s="18" t="n"/>
      <c r="R150" s="73" t="n"/>
      <c r="S150" s="18" t="n"/>
      <c r="T150" s="18" t="n"/>
      <c r="U150" s="26">
        <f>D150+F150+-(H150+J150+L150+N150+P150+R150+T150)</f>
        <v/>
      </c>
      <c r="V150" t="inlineStr">
        <is>
          <t>LAMP</t>
        </is>
      </c>
    </row>
    <row r="151" ht="15" customHeight="1">
      <c r="A151" s="22">
        <f>A150+1</f>
        <v/>
      </c>
      <c r="B151" s="44" t="inlineStr">
        <is>
          <t>Lampu HPLN Philips 250  Watt</t>
        </is>
      </c>
      <c r="C151" s="123" t="inlineStr">
        <is>
          <t>PCS</t>
        </is>
      </c>
      <c r="D151" s="26">
        <f>'Week  1'!U151</f>
        <v/>
      </c>
      <c r="E151" s="125" t="n"/>
      <c r="F151" s="55" t="n"/>
      <c r="G151" s="52" t="n"/>
      <c r="H151" s="55" t="n"/>
      <c r="I151" s="71" t="n"/>
      <c r="J151" s="55" t="n"/>
      <c r="K151" s="18" t="n"/>
      <c r="L151" s="73" t="n"/>
      <c r="M151" s="73" t="n"/>
      <c r="N151" s="73" t="n"/>
      <c r="O151" s="19" t="n"/>
      <c r="P151" s="18" t="n"/>
      <c r="Q151" s="18" t="n"/>
      <c r="R151" s="73" t="n"/>
      <c r="S151" s="18" t="n"/>
      <c r="T151" s="18" t="n"/>
      <c r="U151" s="26">
        <f>D151+F151+-(H151+J151+L151+N151+P151+R151+T151)</f>
        <v/>
      </c>
      <c r="V151" t="inlineStr">
        <is>
          <t>LAMP</t>
        </is>
      </c>
    </row>
    <row r="152" ht="25.5" customHeight="1">
      <c r="A152" s="22">
        <f>A151+1</f>
        <v/>
      </c>
      <c r="B152" s="44" t="inlineStr">
        <is>
          <t>LED  DRIVER POWER 56 WATT 50/60 HZ</t>
        </is>
      </c>
      <c r="C152" s="123" t="inlineStr">
        <is>
          <t>PCS</t>
        </is>
      </c>
      <c r="D152" s="26">
        <f>'Week  1'!U152</f>
        <v/>
      </c>
      <c r="E152" s="124" t="n"/>
      <c r="F152" s="62" t="n"/>
      <c r="G152" s="25" t="n"/>
      <c r="H152" s="56" t="n"/>
      <c r="I152" s="19" t="n"/>
      <c r="J152" s="64" t="n"/>
      <c r="K152" s="18" t="n"/>
      <c r="L152" s="73" t="n"/>
      <c r="M152" s="73" t="n"/>
      <c r="N152" s="73" t="n"/>
      <c r="O152" s="19" t="n"/>
      <c r="P152" s="18" t="n"/>
      <c r="Q152" s="18" t="n"/>
      <c r="R152" s="73" t="n"/>
      <c r="S152" s="18" t="n"/>
      <c r="T152" s="18" t="n"/>
      <c r="U152" s="26">
        <f>D152+F152+-(H152+J152+L152+N152+P152+R152+T152)</f>
        <v/>
      </c>
      <c r="V152" t="inlineStr">
        <is>
          <t>LAMP</t>
        </is>
      </c>
    </row>
    <row r="153" ht="14.25" customHeight="1">
      <c r="A153" s="22">
        <f>A152+1</f>
        <v/>
      </c>
      <c r="B153" s="79" t="inlineStr">
        <is>
          <t xml:space="preserve">LAMPU LED PHILIPS 10 WATT </t>
        </is>
      </c>
      <c r="C153" s="29" t="inlineStr">
        <is>
          <t>Pcs</t>
        </is>
      </c>
      <c r="D153" s="26">
        <f>'Week  1'!U153</f>
        <v/>
      </c>
      <c r="E153" s="125" t="n"/>
      <c r="F153" s="55" t="n"/>
      <c r="G153" s="72" t="n"/>
      <c r="H153" s="55" t="n"/>
      <c r="I153" s="71" t="n"/>
      <c r="J153" s="55" t="n"/>
      <c r="K153" s="18" t="inlineStr">
        <is>
          <t>Bali 14</t>
        </is>
      </c>
      <c r="L153" s="73" t="n">
        <v>1</v>
      </c>
      <c r="M153" s="73" t="n"/>
      <c r="N153" s="73" t="n"/>
      <c r="O153" s="19" t="n"/>
      <c r="P153" s="18" t="n"/>
      <c r="Q153" s="19" t="n"/>
      <c r="R153" s="73" t="n"/>
      <c r="S153" s="18" t="n"/>
      <c r="T153" s="18" t="n"/>
      <c r="U153" s="26">
        <f>D153+F153+-(H153+J153+L153+N153+P153+R153+T153)</f>
        <v/>
      </c>
      <c r="V153" t="inlineStr">
        <is>
          <t>LAMP</t>
        </is>
      </c>
    </row>
    <row r="154" ht="14.25" customHeight="1">
      <c r="A154" s="22">
        <f>A153+1</f>
        <v/>
      </c>
      <c r="B154" s="79" t="inlineStr">
        <is>
          <t xml:space="preserve">LAMPU LED PHILIPS  8 WATT </t>
        </is>
      </c>
      <c r="C154" s="29" t="inlineStr">
        <is>
          <t>Pcs</t>
        </is>
      </c>
      <c r="D154" s="26">
        <f>'Week  1'!U154</f>
        <v/>
      </c>
      <c r="E154" s="124" t="n"/>
      <c r="F154" s="62" t="n"/>
      <c r="G154" s="25" t="n"/>
      <c r="H154" s="56" t="n"/>
      <c r="I154" s="19" t="n"/>
      <c r="J154" s="64" t="n"/>
      <c r="K154" s="18" t="n"/>
      <c r="L154" s="73" t="n"/>
      <c r="M154" s="73" t="n"/>
      <c r="N154" s="73" t="n"/>
      <c r="O154" s="19" t="n"/>
      <c r="P154" s="18" t="n"/>
      <c r="Q154" s="18" t="n"/>
      <c r="R154" s="73" t="n"/>
      <c r="S154" s="18" t="n"/>
      <c r="T154" s="18" t="n"/>
      <c r="U154" s="26">
        <f>D154+F154+-(H154+J154+L154+N154+P154+R154+T154)</f>
        <v/>
      </c>
      <c r="V154" t="inlineStr">
        <is>
          <t>LAMP</t>
        </is>
      </c>
    </row>
    <row r="155" ht="14.25" customHeight="1">
      <c r="A155" s="22">
        <f>A154+1</f>
        <v/>
      </c>
      <c r="B155" s="79" t="inlineStr">
        <is>
          <t>LAMPU LED PHILIPS 14,5 WATT</t>
        </is>
      </c>
      <c r="C155" s="29" t="inlineStr">
        <is>
          <t>Pcs</t>
        </is>
      </c>
      <c r="D155" s="26">
        <f>'Week  1'!U155</f>
        <v/>
      </c>
      <c r="E155" s="125" t="n"/>
      <c r="F155" s="55" t="n"/>
      <c r="G155" s="52" t="n"/>
      <c r="H155" s="55" t="n"/>
      <c r="I155" s="71" t="n"/>
      <c r="J155" s="55" t="n"/>
      <c r="K155" s="71" t="n"/>
      <c r="L155" s="55" t="n"/>
      <c r="M155" s="73" t="n"/>
      <c r="N155" s="73" t="n"/>
      <c r="O155" s="19" t="n"/>
      <c r="P155" s="18" t="n"/>
      <c r="Q155" s="19" t="n"/>
      <c r="R155" s="73" t="n"/>
      <c r="S155" s="18" t="n"/>
      <c r="T155" s="18" t="n"/>
      <c r="U155" s="26">
        <f>D155+F155+-(H155+J155+L155+N155+P155+R155+T155)</f>
        <v/>
      </c>
      <c r="V155" t="inlineStr">
        <is>
          <t>LAMP</t>
        </is>
      </c>
    </row>
    <row r="156" ht="63.75" customHeight="1">
      <c r="A156" s="22">
        <f>A155+1</f>
        <v/>
      </c>
      <c r="B156" s="79" t="inlineStr">
        <is>
          <t>LAMPU LED PHILIPS 6 WATT</t>
        </is>
      </c>
      <c r="C156" s="29" t="inlineStr">
        <is>
          <t>Pcs</t>
        </is>
      </c>
      <c r="D156" s="26">
        <f>'Week  1'!U156</f>
        <v/>
      </c>
      <c r="E156" s="129" t="n"/>
      <c r="F156" s="62" t="n"/>
      <c r="G156" s="68" t="n"/>
      <c r="H156" s="56" t="n"/>
      <c r="I156" s="19" t="inlineStr">
        <is>
          <t xml:space="preserve">Sulawesi 3=1, Lombok 17=1, Bali 24=1, Jawa 16=2, Paiton 2=1, </t>
        </is>
      </c>
      <c r="J156" s="64">
        <f>1+1+1+2+1</f>
        <v/>
      </c>
      <c r="K156" s="73" t="inlineStr">
        <is>
          <t>Lombok 24=2, Bali 14=6, Bali 13=1</t>
        </is>
      </c>
      <c r="L156" s="73">
        <f>2+6+1</f>
        <v/>
      </c>
      <c r="M156" s="73" t="n"/>
      <c r="N156" s="73" t="n"/>
      <c r="O156" s="19" t="inlineStr">
        <is>
          <t>Sulawesi 10</t>
        </is>
      </c>
      <c r="P156" s="18" t="n">
        <v>1</v>
      </c>
      <c r="Q156" s="19" t="inlineStr">
        <is>
          <t>POS S</t>
        </is>
      </c>
      <c r="R156" s="73" t="n">
        <v>1</v>
      </c>
      <c r="S156" s="19" t="n"/>
      <c r="T156" s="18" t="n"/>
      <c r="U156" s="26">
        <f>D156+F156+-(H156+J156+L156+N156+P156+R156+T156)</f>
        <v/>
      </c>
      <c r="V156" t="inlineStr">
        <is>
          <t>LAMP</t>
        </is>
      </c>
    </row>
    <row r="157" ht="25.5" customHeight="1">
      <c r="A157" s="22">
        <f>A156+1</f>
        <v/>
      </c>
      <c r="B157" s="44" t="inlineStr">
        <is>
          <t>Lampu REFLEKTOR TOKI RF220V 500W</t>
        </is>
      </c>
      <c r="C157" s="123" t="inlineStr">
        <is>
          <t>PCS</t>
        </is>
      </c>
      <c r="D157" s="26">
        <f>'Week  1'!U157</f>
        <v/>
      </c>
      <c r="E157" s="125" t="n"/>
      <c r="F157" s="55" t="n"/>
      <c r="G157" s="52" t="n"/>
      <c r="H157" s="55" t="n"/>
      <c r="I157" s="71" t="n"/>
      <c r="J157" s="55" t="n"/>
      <c r="K157" s="18" t="n"/>
      <c r="L157" s="73" t="n"/>
      <c r="M157" s="73" t="n"/>
      <c r="N157" s="73" t="n"/>
      <c r="O157" s="19" t="n"/>
      <c r="P157" s="18" t="n"/>
      <c r="Q157" s="18" t="n"/>
      <c r="R157" s="73" t="n"/>
      <c r="S157" s="18" t="n"/>
      <c r="T157" s="18" t="n"/>
      <c r="U157" s="26">
        <f>D157+F157+-(H157+J157+L157+N157+P157+R157+T157)</f>
        <v/>
      </c>
      <c r="V157" t="inlineStr">
        <is>
          <t>LAMP</t>
        </is>
      </c>
    </row>
    <row r="158" ht="15" customHeight="1">
      <c r="A158" s="22">
        <f>A157+1</f>
        <v/>
      </c>
      <c r="B158" s="122" t="inlineStr">
        <is>
          <t>Lem Fox</t>
        </is>
      </c>
      <c r="C158" s="123" t="inlineStr">
        <is>
          <t>Pcs</t>
        </is>
      </c>
      <c r="D158" s="26">
        <f>'Week  1'!U158</f>
        <v/>
      </c>
      <c r="E158" s="124" t="n"/>
      <c r="F158" s="62" t="n"/>
      <c r="G158" s="25" t="n"/>
      <c r="H158" s="56" t="n"/>
      <c r="I158" s="19" t="n"/>
      <c r="J158" s="64" t="n"/>
      <c r="K158" s="73" t="n"/>
      <c r="L158" s="73" t="n"/>
      <c r="M158" s="73" t="n"/>
      <c r="N158" s="73" t="n"/>
      <c r="O158" s="19" t="n"/>
      <c r="P158" s="18" t="n"/>
      <c r="Q158" s="18" t="n"/>
      <c r="R158" s="73" t="n"/>
      <c r="S158" s="18" t="n"/>
      <c r="T158" s="18" t="n"/>
      <c r="U158" s="26">
        <f>D158+F158+-(H158+J158+L158+N158+P158+R158+T158)</f>
        <v/>
      </c>
      <c r="V158" t="inlineStr">
        <is>
          <t>CIVIL</t>
        </is>
      </c>
    </row>
    <row r="159" ht="15" customHeight="1">
      <c r="A159" s="22">
        <f>A158+1</f>
        <v/>
      </c>
      <c r="B159" s="122" t="inlineStr">
        <is>
          <t>Level Switch, RADAR</t>
        </is>
      </c>
      <c r="C159" s="123" t="inlineStr">
        <is>
          <t>PCS</t>
        </is>
      </c>
      <c r="D159" s="26">
        <f>'Week  1'!U159</f>
        <v/>
      </c>
      <c r="E159" s="125" t="n"/>
      <c r="F159" s="55" t="n"/>
      <c r="G159" s="52" t="n"/>
      <c r="H159" s="55" t="n"/>
      <c r="I159" s="71" t="n"/>
      <c r="J159" s="55" t="n"/>
      <c r="K159" s="18" t="n"/>
      <c r="L159" s="73" t="n"/>
      <c r="M159" s="73" t="n"/>
      <c r="N159" s="73" t="n"/>
      <c r="O159" s="19" t="n"/>
      <c r="P159" s="18" t="n"/>
      <c r="Q159" s="18" t="n"/>
      <c r="R159" s="73" t="n"/>
      <c r="S159" s="18" t="n"/>
      <c r="T159" s="18" t="n"/>
      <c r="U159" s="26">
        <f>D159+F159+-(H159+J159+L159+N159+P159+R159+T159)</f>
        <v/>
      </c>
      <c r="V159" t="inlineStr">
        <is>
          <t>SANITARY</t>
        </is>
      </c>
    </row>
    <row r="160" ht="15" customHeight="1">
      <c r="A160" s="22">
        <f>A159+1</f>
        <v/>
      </c>
      <c r="B160" s="122" t="inlineStr">
        <is>
          <t>FLOAT SWITCH</t>
        </is>
      </c>
      <c r="C160" s="123" t="inlineStr">
        <is>
          <t>PCS</t>
        </is>
      </c>
      <c r="D160" s="26">
        <f>'Week  1'!U160</f>
        <v/>
      </c>
      <c r="E160" s="124" t="n"/>
      <c r="F160" s="62" t="n"/>
      <c r="G160" s="25" t="n"/>
      <c r="H160" s="56" t="n"/>
      <c r="I160" s="19" t="n"/>
      <c r="J160" s="64" t="n"/>
      <c r="K160" s="18" t="n"/>
      <c r="L160" s="73" t="n"/>
      <c r="M160" s="73" t="n"/>
      <c r="N160" s="73" t="n"/>
      <c r="O160" s="19" t="n"/>
      <c r="P160" s="18" t="n"/>
      <c r="Q160" s="18" t="n"/>
      <c r="R160" s="73" t="n"/>
      <c r="S160" s="18" t="n"/>
      <c r="T160" s="18" t="n"/>
      <c r="U160" s="26">
        <f>D160+F160+-(H160+J160+L160+N160+P160+R160+T160)</f>
        <v/>
      </c>
      <c r="V160" t="inlineStr">
        <is>
          <t>SANITARY</t>
        </is>
      </c>
    </row>
    <row r="161" ht="15" customHeight="1">
      <c r="A161" s="22">
        <f>A160+1</f>
        <v/>
      </c>
      <c r="B161" s="122" t="inlineStr">
        <is>
          <t>Lock 808</t>
        </is>
      </c>
      <c r="C161" s="123" t="inlineStr">
        <is>
          <t>PCS</t>
        </is>
      </c>
      <c r="D161" s="26">
        <f>'Week  1'!U161</f>
        <v/>
      </c>
      <c r="E161" s="125" t="n"/>
      <c r="F161" s="55" t="n"/>
      <c r="G161" s="52" t="n"/>
      <c r="H161" s="55" t="n"/>
      <c r="I161" s="71" t="n"/>
      <c r="J161" s="55" t="n"/>
      <c r="K161" s="18" t="n"/>
      <c r="L161" s="73" t="n"/>
      <c r="M161" s="73" t="n"/>
      <c r="N161" s="73" t="n"/>
      <c r="O161" s="19" t="n"/>
      <c r="P161" s="18" t="n"/>
      <c r="Q161" s="18" t="n"/>
      <c r="R161" s="73" t="n"/>
      <c r="S161" s="18" t="n"/>
      <c r="T161" s="18" t="n"/>
      <c r="U161" s="26">
        <f>D161+F161+-(H161+J161+L161+N161+P161+R161+T161)</f>
        <v/>
      </c>
      <c r="V161" t="inlineStr">
        <is>
          <t>CIVIL</t>
        </is>
      </c>
    </row>
    <row r="162" ht="15" customHeight="1">
      <c r="A162" s="22">
        <f>A161+1</f>
        <v/>
      </c>
      <c r="B162" s="122" t="inlineStr">
        <is>
          <t>Pad Lock (Gembok )</t>
        </is>
      </c>
      <c r="C162" s="123" t="inlineStr">
        <is>
          <t>PCS</t>
        </is>
      </c>
      <c r="D162" s="26">
        <f>'Week  1'!U162</f>
        <v/>
      </c>
      <c r="E162" s="124" t="n"/>
      <c r="F162" s="62" t="n"/>
      <c r="G162" s="25" t="n"/>
      <c r="H162" s="56" t="n"/>
      <c r="I162" s="19" t="n"/>
      <c r="J162" s="64" t="n"/>
      <c r="K162" s="18" t="n"/>
      <c r="L162" s="73" t="n"/>
      <c r="M162" s="73" t="n"/>
      <c r="N162" s="73" t="n"/>
      <c r="O162" s="19" t="n"/>
      <c r="P162" s="18" t="n"/>
      <c r="Q162" s="18" t="n"/>
      <c r="R162" s="73" t="n"/>
      <c r="S162" s="18" t="n"/>
      <c r="T162" s="18" t="n"/>
      <c r="U162" s="26">
        <f>D162+F162+-(H162+J162+L162+N162+P162+R162+T162)</f>
        <v/>
      </c>
      <c r="V162" t="inlineStr">
        <is>
          <t>CIVIL</t>
        </is>
      </c>
    </row>
    <row r="163" ht="14.25" customHeight="1">
      <c r="A163" s="22">
        <f>A162+1</f>
        <v/>
      </c>
      <c r="B163" s="79" t="inlineStr">
        <is>
          <t>Magneto Stove 4 Burner</t>
        </is>
      </c>
      <c r="C163" s="29" t="inlineStr">
        <is>
          <t>Pcs</t>
        </is>
      </c>
      <c r="D163" s="26">
        <f>'Week  1'!U163</f>
        <v/>
      </c>
      <c r="E163" s="125" t="n"/>
      <c r="F163" s="55" t="n"/>
      <c r="G163" s="52" t="n"/>
      <c r="H163" s="55" t="n"/>
      <c r="I163" s="71" t="n"/>
      <c r="J163" s="55" t="n"/>
      <c r="K163" s="18" t="n"/>
      <c r="L163" s="73" t="n"/>
      <c r="M163" s="73" t="n"/>
      <c r="N163" s="73" t="n"/>
      <c r="O163" s="19" t="n"/>
      <c r="P163" s="18" t="n"/>
      <c r="Q163" s="18" t="n"/>
      <c r="R163" s="73" t="n"/>
      <c r="S163" s="18" t="n"/>
      <c r="T163" s="18" t="n"/>
      <c r="U163" s="26">
        <f>D163+F163+-(H163+J163+L163+N163+P163+R163+T163)</f>
        <v/>
      </c>
      <c r="V163" t="inlineStr">
        <is>
          <t>CONSUMABLE</t>
        </is>
      </c>
    </row>
    <row r="164" ht="14.25" customHeight="1">
      <c r="A164" s="22">
        <f>A163+1</f>
        <v/>
      </c>
      <c r="B164" s="79" t="inlineStr">
        <is>
          <t>Magneto Stove 6 Burner</t>
        </is>
      </c>
      <c r="C164" s="29" t="inlineStr">
        <is>
          <t>Pcs</t>
        </is>
      </c>
      <c r="D164" s="26">
        <f>'Week  1'!U164</f>
        <v/>
      </c>
      <c r="E164" s="124" t="n"/>
      <c r="F164" s="62" t="n"/>
      <c r="G164" s="25" t="n"/>
      <c r="H164" s="56" t="n"/>
      <c r="I164" s="19" t="n"/>
      <c r="J164" s="64" t="n"/>
      <c r="K164" s="18" t="n"/>
      <c r="L164" s="73" t="n"/>
      <c r="M164" s="73" t="n"/>
      <c r="N164" s="73" t="n"/>
      <c r="O164" s="19" t="n"/>
      <c r="P164" s="18" t="n"/>
      <c r="Q164" s="18" t="n"/>
      <c r="R164" s="73" t="n"/>
      <c r="S164" s="18" t="n"/>
      <c r="T164" s="18" t="n"/>
      <c r="U164" s="26">
        <f>D164+F164+-(H164+J164+L164+N164+P164+R164+T164)</f>
        <v/>
      </c>
      <c r="V164" t="inlineStr">
        <is>
          <t>CONSUMABLE</t>
        </is>
      </c>
    </row>
    <row r="165" ht="15" customHeight="1">
      <c r="A165" s="22">
        <f>A164+1</f>
        <v/>
      </c>
      <c r="B165" s="122" t="inlineStr">
        <is>
          <t>MCB 10 A - 1 Phase, Schneider</t>
        </is>
      </c>
      <c r="C165" s="123" t="inlineStr">
        <is>
          <t>PCS</t>
        </is>
      </c>
      <c r="D165" s="26">
        <f>'Week  1'!U165</f>
        <v/>
      </c>
      <c r="E165" s="125" t="n"/>
      <c r="F165" s="55" t="n"/>
      <c r="G165" s="52" t="n"/>
      <c r="H165" s="55" t="n"/>
      <c r="I165" s="71" t="n"/>
      <c r="J165" s="55" t="n"/>
      <c r="K165" s="18" t="n"/>
      <c r="L165" s="73" t="n"/>
      <c r="M165" s="73" t="n"/>
      <c r="N165" s="73" t="n"/>
      <c r="O165" s="19" t="n"/>
      <c r="P165" s="18" t="n"/>
      <c r="Q165" s="18" t="n"/>
      <c r="R165" s="73" t="n"/>
      <c r="S165" s="18" t="n"/>
      <c r="T165" s="18" t="n"/>
      <c r="U165" s="26">
        <f>D165+F165+-(H165+J165+L165+N165+P165+R165+T165)</f>
        <v/>
      </c>
      <c r="V165" t="inlineStr">
        <is>
          <t>ELECTRICAL</t>
        </is>
      </c>
    </row>
    <row r="166" ht="26.25" customHeight="1">
      <c r="A166" s="22">
        <f>A165+1</f>
        <v/>
      </c>
      <c r="B166" s="122" t="inlineStr">
        <is>
          <t>MCB 16 A - 1 Phase, Schneider</t>
        </is>
      </c>
      <c r="C166" s="123" t="inlineStr">
        <is>
          <t>PCS</t>
        </is>
      </c>
      <c r="D166" s="26">
        <f>'Week  1'!U166</f>
        <v/>
      </c>
      <c r="E166" s="124" t="n"/>
      <c r="F166" s="62" t="n"/>
      <c r="G166" s="25" t="n"/>
      <c r="H166" s="56" t="n"/>
      <c r="I166" s="19" t="n"/>
      <c r="J166" s="64" t="n"/>
      <c r="K166" s="18" t="n"/>
      <c r="L166" s="73" t="n"/>
      <c r="M166" s="73" t="n"/>
      <c r="N166" s="73" t="n"/>
      <c r="O166" s="19" t="n"/>
      <c r="P166" s="18" t="n"/>
      <c r="Q166" s="18" t="n"/>
      <c r="R166" s="73" t="n"/>
      <c r="S166" s="18" t="n"/>
      <c r="T166" s="18" t="n"/>
      <c r="U166" s="26">
        <f>D166+F166+-(H166+J166+L166+N166+P166+R166+T166)</f>
        <v/>
      </c>
      <c r="V166" t="inlineStr">
        <is>
          <t>ELECTRICAL</t>
        </is>
      </c>
    </row>
    <row r="167" ht="15" customHeight="1">
      <c r="A167" s="22">
        <f>A166+1</f>
        <v/>
      </c>
      <c r="B167" s="122" t="inlineStr">
        <is>
          <t>MCB 16 A - 3 phase</t>
        </is>
      </c>
      <c r="C167" s="123" t="inlineStr">
        <is>
          <t>PCS</t>
        </is>
      </c>
      <c r="D167" s="26">
        <f>'Week  1'!U167</f>
        <v/>
      </c>
      <c r="E167" s="125" t="n"/>
      <c r="F167" s="55" t="n"/>
      <c r="G167" s="52" t="n"/>
      <c r="H167" s="55" t="n"/>
      <c r="I167" s="71" t="n"/>
      <c r="J167" s="55" t="n"/>
      <c r="K167" s="18" t="n"/>
      <c r="L167" s="73" t="n"/>
      <c r="M167" s="73" t="n"/>
      <c r="N167" s="73" t="n"/>
      <c r="O167" s="19" t="n"/>
      <c r="P167" s="18" t="n"/>
      <c r="Q167" s="18" t="n"/>
      <c r="R167" s="73" t="n"/>
      <c r="S167" s="18" t="n"/>
      <c r="T167" s="18" t="n"/>
      <c r="U167" s="26">
        <f>D167+F167+-(H167+J167+L167+N167+P167+R167+T167)</f>
        <v/>
      </c>
      <c r="V167" t="inlineStr">
        <is>
          <t>ELECTRICAL</t>
        </is>
      </c>
    </row>
    <row r="168" ht="15" customHeight="1">
      <c r="A168" s="22">
        <f>A167+1</f>
        <v/>
      </c>
      <c r="B168" s="122" t="inlineStr">
        <is>
          <t>MCB 20 A - 1 phase</t>
        </is>
      </c>
      <c r="C168" s="123" t="inlineStr">
        <is>
          <t>PCS</t>
        </is>
      </c>
      <c r="D168" s="26">
        <f>'Week  1'!U168</f>
        <v/>
      </c>
      <c r="E168" s="124" t="n"/>
      <c r="F168" s="62" t="n"/>
      <c r="G168" s="25" t="n"/>
      <c r="H168" s="56" t="n"/>
      <c r="I168" s="19" t="n"/>
      <c r="J168" s="64" t="n"/>
      <c r="K168" s="18" t="n"/>
      <c r="L168" s="73" t="n"/>
      <c r="M168" s="73" t="n"/>
      <c r="N168" s="73" t="n"/>
      <c r="O168" s="19" t="n"/>
      <c r="P168" s="18" t="n"/>
      <c r="Q168" s="18" t="n"/>
      <c r="R168" s="73" t="n"/>
      <c r="S168" s="18" t="n"/>
      <c r="T168" s="18" t="n"/>
      <c r="U168" s="26">
        <f>D168+F168+-(H168+J168+L168+N168+P168+R168+T168)</f>
        <v/>
      </c>
      <c r="V168" t="inlineStr">
        <is>
          <t>ELECTRICAL</t>
        </is>
      </c>
    </row>
    <row r="169" ht="15" customHeight="1">
      <c r="A169" s="22">
        <f>A168+1</f>
        <v/>
      </c>
      <c r="B169" s="122" t="inlineStr">
        <is>
          <t>MCB 20 A - 3 phase</t>
        </is>
      </c>
      <c r="C169" s="123" t="inlineStr">
        <is>
          <t>PCS</t>
        </is>
      </c>
      <c r="D169" s="26">
        <f>'Week  1'!U169</f>
        <v/>
      </c>
      <c r="E169" s="125" t="n"/>
      <c r="F169" s="55" t="n"/>
      <c r="G169" s="52" t="n"/>
      <c r="H169" s="55" t="n"/>
      <c r="I169" s="71" t="n"/>
      <c r="J169" s="55" t="n"/>
      <c r="K169" s="18" t="n"/>
      <c r="L169" s="73" t="n"/>
      <c r="M169" s="73" t="n"/>
      <c r="N169" s="73" t="n"/>
      <c r="O169" s="19" t="n"/>
      <c r="P169" s="18" t="n"/>
      <c r="Q169" s="18" t="n"/>
      <c r="R169" s="73" t="n"/>
      <c r="S169" s="18" t="n"/>
      <c r="T169" s="18" t="n"/>
      <c r="U169" s="26">
        <f>D169+F169+-(H169+J169+L169+N169+P169+R169+T169)</f>
        <v/>
      </c>
      <c r="V169" t="inlineStr">
        <is>
          <t>ELECTRICAL</t>
        </is>
      </c>
    </row>
    <row r="170" ht="15" customHeight="1">
      <c r="A170" s="22">
        <f>A169+1</f>
        <v/>
      </c>
      <c r="B170" s="122" t="inlineStr">
        <is>
          <t>MCB 32 A - 1 phase</t>
        </is>
      </c>
      <c r="C170" s="123" t="inlineStr">
        <is>
          <t>PCS</t>
        </is>
      </c>
      <c r="D170" s="26">
        <f>'Week  1'!U170</f>
        <v/>
      </c>
      <c r="E170" s="124" t="n"/>
      <c r="F170" s="62" t="n"/>
      <c r="G170" s="25" t="n"/>
      <c r="H170" s="56" t="n"/>
      <c r="I170" s="19" t="n"/>
      <c r="J170" s="64" t="n"/>
      <c r="K170" s="18" t="n"/>
      <c r="L170" s="73" t="n"/>
      <c r="M170" s="73" t="n"/>
      <c r="N170" s="73" t="n"/>
      <c r="O170" s="19" t="n"/>
      <c r="P170" s="18" t="n"/>
      <c r="Q170" s="18" t="n"/>
      <c r="R170" s="73" t="n"/>
      <c r="S170" s="18" t="n"/>
      <c r="T170" s="18" t="n"/>
      <c r="U170" s="26">
        <f>D170+F170+-(H170+J170+L170+N170+P170+R170+T170)</f>
        <v/>
      </c>
      <c r="V170" t="inlineStr">
        <is>
          <t>ELECTRICAL</t>
        </is>
      </c>
    </row>
    <row r="171" ht="15" customHeight="1">
      <c r="A171" s="22">
        <f>A170+1</f>
        <v/>
      </c>
      <c r="B171" s="122" t="inlineStr">
        <is>
          <t>MCB 63 A - 1 Phase, Schneider</t>
        </is>
      </c>
      <c r="C171" s="123" t="inlineStr">
        <is>
          <t>PCS</t>
        </is>
      </c>
      <c r="D171" s="26">
        <f>'Week  1'!U171</f>
        <v/>
      </c>
      <c r="E171" s="125" t="n"/>
      <c r="F171" s="55" t="n"/>
      <c r="G171" s="52" t="n"/>
      <c r="H171" s="55" t="n"/>
      <c r="I171" s="71" t="n"/>
      <c r="J171" s="55" t="n"/>
      <c r="K171" s="18" t="n"/>
      <c r="L171" s="73" t="n"/>
      <c r="M171" s="73" t="n"/>
      <c r="N171" s="73" t="n"/>
      <c r="O171" s="19" t="n"/>
      <c r="P171" s="18" t="n"/>
      <c r="Q171" s="18" t="n"/>
      <c r="R171" s="73" t="n"/>
      <c r="S171" s="18" t="n"/>
      <c r="T171" s="18" t="n"/>
      <c r="U171" s="26">
        <f>D171+F171+-(H171+J171+L171+N171+P171+R171+T171)</f>
        <v/>
      </c>
      <c r="V171" t="inlineStr">
        <is>
          <t>ELECTRICAL</t>
        </is>
      </c>
    </row>
    <row r="172" ht="15" customHeight="1">
      <c r="A172" s="22">
        <f>A171+1</f>
        <v/>
      </c>
      <c r="B172" s="122" t="inlineStr">
        <is>
          <t>MCB 32 A - 3 phase</t>
        </is>
      </c>
      <c r="C172" s="123" t="inlineStr">
        <is>
          <t>PCS</t>
        </is>
      </c>
      <c r="D172" s="26">
        <f>'Week  1'!U172</f>
        <v/>
      </c>
      <c r="E172" s="124" t="n"/>
      <c r="F172" s="62" t="n"/>
      <c r="G172" s="25" t="n"/>
      <c r="H172" s="56" t="n"/>
      <c r="I172" s="19" t="n"/>
      <c r="J172" s="64" t="n"/>
      <c r="K172" s="18" t="n"/>
      <c r="L172" s="73" t="n"/>
      <c r="M172" s="73" t="n"/>
      <c r="N172" s="73" t="n"/>
      <c r="O172" s="19" t="n"/>
      <c r="P172" s="18" t="n"/>
      <c r="Q172" s="18" t="n"/>
      <c r="R172" s="73" t="n"/>
      <c r="S172" s="18" t="n"/>
      <c r="T172" s="18" t="n"/>
      <c r="U172" s="26">
        <f>D172+F172+-(H172+J172+L172+N172+P172+R172+T172)</f>
        <v/>
      </c>
      <c r="V172" t="inlineStr">
        <is>
          <t>ELECTRICAL</t>
        </is>
      </c>
    </row>
    <row r="173" ht="15" customHeight="1">
      <c r="A173" s="22">
        <f>A172+1</f>
        <v/>
      </c>
      <c r="B173" s="122" t="inlineStr">
        <is>
          <t>MCB 50 A - 1 phase</t>
        </is>
      </c>
      <c r="C173" s="123" t="inlineStr">
        <is>
          <t>PCS</t>
        </is>
      </c>
      <c r="D173" s="26">
        <f>'Week  1'!U173</f>
        <v/>
      </c>
      <c r="E173" s="125" t="n"/>
      <c r="F173" s="55" t="n"/>
      <c r="G173" s="52" t="n"/>
      <c r="H173" s="55" t="n"/>
      <c r="I173" s="71" t="n"/>
      <c r="J173" s="55" t="n"/>
      <c r="K173" s="18" t="n"/>
      <c r="L173" s="73" t="n"/>
      <c r="M173" s="73" t="n"/>
      <c r="N173" s="73" t="n"/>
      <c r="O173" s="19" t="n"/>
      <c r="P173" s="18" t="n"/>
      <c r="Q173" s="19" t="n"/>
      <c r="R173" s="73" t="n"/>
      <c r="S173" s="18" t="n"/>
      <c r="T173" s="18" t="n"/>
      <c r="U173" s="26">
        <f>D173+F173+-(H173+J173+L173+N173+P173+R173+T173)</f>
        <v/>
      </c>
      <c r="V173" t="inlineStr">
        <is>
          <t>ELECTRICAL</t>
        </is>
      </c>
    </row>
    <row r="174" ht="15" customHeight="1">
      <c r="A174" s="22">
        <f>A173+1</f>
        <v/>
      </c>
      <c r="B174" s="122" t="inlineStr">
        <is>
          <t>MCB 6 A - 1 Phase, Schneider</t>
        </is>
      </c>
      <c r="C174" s="123" t="inlineStr">
        <is>
          <t>PCS</t>
        </is>
      </c>
      <c r="D174" s="26">
        <f>'Week  1'!U174</f>
        <v/>
      </c>
      <c r="E174" s="124" t="n"/>
      <c r="F174" s="62" t="n"/>
      <c r="G174" s="25" t="n"/>
      <c r="H174" s="56" t="n"/>
      <c r="I174" s="19" t="n"/>
      <c r="J174" s="64" t="n"/>
      <c r="K174" s="18" t="n"/>
      <c r="L174" s="73" t="n"/>
      <c r="M174" s="73" t="n"/>
      <c r="N174" s="73" t="n"/>
      <c r="O174" s="73" t="n"/>
      <c r="P174" s="73" t="n"/>
      <c r="Q174" s="18" t="n"/>
      <c r="R174" s="73" t="n"/>
      <c r="S174" s="18" t="n"/>
      <c r="T174" s="18" t="n"/>
      <c r="U174" s="26">
        <f>D174+F174+-(H174+J174+L174+N174+P174+R174+T174)</f>
        <v/>
      </c>
      <c r="V174" t="inlineStr">
        <is>
          <t>ELECTRICAL</t>
        </is>
      </c>
    </row>
    <row r="175" ht="15" customHeight="1">
      <c r="A175" s="22">
        <f>A174+1</f>
        <v/>
      </c>
      <c r="B175" s="122" t="inlineStr">
        <is>
          <t>MCB 63 A - 3 Phase, Schneider</t>
        </is>
      </c>
      <c r="C175" s="123" t="inlineStr">
        <is>
          <t>PCS</t>
        </is>
      </c>
      <c r="D175" s="26">
        <f>'Week  1'!U175</f>
        <v/>
      </c>
      <c r="E175" s="125" t="n"/>
      <c r="F175" s="55" t="n"/>
      <c r="G175" s="52" t="n"/>
      <c r="H175" s="55" t="n"/>
      <c r="I175" s="71" t="n"/>
      <c r="J175" s="55" t="n"/>
      <c r="K175" s="18" t="n"/>
      <c r="L175" s="73" t="n"/>
      <c r="M175" s="73" t="n"/>
      <c r="N175" s="73" t="n"/>
      <c r="O175" s="19" t="n"/>
      <c r="P175" s="18" t="n"/>
      <c r="Q175" s="18" t="n"/>
      <c r="R175" s="73" t="n"/>
      <c r="S175" s="18" t="n"/>
      <c r="T175" s="18" t="n"/>
      <c r="U175" s="26">
        <f>D175+F175+-(H175+J175+L175+N175+P175+R175+T175)</f>
        <v/>
      </c>
      <c r="V175" t="inlineStr">
        <is>
          <t>ELECTRICAL</t>
        </is>
      </c>
    </row>
    <row r="176" ht="15" customHeight="1">
      <c r="A176" s="22">
        <f>A175+1</f>
        <v/>
      </c>
      <c r="B176" s="122" t="inlineStr">
        <is>
          <t>MCCB 60 A EZC 1000BSchneider</t>
        </is>
      </c>
      <c r="C176" s="123" t="inlineStr">
        <is>
          <t>PCS</t>
        </is>
      </c>
      <c r="D176" s="26">
        <f>'Week  1'!U176</f>
        <v/>
      </c>
      <c r="E176" s="124" t="n"/>
      <c r="F176" s="62" t="n"/>
      <c r="G176" s="25" t="n"/>
      <c r="H176" s="56" t="n"/>
      <c r="I176" s="19" t="n"/>
      <c r="J176" s="64" t="n"/>
      <c r="K176" s="18" t="n"/>
      <c r="L176" s="73" t="n"/>
      <c r="M176" s="73" t="n"/>
      <c r="N176" s="73" t="n"/>
      <c r="O176" s="19" t="n"/>
      <c r="P176" s="18" t="n"/>
      <c r="Q176" s="18" t="n"/>
      <c r="R176" s="73" t="n"/>
      <c r="S176" s="18" t="n"/>
      <c r="T176" s="18" t="n"/>
      <c r="U176" s="26">
        <f>D176+F176+-(H176+J176+L176+N176+P176+R176+T176)</f>
        <v/>
      </c>
      <c r="V176" t="inlineStr">
        <is>
          <t>ELECTRICAL</t>
        </is>
      </c>
    </row>
    <row r="177" ht="15" customHeight="1">
      <c r="A177" s="22">
        <f>A176+1</f>
        <v/>
      </c>
      <c r="B177" s="122" t="inlineStr">
        <is>
          <t>Mechanical seal 560-20</t>
        </is>
      </c>
      <c r="C177" s="123" t="inlineStr">
        <is>
          <t>PCS</t>
        </is>
      </c>
      <c r="D177" s="26">
        <f>'Week  1'!U177</f>
        <v/>
      </c>
      <c r="E177" s="125" t="n"/>
      <c r="F177" s="55" t="n"/>
      <c r="G177" s="52" t="n"/>
      <c r="H177" s="55" t="n"/>
      <c r="I177" s="71" t="n"/>
      <c r="J177" s="55" t="n"/>
      <c r="K177" s="18" t="n"/>
      <c r="L177" s="73" t="n"/>
      <c r="M177" s="73" t="n"/>
      <c r="N177" s="73" t="n"/>
      <c r="O177" s="19" t="n"/>
      <c r="P177" s="18" t="n"/>
      <c r="Q177" s="18" t="n"/>
      <c r="R177" s="73" t="n"/>
      <c r="S177" s="18" t="n"/>
      <c r="T177" s="18" t="n"/>
      <c r="U177" s="26">
        <f>D177+F177+-(H177+J177+L177+N177+P177+R177+T177)</f>
        <v/>
      </c>
      <c r="V177" t="inlineStr">
        <is>
          <t>MECHANICAL</t>
        </is>
      </c>
    </row>
    <row r="178" ht="30" customHeight="1">
      <c r="A178" s="22">
        <f>A177+1</f>
        <v/>
      </c>
      <c r="B178" s="122" t="inlineStr">
        <is>
          <t>Modul Indoor AC 1,5 PK Panasonic</t>
        </is>
      </c>
      <c r="C178" s="123" t="inlineStr">
        <is>
          <t>PCS</t>
        </is>
      </c>
      <c r="D178" s="26">
        <f>'Week  1'!U178</f>
        <v/>
      </c>
      <c r="E178" s="124" t="n"/>
      <c r="F178" s="62" t="n"/>
      <c r="G178" s="25" t="n"/>
      <c r="H178" s="56" t="n"/>
      <c r="I178" s="19" t="n"/>
      <c r="J178" s="64" t="n"/>
      <c r="K178" s="18" t="n"/>
      <c r="L178" s="73" t="n"/>
      <c r="M178" s="73" t="n"/>
      <c r="N178" s="73" t="n"/>
      <c r="O178" s="19" t="n"/>
      <c r="P178" s="18" t="n"/>
      <c r="Q178" s="18" t="n"/>
      <c r="R178" s="73" t="n"/>
      <c r="S178" s="18" t="n"/>
      <c r="T178" s="18" t="n"/>
      <c r="U178" s="26">
        <f>D178+F178+-(H178+J178+L178+N178+P178+R178+T178)</f>
        <v/>
      </c>
      <c r="V178" t="inlineStr">
        <is>
          <t>AC</t>
        </is>
      </c>
    </row>
    <row r="179" ht="15" customHeight="1">
      <c r="A179" s="22">
        <f>A178+1</f>
        <v/>
      </c>
      <c r="B179" s="122" t="inlineStr">
        <is>
          <t>Mowilek  503</t>
        </is>
      </c>
      <c r="C179" s="123" t="inlineStr">
        <is>
          <t>KG</t>
        </is>
      </c>
      <c r="D179" s="26">
        <f>'Week  1'!U179</f>
        <v/>
      </c>
      <c r="E179" s="125" t="n"/>
      <c r="F179" s="55" t="n"/>
      <c r="G179" s="52" t="n"/>
      <c r="H179" s="55" t="n"/>
      <c r="I179" s="71" t="n"/>
      <c r="J179" s="55" t="n"/>
      <c r="K179" s="18" t="n"/>
      <c r="L179" s="73" t="n"/>
      <c r="M179" s="73" t="n"/>
      <c r="N179" s="73" t="n"/>
      <c r="O179" s="19" t="n"/>
      <c r="P179" s="18" t="n"/>
      <c r="Q179" s="18" t="n"/>
      <c r="R179" s="73" t="n"/>
      <c r="S179" s="18" t="n"/>
      <c r="T179" s="18" t="n"/>
      <c r="U179" s="26">
        <f>D179+F179+-(H179+J179+L179+N179+P179+R179+T179)</f>
        <v/>
      </c>
      <c r="V179" t="inlineStr">
        <is>
          <t>CIVIL</t>
        </is>
      </c>
    </row>
    <row r="180" ht="15" customHeight="1">
      <c r="A180" s="22">
        <f>A179+1</f>
        <v/>
      </c>
      <c r="B180" s="122" t="inlineStr">
        <is>
          <t>NO DROP</t>
        </is>
      </c>
      <c r="C180" s="123" t="inlineStr">
        <is>
          <t>KG</t>
        </is>
      </c>
      <c r="D180" s="26">
        <f>'Week  1'!U180</f>
        <v/>
      </c>
      <c r="E180" s="124" t="n"/>
      <c r="F180" s="62" t="n"/>
      <c r="G180" s="68" t="n"/>
      <c r="H180" s="69" t="n"/>
      <c r="I180" s="19" t="n"/>
      <c r="J180" s="64" t="n"/>
      <c r="K180" s="18" t="n"/>
      <c r="L180" s="73" t="n"/>
      <c r="M180" s="73" t="n"/>
      <c r="N180" s="73" t="n"/>
      <c r="O180" s="19" t="n"/>
      <c r="P180" s="18" t="n"/>
      <c r="Q180" s="18" t="inlineStr">
        <is>
          <t>Cafe</t>
        </is>
      </c>
      <c r="R180" s="73" t="n">
        <v>1</v>
      </c>
      <c r="S180" s="18" t="n"/>
      <c r="T180" s="18" t="n"/>
      <c r="U180" s="26">
        <f>D180+F180+-(H180+J180+L180+N180+P180+R180+T180)</f>
        <v/>
      </c>
      <c r="V180" t="inlineStr">
        <is>
          <t>CIVIL</t>
        </is>
      </c>
    </row>
    <row r="181" ht="15" customHeight="1">
      <c r="A181" s="22">
        <f>A180+1</f>
        <v/>
      </c>
      <c r="B181" s="122" t="inlineStr">
        <is>
          <t>NO DROP KASSA</t>
        </is>
      </c>
      <c r="C181" s="123" t="inlineStr">
        <is>
          <t>PCS</t>
        </is>
      </c>
      <c r="D181" s="26">
        <f>'Week  1'!U181</f>
        <v/>
      </c>
      <c r="E181" s="125" t="n"/>
      <c r="F181" s="55" t="n"/>
      <c r="G181" s="68" t="n"/>
      <c r="H181" s="56" t="n"/>
      <c r="I181" s="19" t="n"/>
      <c r="J181" s="55" t="n"/>
      <c r="K181" s="18" t="n"/>
      <c r="L181" s="73" t="n"/>
      <c r="M181" s="73" t="n"/>
      <c r="N181" s="73" t="n"/>
      <c r="O181" s="19" t="n"/>
      <c r="P181" s="18" t="n"/>
      <c r="Q181" s="18" t="inlineStr">
        <is>
          <t>Cafe</t>
        </is>
      </c>
      <c r="R181" s="73" t="n">
        <v>1</v>
      </c>
      <c r="S181" s="18" t="n"/>
      <c r="T181" s="18" t="n"/>
      <c r="U181" s="26">
        <f>D181+F181+-(H181+J181+L181+N181+P181+R181+T181)</f>
        <v/>
      </c>
      <c r="V181" t="inlineStr">
        <is>
          <t>CIVIL</t>
        </is>
      </c>
    </row>
    <row r="182" ht="30" customHeight="1">
      <c r="A182" s="22">
        <f>A181+1</f>
        <v/>
      </c>
      <c r="B182" s="122" t="inlineStr">
        <is>
          <t>OIL COMPRESSOR SUNISO, 4 TR</t>
        </is>
      </c>
      <c r="C182" s="123" t="inlineStr">
        <is>
          <t>GLN</t>
        </is>
      </c>
      <c r="D182" s="26">
        <f>'Week  1'!U182</f>
        <v/>
      </c>
      <c r="E182" s="124" t="n"/>
      <c r="F182" s="62" t="n"/>
      <c r="G182" s="25" t="n"/>
      <c r="H182" s="56" t="n"/>
      <c r="I182" s="19" t="n"/>
      <c r="J182" s="64" t="n"/>
      <c r="K182" s="18" t="n"/>
      <c r="L182" s="73" t="n"/>
      <c r="M182" s="73" t="n"/>
      <c r="N182" s="73" t="n"/>
      <c r="O182" s="19" t="n"/>
      <c r="P182" s="18" t="n"/>
      <c r="Q182" s="18" t="n"/>
      <c r="R182" s="73" t="n"/>
      <c r="S182" s="18" t="n"/>
      <c r="T182" s="18" t="n"/>
      <c r="U182" s="26">
        <f>D182+F182+-(H182+J182+L182+N182+P182+R182+T182)</f>
        <v/>
      </c>
      <c r="V182" t="inlineStr">
        <is>
          <t>OIL &amp; GAS</t>
        </is>
      </c>
    </row>
    <row r="183" ht="15" customHeight="1">
      <c r="A183" s="22">
        <f>A182+1</f>
        <v/>
      </c>
      <c r="B183" s="122" t="inlineStr">
        <is>
          <t>OIL MEDITRAN SX , 4 LTR</t>
        </is>
      </c>
      <c r="C183" s="123" t="inlineStr">
        <is>
          <t>GLN</t>
        </is>
      </c>
      <c r="D183" s="26">
        <f>'Week  1'!U183</f>
        <v/>
      </c>
      <c r="E183" s="125" t="n"/>
      <c r="F183" s="55" t="n"/>
      <c r="G183" s="52" t="n"/>
      <c r="H183" s="55" t="n"/>
      <c r="I183" s="71" t="n"/>
      <c r="J183" s="55" t="n"/>
      <c r="K183" s="18" t="n"/>
      <c r="L183" s="73" t="n"/>
      <c r="M183" s="73" t="n"/>
      <c r="N183" s="73" t="n"/>
      <c r="O183" s="19" t="n"/>
      <c r="P183" s="18" t="n"/>
      <c r="Q183" s="18" t="n"/>
      <c r="R183" s="73" t="n"/>
      <c r="S183" s="18" t="n"/>
      <c r="T183" s="18" t="n"/>
      <c r="U183" s="26">
        <f>D183+F183+-(H183+J183+L183+N183+P183+R183+T183)</f>
        <v/>
      </c>
      <c r="V183" t="inlineStr">
        <is>
          <t>OIL &amp; GAS</t>
        </is>
      </c>
    </row>
    <row r="184" ht="30" customHeight="1">
      <c r="A184" s="22">
        <f>A183+1</f>
        <v/>
      </c>
      <c r="B184" s="122" t="inlineStr">
        <is>
          <t>Over Load Relay  LRD 08, SCHNEIDER 4 A</t>
        </is>
      </c>
      <c r="C184" s="123" t="inlineStr">
        <is>
          <t>PCS</t>
        </is>
      </c>
      <c r="D184" s="26">
        <f>'Week  1'!U184</f>
        <v/>
      </c>
      <c r="E184" s="124" t="n"/>
      <c r="F184" s="62" t="n"/>
      <c r="G184" s="25" t="n"/>
      <c r="H184" s="56" t="n"/>
      <c r="I184" s="19" t="n"/>
      <c r="J184" s="64" t="n"/>
      <c r="K184" s="18" t="n"/>
      <c r="L184" s="73" t="n"/>
      <c r="M184" s="73" t="n"/>
      <c r="N184" s="73" t="n"/>
      <c r="O184" s="19" t="n"/>
      <c r="P184" s="18" t="n"/>
      <c r="Q184" s="18" t="n"/>
      <c r="R184" s="73" t="n"/>
      <c r="S184" s="18" t="n"/>
      <c r="T184" s="18" t="n"/>
      <c r="U184" s="26">
        <f>D184+F184+-(H184+J184+L184+N184+P184+R184+T184)</f>
        <v/>
      </c>
      <c r="V184" t="inlineStr">
        <is>
          <t>ELECTRICAL</t>
        </is>
      </c>
    </row>
    <row r="185" ht="30" customHeight="1">
      <c r="A185" s="22">
        <f>A184+1</f>
        <v/>
      </c>
      <c r="B185" s="122" t="inlineStr">
        <is>
          <t>Over Load  Relay LRD 10, SCHNEIDER 6 A</t>
        </is>
      </c>
      <c r="C185" s="123" t="inlineStr">
        <is>
          <t>PCS</t>
        </is>
      </c>
      <c r="D185" s="26">
        <f>'Week  1'!U185</f>
        <v/>
      </c>
      <c r="E185" s="125" t="n"/>
      <c r="F185" s="55" t="n"/>
      <c r="G185" s="52" t="n"/>
      <c r="H185" s="55" t="n"/>
      <c r="I185" s="71" t="n"/>
      <c r="J185" s="55" t="n"/>
      <c r="K185" s="18" t="n"/>
      <c r="L185" s="73" t="n"/>
      <c r="M185" s="73" t="n"/>
      <c r="N185" s="73" t="n"/>
      <c r="O185" s="19" t="n"/>
      <c r="P185" s="18" t="n"/>
      <c r="Q185" s="18" t="n"/>
      <c r="R185" s="73" t="n"/>
      <c r="S185" s="18" t="n"/>
      <c r="T185" s="18" t="n"/>
      <c r="U185" s="26">
        <f>D185+F185+-(H185+J185+L185+N185+P185+R185+T185)</f>
        <v/>
      </c>
      <c r="V185" t="inlineStr">
        <is>
          <t>ELECTRICAL</t>
        </is>
      </c>
    </row>
    <row r="186" ht="30" customHeight="1">
      <c r="A186" s="22">
        <f>A185+1</f>
        <v/>
      </c>
      <c r="B186" s="122" t="inlineStr">
        <is>
          <t>Over Load  Relay LRD 12 , SCHNEIDER 8 A</t>
        </is>
      </c>
      <c r="C186" s="123" t="inlineStr">
        <is>
          <t>PCS</t>
        </is>
      </c>
      <c r="D186" s="26">
        <f>'Week  1'!U186</f>
        <v/>
      </c>
      <c r="E186" s="124" t="n"/>
      <c r="F186" s="62" t="n"/>
      <c r="G186" s="25" t="n"/>
      <c r="H186" s="56" t="n"/>
      <c r="I186" s="19" t="n"/>
      <c r="J186" s="64" t="n"/>
      <c r="K186" s="18" t="n"/>
      <c r="L186" s="73" t="n"/>
      <c r="M186" s="73" t="n"/>
      <c r="N186" s="73" t="n"/>
      <c r="O186" s="19" t="n"/>
      <c r="P186" s="18" t="n"/>
      <c r="Q186" s="18" t="n"/>
      <c r="R186" s="73" t="n"/>
      <c r="S186" s="18" t="n"/>
      <c r="T186" s="18" t="n"/>
      <c r="U186" s="26">
        <f>D186+F186+-(H186+J186+L186+N186+P186+R186+T186)</f>
        <v/>
      </c>
      <c r="V186" t="inlineStr">
        <is>
          <t>ELECTRICAL</t>
        </is>
      </c>
    </row>
    <row r="187" ht="30" customHeight="1">
      <c r="A187" s="22">
        <f>A186+1</f>
        <v/>
      </c>
      <c r="B187" s="122" t="inlineStr">
        <is>
          <t>Over Load  Relay LRD 14, SCHNEIDER 10 A</t>
        </is>
      </c>
      <c r="C187" s="123" t="inlineStr">
        <is>
          <t>PCS</t>
        </is>
      </c>
      <c r="D187" s="26">
        <f>'Week  1'!U187</f>
        <v/>
      </c>
      <c r="E187" s="125" t="n"/>
      <c r="F187" s="55" t="n"/>
      <c r="G187" s="52" t="n"/>
      <c r="H187" s="55" t="n"/>
      <c r="I187" s="71" t="n"/>
      <c r="J187" s="55" t="n"/>
      <c r="K187" s="18" t="n"/>
      <c r="L187" s="73" t="n"/>
      <c r="M187" s="73" t="n"/>
      <c r="N187" s="73" t="n"/>
      <c r="O187" s="19" t="n"/>
      <c r="P187" s="18" t="n"/>
      <c r="Q187" s="18" t="n"/>
      <c r="R187" s="73" t="n"/>
      <c r="S187" s="18" t="n"/>
      <c r="T187" s="18" t="n"/>
      <c r="U187" s="26">
        <f>D187+F187+-(H187+J187+L187+N187+P187+R187+T187)</f>
        <v/>
      </c>
      <c r="V187" t="inlineStr">
        <is>
          <t>ELECTRICAL</t>
        </is>
      </c>
    </row>
    <row r="188" ht="30" customHeight="1">
      <c r="A188" s="22">
        <f>A187+1</f>
        <v/>
      </c>
      <c r="B188" s="122" t="inlineStr">
        <is>
          <t>Over Load  Relay LRD 16, SCHNEIDER 13</t>
        </is>
      </c>
      <c r="C188" s="123" t="inlineStr">
        <is>
          <t>PCS</t>
        </is>
      </c>
      <c r="D188" s="26">
        <f>'Week  1'!U188</f>
        <v/>
      </c>
      <c r="E188" s="124" t="n"/>
      <c r="F188" s="62" t="n"/>
      <c r="G188" s="25" t="n"/>
      <c r="H188" s="56" t="n"/>
      <c r="I188" s="19" t="n"/>
      <c r="J188" s="64" t="n"/>
      <c r="K188" s="18" t="n"/>
      <c r="L188" s="73" t="n"/>
      <c r="M188" s="73" t="n"/>
      <c r="N188" s="73" t="n"/>
      <c r="O188" s="19" t="n"/>
      <c r="P188" s="18" t="n"/>
      <c r="Q188" s="18" t="n"/>
      <c r="R188" s="73" t="n"/>
      <c r="S188" s="18" t="n"/>
      <c r="T188" s="18" t="n"/>
      <c r="U188" s="26">
        <f>D188+F188+-(H188+J188+L188+N188+P188+R188+T188)</f>
        <v/>
      </c>
      <c r="V188" t="inlineStr">
        <is>
          <t>ELECTRICAL</t>
        </is>
      </c>
    </row>
    <row r="189" ht="30" customHeight="1">
      <c r="A189" s="22">
        <f>A188+1</f>
        <v/>
      </c>
      <c r="B189" s="122" t="inlineStr">
        <is>
          <t>Over Load  Relay LRD 21, SCHNEIDER 18 A</t>
        </is>
      </c>
      <c r="C189" s="123" t="inlineStr">
        <is>
          <t>PCS</t>
        </is>
      </c>
      <c r="D189" s="26">
        <f>'Week  1'!U189</f>
        <v/>
      </c>
      <c r="E189" s="125" t="n"/>
      <c r="F189" s="55" t="n"/>
      <c r="G189" s="52" t="n"/>
      <c r="H189" s="55" t="n"/>
      <c r="I189" s="71" t="n"/>
      <c r="J189" s="55" t="n"/>
      <c r="K189" s="18" t="n"/>
      <c r="L189" s="73" t="n"/>
      <c r="M189" s="73" t="n"/>
      <c r="N189" s="73" t="n"/>
      <c r="O189" s="19" t="n"/>
      <c r="P189" s="18" t="n"/>
      <c r="Q189" s="18" t="n"/>
      <c r="R189" s="73" t="n"/>
      <c r="S189" s="18" t="n"/>
      <c r="T189" s="18" t="n"/>
      <c r="U189" s="26">
        <f>D189+F189+-(H189+J189+L189+N189+P189+R189+T189)</f>
        <v/>
      </c>
      <c r="V189" t="inlineStr">
        <is>
          <t>ELECTRICAL</t>
        </is>
      </c>
    </row>
    <row r="190" ht="30" customHeight="1">
      <c r="A190" s="22">
        <f>A189+1</f>
        <v/>
      </c>
      <c r="B190" s="122" t="inlineStr">
        <is>
          <t>Over Load  Relay LRD 22, SCHNEIDER 24 A</t>
        </is>
      </c>
      <c r="C190" s="123" t="inlineStr">
        <is>
          <t>PCS</t>
        </is>
      </c>
      <c r="D190" s="26">
        <f>'Week  1'!U190</f>
        <v/>
      </c>
      <c r="E190" s="124" t="n"/>
      <c r="F190" s="62" t="n"/>
      <c r="G190" s="25" t="n"/>
      <c r="H190" s="56" t="n"/>
      <c r="I190" s="19" t="n"/>
      <c r="J190" s="64" t="n"/>
      <c r="K190" s="18" t="n"/>
      <c r="L190" s="73" t="n"/>
      <c r="M190" s="73" t="n"/>
      <c r="N190" s="73" t="n"/>
      <c r="O190" s="19" t="n"/>
      <c r="P190" s="18" t="n"/>
      <c r="Q190" s="19" t="n"/>
      <c r="R190" s="18" t="n"/>
      <c r="S190" s="18" t="n"/>
      <c r="T190" s="18" t="n"/>
      <c r="U190" s="26">
        <f>D190+F190+-(H190+J190+L190+N190+P190+R190+T190)</f>
        <v/>
      </c>
      <c r="V190" t="inlineStr">
        <is>
          <t>ELECTRICAL</t>
        </is>
      </c>
    </row>
    <row r="191" ht="30" customHeight="1">
      <c r="A191" s="22">
        <f>A190+1</f>
        <v/>
      </c>
      <c r="B191" s="122" t="inlineStr">
        <is>
          <t>Over Load  Relay LRD 32, SCHNEIDER 32 A</t>
        </is>
      </c>
      <c r="C191" s="123" t="inlineStr">
        <is>
          <t>PCS</t>
        </is>
      </c>
      <c r="D191" s="26">
        <f>'Week  1'!U191</f>
        <v/>
      </c>
      <c r="E191" s="125" t="n"/>
      <c r="F191" s="55" t="n"/>
      <c r="G191" s="52" t="n"/>
      <c r="H191" s="55" t="n"/>
      <c r="I191" s="71" t="n"/>
      <c r="J191" s="55" t="n"/>
      <c r="K191" s="18" t="n"/>
      <c r="L191" s="73" t="n"/>
      <c r="M191" s="73" t="n"/>
      <c r="N191" s="73" t="n"/>
      <c r="O191" s="19" t="n"/>
      <c r="P191" s="18" t="n"/>
      <c r="Q191" s="18" t="n"/>
      <c r="R191" s="73" t="n"/>
      <c r="S191" s="18" t="n"/>
      <c r="T191" s="18" t="n"/>
      <c r="U191" s="26">
        <f>D191+F191+-(H191+J191+L191+N191+P191+R191+T191)</f>
        <v/>
      </c>
      <c r="V191" t="inlineStr">
        <is>
          <t>ELECTRICAL</t>
        </is>
      </c>
    </row>
    <row r="192" ht="30" customHeight="1">
      <c r="A192" s="22">
        <f>A191+1</f>
        <v/>
      </c>
      <c r="B192" s="122" t="inlineStr">
        <is>
          <t>Overload of Water Dispencer 1/5 PK</t>
        </is>
      </c>
      <c r="C192" s="123" t="inlineStr">
        <is>
          <t>PCS</t>
        </is>
      </c>
      <c r="D192" s="26">
        <f>'Week  1'!U192</f>
        <v/>
      </c>
      <c r="E192" s="124" t="n"/>
      <c r="F192" s="62" t="n"/>
      <c r="G192" s="25" t="n"/>
      <c r="H192" s="56" t="n"/>
      <c r="I192" s="19" t="n"/>
      <c r="J192" s="64" t="n"/>
      <c r="K192" s="18" t="n"/>
      <c r="L192" s="73" t="n"/>
      <c r="M192" s="73" t="n"/>
      <c r="N192" s="73" t="n"/>
      <c r="O192" s="19" t="n"/>
      <c r="P192" s="18" t="n"/>
      <c r="Q192" s="18" t="n"/>
      <c r="R192" s="73" t="n"/>
      <c r="S192" s="18" t="n"/>
      <c r="T192" s="18" t="n"/>
      <c r="U192" s="26">
        <f>D192+F192+-(H192+J192+L192+N192+P192+R192+T192)</f>
        <v/>
      </c>
      <c r="V192" t="inlineStr">
        <is>
          <t>ELECTRICAL</t>
        </is>
      </c>
    </row>
    <row r="193" ht="15" customHeight="1">
      <c r="A193" s="22">
        <f>A192+1</f>
        <v/>
      </c>
      <c r="B193" s="122" t="inlineStr">
        <is>
          <t xml:space="preserve">Overload Refrigerator </t>
        </is>
      </c>
      <c r="C193" s="123" t="inlineStr">
        <is>
          <t>PCS</t>
        </is>
      </c>
      <c r="D193" s="26">
        <f>'Week  1'!U193</f>
        <v/>
      </c>
      <c r="E193" s="125" t="n"/>
      <c r="F193" s="55" t="n"/>
      <c r="G193" s="52" t="n"/>
      <c r="H193" s="55" t="n"/>
      <c r="I193" s="71" t="n"/>
      <c r="J193" s="55" t="n"/>
      <c r="K193" s="18" t="n"/>
      <c r="L193" s="73" t="n"/>
      <c r="M193" s="73" t="n"/>
      <c r="N193" s="73" t="n"/>
      <c r="O193" s="19" t="n"/>
      <c r="P193" s="18" t="n"/>
      <c r="Q193" s="18" t="n"/>
      <c r="R193" s="73" t="n"/>
      <c r="S193" s="18" t="n"/>
      <c r="T193" s="18" t="n"/>
      <c r="U193" s="26">
        <f>D193+F193+-(H193+J193+L193+N193+P193+R193+T193)</f>
        <v/>
      </c>
      <c r="V193" t="inlineStr">
        <is>
          <t>ELECTRICAL</t>
        </is>
      </c>
    </row>
    <row r="194" ht="15" customHeight="1">
      <c r="A194" s="22">
        <f>A193+1</f>
        <v/>
      </c>
      <c r="B194" s="122" t="inlineStr">
        <is>
          <t>PAKAN LAS RD 460 2,0</t>
        </is>
      </c>
      <c r="C194" s="123" t="inlineStr">
        <is>
          <t>KG</t>
        </is>
      </c>
      <c r="D194" s="26">
        <f>'Week  1'!U194</f>
        <v/>
      </c>
      <c r="E194" s="124" t="n"/>
      <c r="F194" s="62" t="n"/>
      <c r="G194" s="25" t="n"/>
      <c r="H194" s="69" t="n"/>
      <c r="I194" s="19" t="n"/>
      <c r="J194" s="73" t="n"/>
      <c r="K194" s="19" t="n"/>
      <c r="L194" s="73" t="n"/>
      <c r="M194" s="73" t="n"/>
      <c r="N194" s="73" t="n"/>
      <c r="O194" s="19" t="n"/>
      <c r="P194" s="73" t="n"/>
      <c r="Q194" s="73" t="n"/>
      <c r="R194" s="73" t="n"/>
      <c r="S194" s="18" t="n"/>
      <c r="T194" s="18" t="n"/>
      <c r="U194" s="26">
        <f>D194+F194+-(H194+J194+L194+N194+P194+R194+T194)</f>
        <v/>
      </c>
      <c r="V194" t="inlineStr">
        <is>
          <t>CONSUMABLE</t>
        </is>
      </c>
    </row>
    <row r="195" ht="15" customHeight="1">
      <c r="A195" s="22">
        <f>A194+1</f>
        <v/>
      </c>
      <c r="B195" s="122" t="inlineStr">
        <is>
          <t>PRESSURE GAUGE WIKA 10</t>
        </is>
      </c>
      <c r="C195" s="123" t="inlineStr">
        <is>
          <t>PCS</t>
        </is>
      </c>
      <c r="D195" s="26">
        <f>'Week  1'!U195</f>
        <v/>
      </c>
      <c r="E195" s="125" t="n"/>
      <c r="F195" s="55" t="n"/>
      <c r="G195" s="52" t="n"/>
      <c r="H195" s="55" t="n"/>
      <c r="I195" s="71" t="n"/>
      <c r="J195" s="55" t="n"/>
      <c r="K195" s="18" t="n"/>
      <c r="L195" s="73" t="n"/>
      <c r="M195" s="73" t="n"/>
      <c r="N195" s="73" t="n"/>
      <c r="O195" s="19" t="n"/>
      <c r="P195" s="18" t="n"/>
      <c r="Q195" s="18" t="n"/>
      <c r="R195" s="73" t="n"/>
      <c r="S195" s="18" t="n"/>
      <c r="T195" s="18" t="n"/>
      <c r="U195" s="26">
        <f>D195+F195+-(H195+J195+L195+N195+P195+R195+T195)</f>
        <v/>
      </c>
      <c r="V195" t="inlineStr">
        <is>
          <t>VALVE AND PIPE</t>
        </is>
      </c>
    </row>
    <row r="196" ht="30" customHeight="1">
      <c r="A196" s="22">
        <f>A195+1</f>
        <v/>
      </c>
      <c r="B196" s="122" t="inlineStr">
        <is>
          <t>Pee Pipe DUPON 4160 NC ( Syphon Kitchen sink )</t>
        </is>
      </c>
      <c r="C196" s="123" t="inlineStr">
        <is>
          <t>SET</t>
        </is>
      </c>
      <c r="D196" s="26">
        <f>'Week  1'!U196</f>
        <v/>
      </c>
      <c r="E196" s="124" t="n"/>
      <c r="F196" s="62" t="n"/>
      <c r="G196" s="25" t="n"/>
      <c r="H196" s="56" t="n"/>
      <c r="I196" s="19" t="n"/>
      <c r="J196" s="64" t="n"/>
      <c r="K196" s="18" t="n"/>
      <c r="L196" s="73" t="n"/>
      <c r="M196" s="73" t="n"/>
      <c r="N196" s="73" t="n"/>
      <c r="O196" s="19" t="n"/>
      <c r="P196" s="18" t="n"/>
      <c r="Q196" s="18" t="n"/>
      <c r="R196" s="73" t="n"/>
      <c r="S196" s="18" t="n"/>
      <c r="T196" s="18" t="n"/>
      <c r="U196" s="26">
        <f>D196+F196+-(H196+J196+L196+N196+P196+R196+T196)</f>
        <v/>
      </c>
      <c r="V196" t="inlineStr">
        <is>
          <t>SANITARY</t>
        </is>
      </c>
    </row>
    <row r="197" ht="15" customHeight="1">
      <c r="A197" s="22">
        <f>A196+1</f>
        <v/>
      </c>
      <c r="B197" s="122" t="inlineStr">
        <is>
          <t xml:space="preserve">PESAWAT TELEPHONE </t>
        </is>
      </c>
      <c r="C197" s="123" t="inlineStr">
        <is>
          <t>SET</t>
        </is>
      </c>
      <c r="D197" s="26">
        <f>'Week  1'!U197</f>
        <v/>
      </c>
      <c r="E197" s="125" t="n"/>
      <c r="F197" s="55" t="n"/>
      <c r="G197" s="52" t="n"/>
      <c r="H197" s="55" t="n"/>
      <c r="I197" s="71" t="n"/>
      <c r="J197" s="55" t="n"/>
      <c r="K197" s="18" t="n"/>
      <c r="L197" s="73" t="n"/>
      <c r="M197" s="73" t="n"/>
      <c r="N197" s="73" t="n"/>
      <c r="O197" s="19" t="n"/>
      <c r="P197" s="18" t="n"/>
      <c r="Q197" s="18" t="n"/>
      <c r="R197" s="73" t="n"/>
      <c r="S197" s="18" t="n"/>
      <c r="T197" s="18" t="n"/>
      <c r="U197" s="26">
        <f>D197+F197+-(H197+J197+L197+N197+P197+R197+T197)</f>
        <v/>
      </c>
      <c r="V197" t="inlineStr">
        <is>
          <t>CONSUMABLE</t>
        </is>
      </c>
    </row>
    <row r="198">
      <c r="A198" s="22">
        <f>A197+1</f>
        <v/>
      </c>
      <c r="B198" s="79" t="inlineStr">
        <is>
          <t>Plug Besi 1/2"</t>
        </is>
      </c>
      <c r="C198" s="40" t="inlineStr">
        <is>
          <t>Pcs</t>
        </is>
      </c>
      <c r="D198" s="26">
        <f>'Week  1'!U198</f>
        <v/>
      </c>
      <c r="E198" s="124" t="n"/>
      <c r="F198" s="62" t="n"/>
      <c r="G198" s="25" t="n"/>
      <c r="H198" s="56" t="n"/>
      <c r="I198" s="19" t="n"/>
      <c r="J198" s="64" t="n"/>
      <c r="K198" s="18" t="n"/>
      <c r="L198" s="73" t="n"/>
      <c r="M198" s="73" t="n"/>
      <c r="N198" s="73" t="n"/>
      <c r="O198" s="19" t="n"/>
      <c r="P198" s="18" t="n"/>
      <c r="Q198" s="18" t="n"/>
      <c r="R198" s="73" t="n"/>
      <c r="S198" s="18" t="n"/>
      <c r="T198" s="18" t="n"/>
      <c r="U198" s="26">
        <f>D198+F198+-(H198+J198+L198+N198+P198+R198+T198)</f>
        <v/>
      </c>
      <c r="V198" t="inlineStr">
        <is>
          <t>VALVE AND PIPE</t>
        </is>
      </c>
    </row>
    <row r="199" ht="15" customHeight="1">
      <c r="A199" s="22">
        <f>A198+1</f>
        <v/>
      </c>
      <c r="B199" s="122" t="inlineStr">
        <is>
          <t>Plywood Meranti 6mm</t>
        </is>
      </c>
      <c r="C199" s="123" t="inlineStr">
        <is>
          <t xml:space="preserve">Lbr </t>
        </is>
      </c>
      <c r="D199" s="26">
        <f>'Week  1'!U199</f>
        <v/>
      </c>
      <c r="E199" s="125" t="n"/>
      <c r="F199" s="55" t="n"/>
      <c r="G199" s="52" t="n"/>
      <c r="H199" s="74" t="n"/>
      <c r="I199" s="71" t="n"/>
      <c r="J199" s="55" t="n"/>
      <c r="K199" s="19" t="n"/>
      <c r="L199" s="73" t="n"/>
      <c r="M199" s="73" t="n"/>
      <c r="N199" s="73" t="n"/>
      <c r="O199" s="19" t="n"/>
      <c r="P199" s="18" t="n"/>
      <c r="Q199" s="18" t="n"/>
      <c r="R199" s="73" t="n"/>
      <c r="S199" s="18" t="n"/>
      <c r="T199" s="18" t="n"/>
      <c r="U199" s="26">
        <f>D199+F199+-(H199+J199+L199+N199+P199+R199+T199)</f>
        <v/>
      </c>
      <c r="V199" t="inlineStr">
        <is>
          <t>CIVIL</t>
        </is>
      </c>
    </row>
    <row r="200" ht="15" customHeight="1">
      <c r="A200" s="22">
        <f>A199+1</f>
        <v/>
      </c>
      <c r="B200" s="122" t="inlineStr">
        <is>
          <t>Plywood Meranti 20 mm</t>
        </is>
      </c>
      <c r="C200" s="123" t="inlineStr">
        <is>
          <t xml:space="preserve">Lbr </t>
        </is>
      </c>
      <c r="D200" s="26">
        <f>'Week  1'!U200</f>
        <v/>
      </c>
      <c r="E200" s="124" t="n"/>
      <c r="F200" s="62" t="n"/>
      <c r="G200" s="25" t="n"/>
      <c r="H200" s="66" t="n"/>
      <c r="I200" s="19" t="n"/>
      <c r="J200" s="64" t="n"/>
      <c r="K200" s="18" t="n"/>
      <c r="L200" s="73" t="n"/>
      <c r="M200" s="73" t="n"/>
      <c r="N200" s="73" t="n"/>
      <c r="O200" s="19" t="n"/>
      <c r="P200" s="18" t="n"/>
      <c r="Q200" s="18" t="n"/>
      <c r="R200" s="73" t="n"/>
      <c r="S200" s="18" t="n"/>
      <c r="T200" s="18" t="n"/>
      <c r="U200" s="26">
        <f>D200+F200+-(H200+J200+L200+N200+P200+R200+T200)</f>
        <v/>
      </c>
      <c r="V200" t="inlineStr">
        <is>
          <t>CIVIL</t>
        </is>
      </c>
    </row>
    <row r="201" ht="15" customHeight="1">
      <c r="A201" s="22">
        <f>A200+1</f>
        <v/>
      </c>
      <c r="B201" s="122" t="inlineStr">
        <is>
          <t>PIPA PVC 2"</t>
        </is>
      </c>
      <c r="C201" s="123" t="inlineStr">
        <is>
          <t>PCS</t>
        </is>
      </c>
      <c r="D201" s="26">
        <f>'Week  1'!U201</f>
        <v/>
      </c>
      <c r="E201" s="125" t="n"/>
      <c r="F201" s="55" t="n"/>
      <c r="G201" s="52" t="n"/>
      <c r="H201" s="55" t="n"/>
      <c r="I201" s="71" t="n"/>
      <c r="J201" s="55" t="n"/>
      <c r="K201" s="18" t="n"/>
      <c r="L201" s="73" t="n"/>
      <c r="M201" s="73" t="n"/>
      <c r="N201" s="73" t="n"/>
      <c r="O201" s="19" t="n"/>
      <c r="P201" s="18" t="n"/>
      <c r="Q201" s="18" t="n"/>
      <c r="R201" s="73" t="n"/>
      <c r="S201" s="18" t="n"/>
      <c r="T201" s="18" t="n"/>
      <c r="U201" s="26">
        <f>D201+F201+-(H201+J201+L201+N201+P201+R201+T201)</f>
        <v/>
      </c>
      <c r="V201" t="inlineStr">
        <is>
          <t>VALVE AND PIPE</t>
        </is>
      </c>
    </row>
    <row r="202" ht="15" customHeight="1">
      <c r="A202" s="22">
        <f>A201+1</f>
        <v/>
      </c>
      <c r="B202" s="122" t="inlineStr">
        <is>
          <t>PIPA PVC 1"</t>
        </is>
      </c>
      <c r="C202" s="123" t="inlineStr">
        <is>
          <t>PCS</t>
        </is>
      </c>
      <c r="D202" s="26">
        <f>'Week  1'!U202</f>
        <v/>
      </c>
      <c r="E202" s="124" t="n"/>
      <c r="F202" s="62" t="n"/>
      <c r="G202" s="25" t="n"/>
      <c r="H202" s="56" t="n"/>
      <c r="I202" s="19" t="n"/>
      <c r="J202" s="64" t="n"/>
      <c r="K202" s="18" t="n"/>
      <c r="L202" s="73" t="n"/>
      <c r="M202" s="73" t="n"/>
      <c r="N202" s="73" t="n"/>
      <c r="O202" s="19" t="n"/>
      <c r="P202" s="18" t="n"/>
      <c r="Q202" s="18" t="n"/>
      <c r="R202" s="73" t="n"/>
      <c r="S202" s="18" t="n"/>
      <c r="T202" s="18" t="n"/>
      <c r="U202" s="26">
        <f>D202+F202+-(H202+J202+L202+N202+P202+R202+T202)</f>
        <v/>
      </c>
      <c r="V202" t="inlineStr">
        <is>
          <t>VALVE AND PIPE</t>
        </is>
      </c>
    </row>
    <row r="203" ht="15" customHeight="1">
      <c r="A203" s="22">
        <f>A202+1</f>
        <v/>
      </c>
      <c r="B203" s="122" t="inlineStr">
        <is>
          <t>PIPA PVC 3/4"</t>
        </is>
      </c>
      <c r="C203" s="123" t="inlineStr">
        <is>
          <t>PCS</t>
        </is>
      </c>
      <c r="D203" s="26">
        <f>'Week  1'!U203</f>
        <v/>
      </c>
      <c r="E203" s="125" t="n"/>
      <c r="F203" s="55" t="n"/>
      <c r="G203" s="52" t="n"/>
      <c r="H203" s="55" t="n"/>
      <c r="I203" s="71" t="n"/>
      <c r="J203" s="55" t="n"/>
      <c r="K203" s="18" t="n"/>
      <c r="L203" s="73" t="n"/>
      <c r="M203" s="73" t="n"/>
      <c r="N203" s="73" t="n"/>
      <c r="O203" s="19" t="n"/>
      <c r="P203" s="18" t="n"/>
      <c r="Q203" s="18" t="n"/>
      <c r="R203" s="73" t="n"/>
      <c r="S203" s="18" t="n"/>
      <c r="T203" s="18" t="n"/>
      <c r="U203" s="26">
        <f>D203+F203+-(H203+J203+L203+N203+P203+R203+T203)</f>
        <v/>
      </c>
      <c r="V203" t="inlineStr">
        <is>
          <t>VALVE AND PIPE</t>
        </is>
      </c>
    </row>
    <row r="204" ht="15" customHeight="1">
      <c r="A204" s="22">
        <f>A203+1</f>
        <v/>
      </c>
      <c r="B204" s="122" t="inlineStr">
        <is>
          <t>PIPA PVC 1/2"</t>
        </is>
      </c>
      <c r="C204" s="123" t="inlineStr">
        <is>
          <t>PCS</t>
        </is>
      </c>
      <c r="D204" s="26">
        <f>'Week  1'!U204</f>
        <v/>
      </c>
      <c r="E204" s="124" t="n"/>
      <c r="F204" s="62" t="n"/>
      <c r="G204" s="25" t="n"/>
      <c r="H204" s="56" t="n"/>
      <c r="I204" s="18" t="n"/>
      <c r="J204" s="64" t="n"/>
      <c r="K204" s="18" t="n"/>
      <c r="L204" s="64" t="n"/>
      <c r="M204" s="73" t="n"/>
      <c r="N204" s="73" t="n"/>
      <c r="O204" s="19" t="n"/>
      <c r="P204" s="18" t="n"/>
      <c r="Q204" s="18" t="n"/>
      <c r="R204" s="73" t="n"/>
      <c r="S204" s="18" t="n"/>
      <c r="T204" s="18" t="n"/>
      <c r="U204" s="26">
        <f>D204+F204+-(H204+J204+L204+N204+P204+R204+T204)</f>
        <v/>
      </c>
      <c r="V204" t="inlineStr">
        <is>
          <t>VALVE AND PIPE</t>
        </is>
      </c>
    </row>
    <row r="205" ht="30" customHeight="1">
      <c r="A205" s="22">
        <f>A204+1</f>
        <v/>
      </c>
      <c r="B205" s="122" t="inlineStr">
        <is>
          <t>Push Drainage ( Avur Wash Basin )</t>
        </is>
      </c>
      <c r="C205" s="123" t="inlineStr">
        <is>
          <t>PCS</t>
        </is>
      </c>
      <c r="D205" s="26">
        <f>'Week  1'!U205</f>
        <v/>
      </c>
      <c r="E205" s="125" t="n"/>
      <c r="F205" s="55" t="n"/>
      <c r="G205" s="52" t="n"/>
      <c r="H205" s="55" t="n"/>
      <c r="I205" s="71" t="n"/>
      <c r="J205" s="55" t="n"/>
      <c r="K205" s="18" t="n"/>
      <c r="L205" s="73" t="n"/>
      <c r="M205" s="73" t="n"/>
      <c r="N205" s="73" t="n"/>
      <c r="O205" s="19" t="n"/>
      <c r="P205" s="18" t="n"/>
      <c r="Q205" s="18" t="n"/>
      <c r="R205" s="73" t="n"/>
      <c r="S205" s="18" t="n"/>
      <c r="T205" s="18" t="n"/>
      <c r="U205" s="26">
        <f>D205+F205+-(H205+J205+L205+N205+P205+R205+T205)</f>
        <v/>
      </c>
      <c r="V205" t="inlineStr">
        <is>
          <t>SANITARY</t>
        </is>
      </c>
    </row>
    <row r="206" ht="15" customHeight="1">
      <c r="A206" s="22">
        <f>A205+1</f>
        <v/>
      </c>
      <c r="B206" s="122" t="inlineStr">
        <is>
          <t>Regulator LPG</t>
        </is>
      </c>
      <c r="C206" s="123" t="inlineStr">
        <is>
          <t>PCS</t>
        </is>
      </c>
      <c r="D206" s="26">
        <f>'Week  1'!U206</f>
        <v/>
      </c>
      <c r="E206" s="124" t="n"/>
      <c r="F206" s="62" t="n"/>
      <c r="G206" s="68" t="n"/>
      <c r="H206" s="56" t="n"/>
      <c r="I206" s="19" t="inlineStr">
        <is>
          <t>Jawa 11</t>
        </is>
      </c>
      <c r="J206" s="64" t="n">
        <v>1</v>
      </c>
      <c r="K206" s="19" t="inlineStr">
        <is>
          <t>Sulawesi 3</t>
        </is>
      </c>
      <c r="L206" s="73" t="n">
        <v>1</v>
      </c>
      <c r="M206" s="73" t="n"/>
      <c r="N206" s="73" t="n"/>
      <c r="O206" s="19" t="n"/>
      <c r="P206" s="18" t="n"/>
      <c r="Q206" s="18" t="n"/>
      <c r="R206" s="73" t="n"/>
      <c r="S206" s="18" t="n"/>
      <c r="T206" s="18" t="n"/>
      <c r="U206" s="26">
        <f>D206+F206+-(H206+J206+L206+N206+P206+R206+T206)</f>
        <v/>
      </c>
      <c r="V206" t="inlineStr">
        <is>
          <t>CONSUMABLE</t>
        </is>
      </c>
    </row>
    <row r="207" ht="15" customHeight="1">
      <c r="A207" s="22">
        <f>A206+1</f>
        <v/>
      </c>
      <c r="B207" s="122" t="inlineStr">
        <is>
          <t>REMOTE AC MULTI</t>
        </is>
      </c>
      <c r="C207" s="123" t="inlineStr">
        <is>
          <t>PCS</t>
        </is>
      </c>
      <c r="D207" s="26">
        <f>'Week  1'!U207</f>
        <v/>
      </c>
      <c r="E207" s="125" t="n"/>
      <c r="F207" s="55" t="n"/>
      <c r="G207" s="52" t="n"/>
      <c r="H207" s="55" t="n"/>
      <c r="I207" s="71" t="n"/>
      <c r="J207" s="55" t="n"/>
      <c r="K207" s="18" t="n"/>
      <c r="L207" s="73" t="n"/>
      <c r="M207" s="73" t="n"/>
      <c r="N207" s="73" t="n"/>
      <c r="O207" s="19" t="n"/>
      <c r="P207" s="18" t="n"/>
      <c r="Q207" s="18" t="n"/>
      <c r="R207" s="73" t="n"/>
      <c r="S207" s="18" t="n"/>
      <c r="T207" s="18" t="n"/>
      <c r="U207" s="26">
        <f>D207+F207+-(H207+J207+L207+N207+P207+R207+T207)</f>
        <v/>
      </c>
      <c r="V207" t="inlineStr">
        <is>
          <t>AC</t>
        </is>
      </c>
    </row>
    <row r="208" ht="15" customHeight="1">
      <c r="A208" s="22">
        <f>A207+1</f>
        <v/>
      </c>
      <c r="B208" s="122" t="inlineStr">
        <is>
          <t>REMOTE TV  MULTI</t>
        </is>
      </c>
      <c r="C208" s="123" t="inlineStr">
        <is>
          <t>PCS</t>
        </is>
      </c>
      <c r="D208" s="26">
        <f>'Week  1'!U208</f>
        <v/>
      </c>
      <c r="E208" s="124" t="n"/>
      <c r="F208" s="62" t="n"/>
      <c r="G208" s="25" t="n"/>
      <c r="H208" s="56" t="n"/>
      <c r="I208" s="19" t="n"/>
      <c r="J208" s="64" t="n"/>
      <c r="K208" s="18" t="n"/>
      <c r="L208" s="73" t="n"/>
      <c r="M208" s="73" t="n"/>
      <c r="N208" s="73" t="n"/>
      <c r="O208" s="19" t="n"/>
      <c r="P208" s="18" t="n"/>
      <c r="Q208" s="18" t="n"/>
      <c r="R208" s="73" t="n"/>
      <c r="S208" s="18" t="n"/>
      <c r="T208" s="18" t="n"/>
      <c r="U208" s="26">
        <f>D208+F208+-(H208+J208+L208+N208+P208+R208+T208)</f>
        <v/>
      </c>
      <c r="V208" t="inlineStr">
        <is>
          <t>AC</t>
        </is>
      </c>
    </row>
    <row r="209" ht="15" customHeight="1">
      <c r="A209" s="22">
        <f>A208+1</f>
        <v/>
      </c>
      <c r="B209" s="122" t="inlineStr">
        <is>
          <t xml:space="preserve">SAKLAR DOBLE </t>
        </is>
      </c>
      <c r="C209" s="123" t="inlineStr">
        <is>
          <t>PCS</t>
        </is>
      </c>
      <c r="D209" s="26">
        <f>'Week  1'!U209</f>
        <v/>
      </c>
      <c r="E209" s="125" t="n"/>
      <c r="F209" s="55" t="n"/>
      <c r="G209" s="52" t="n"/>
      <c r="H209" s="55" t="n"/>
      <c r="I209" s="71" t="n"/>
      <c r="J209" s="55" t="n"/>
      <c r="K209" s="18" t="n"/>
      <c r="L209" s="73" t="n"/>
      <c r="M209" s="73" t="n"/>
      <c r="N209" s="73" t="n"/>
      <c r="O209" s="19" t="n"/>
      <c r="P209" s="18" t="n"/>
      <c r="Q209" s="18" t="n"/>
      <c r="R209" s="73" t="n"/>
      <c r="S209" s="18" t="n"/>
      <c r="T209" s="18" t="n"/>
      <c r="U209" s="26">
        <f>D209+F209+-(H209+J209+L209+N209+P209+R209+T209)</f>
        <v/>
      </c>
      <c r="V209" t="inlineStr">
        <is>
          <t>ELECTRICAL</t>
        </is>
      </c>
    </row>
    <row r="210" ht="15" customHeight="1">
      <c r="A210" s="22">
        <f>A209+1</f>
        <v/>
      </c>
      <c r="B210" s="122" t="inlineStr">
        <is>
          <t>SAKLAR TUNGGAL</t>
        </is>
      </c>
      <c r="C210" s="123" t="inlineStr">
        <is>
          <t>PCS</t>
        </is>
      </c>
      <c r="D210" s="26">
        <f>'Week  1'!U210</f>
        <v/>
      </c>
      <c r="E210" s="124" t="n"/>
      <c r="F210" s="62" t="n"/>
      <c r="G210" s="25" t="n"/>
      <c r="H210" s="56" t="n"/>
      <c r="I210" s="19" t="n"/>
      <c r="J210" s="64" t="n"/>
      <c r="K210" s="18" t="n"/>
      <c r="L210" s="73" t="n"/>
      <c r="M210" s="73" t="n"/>
      <c r="N210" s="73" t="n"/>
      <c r="O210" s="19" t="n"/>
      <c r="P210" s="18" t="n"/>
      <c r="Q210" s="18" t="n"/>
      <c r="R210" s="73" t="n"/>
      <c r="S210" s="18" t="n"/>
      <c r="T210" s="18" t="n"/>
      <c r="U210" s="26">
        <f>D210+F210+-(H210+J210+L210+N210+P210+R210+T210)</f>
        <v/>
      </c>
      <c r="V210" t="inlineStr">
        <is>
          <t>ELECTRICAL</t>
        </is>
      </c>
    </row>
    <row r="211" ht="15" customHeight="1">
      <c r="A211" s="22">
        <f>A210+1</f>
        <v/>
      </c>
      <c r="B211" s="38" t="inlineStr">
        <is>
          <t>Sock Drat LUAR 20 x 1/2" HDPE</t>
        </is>
      </c>
      <c r="C211" s="123" t="inlineStr">
        <is>
          <t>PCS</t>
        </is>
      </c>
      <c r="D211" s="26">
        <f>'Week  1'!U211</f>
        <v/>
      </c>
      <c r="E211" s="125" t="n"/>
      <c r="F211" s="55" t="n"/>
      <c r="G211" s="52" t="n"/>
      <c r="H211" s="55" t="n"/>
      <c r="I211" s="71" t="n"/>
      <c r="J211" s="55" t="n"/>
      <c r="K211" s="18" t="n"/>
      <c r="L211" s="73" t="n"/>
      <c r="M211" s="73" t="n"/>
      <c r="N211" s="73" t="n"/>
      <c r="O211" s="19" t="n"/>
      <c r="P211" s="18" t="n"/>
      <c r="Q211" s="18" t="n"/>
      <c r="R211" s="73" t="n"/>
      <c r="S211" s="18" t="n"/>
      <c r="T211" s="18" t="n"/>
      <c r="U211" s="26">
        <f>D211+F211+-(H211+J211+L211+N211+P211+R211+T211)</f>
        <v/>
      </c>
      <c r="V211" t="inlineStr">
        <is>
          <t>VALVE AND PIPE</t>
        </is>
      </c>
    </row>
    <row r="212" ht="15" customHeight="1">
      <c r="A212" s="22">
        <f>A211+1</f>
        <v/>
      </c>
      <c r="B212" s="128" t="inlineStr">
        <is>
          <t>Seat &amp; Cover Closet</t>
        </is>
      </c>
      <c r="C212" s="123" t="inlineStr">
        <is>
          <t>PCS</t>
        </is>
      </c>
      <c r="D212" s="26">
        <f>'Week  1'!U212</f>
        <v/>
      </c>
      <c r="E212" s="124" t="n"/>
      <c r="F212" s="62" t="n"/>
      <c r="G212" s="68" t="n"/>
      <c r="H212" s="56" t="n"/>
      <c r="I212" s="19" t="n"/>
      <c r="J212" s="64" t="n"/>
      <c r="K212" s="18" t="n"/>
      <c r="L212" s="73" t="n"/>
      <c r="M212" s="73" t="n"/>
      <c r="N212" s="73" t="n"/>
      <c r="O212" s="19" t="n"/>
      <c r="P212" s="18" t="n"/>
      <c r="Q212" s="18" t="n"/>
      <c r="R212" s="73" t="n"/>
      <c r="S212" s="18" t="n"/>
      <c r="T212" s="18" t="n"/>
      <c r="U212" s="26">
        <f>D212+F212+-(H212+J212+L212+N212+P212+R212+T212)</f>
        <v/>
      </c>
      <c r="V212" t="inlineStr">
        <is>
          <t>SANITARY</t>
        </is>
      </c>
    </row>
    <row r="213">
      <c r="A213" s="22">
        <f>A212+1</f>
        <v/>
      </c>
      <c r="B213" s="79" t="inlineStr">
        <is>
          <t xml:space="preserve">Selang LPG </t>
        </is>
      </c>
      <c r="C213" s="40" t="inlineStr">
        <is>
          <t>M</t>
        </is>
      </c>
      <c r="D213" s="26">
        <f>'Week  1'!U213</f>
        <v/>
      </c>
      <c r="E213" s="125" t="n"/>
      <c r="F213" s="55" t="n"/>
      <c r="G213" s="52" t="n"/>
      <c r="H213" s="55" t="n"/>
      <c r="I213" s="71" t="n"/>
      <c r="J213" s="55" t="n"/>
      <c r="K213" s="18" t="n"/>
      <c r="L213" s="73" t="n"/>
      <c r="M213" s="73" t="n"/>
      <c r="N213" s="73" t="n"/>
      <c r="O213" s="19" t="n"/>
      <c r="P213" s="18" t="n"/>
      <c r="Q213" s="18" t="n"/>
      <c r="R213" s="73" t="n"/>
      <c r="S213" s="18" t="n"/>
      <c r="T213" s="18" t="n"/>
      <c r="U213" s="26">
        <f>D213+F213+-(H213+J213+L213+N213+P213+R213+T213)</f>
        <v/>
      </c>
      <c r="V213" t="inlineStr">
        <is>
          <t>OIL &amp; GAS</t>
        </is>
      </c>
    </row>
    <row r="214" ht="15" customHeight="1">
      <c r="A214" s="22">
        <f>A213+1</f>
        <v/>
      </c>
      <c r="B214" s="128" t="inlineStr">
        <is>
          <t>SELENOID DRAIN MESIN CUCI</t>
        </is>
      </c>
      <c r="C214" s="123" t="inlineStr">
        <is>
          <t>PCS</t>
        </is>
      </c>
      <c r="D214" s="26">
        <f>'Week  1'!U214</f>
        <v/>
      </c>
      <c r="E214" s="124" t="n"/>
      <c r="F214" s="62" t="n"/>
      <c r="G214" s="25" t="n"/>
      <c r="H214" s="56" t="n"/>
      <c r="I214" s="19" t="n"/>
      <c r="J214" s="64" t="n"/>
      <c r="K214" s="18" t="n"/>
      <c r="L214" s="73" t="n"/>
      <c r="M214" s="73" t="n"/>
      <c r="N214" s="73" t="n"/>
      <c r="O214" s="19" t="n"/>
      <c r="P214" s="18" t="n"/>
      <c r="Q214" s="18" t="n"/>
      <c r="R214" s="73" t="n"/>
      <c r="S214" s="18" t="n"/>
      <c r="T214" s="18" t="n"/>
      <c r="U214" s="26">
        <f>D214+F214+-(H214+J214+L214+N214+P214+R214+T214)</f>
        <v/>
      </c>
      <c r="V214" t="inlineStr">
        <is>
          <t>SANITARY</t>
        </is>
      </c>
    </row>
    <row r="215" ht="15" customHeight="1">
      <c r="A215" s="22">
        <f>A214+1</f>
        <v/>
      </c>
      <c r="B215" s="128" t="inlineStr">
        <is>
          <t xml:space="preserve">Shower Curtain </t>
        </is>
      </c>
      <c r="C215" s="123" t="inlineStr">
        <is>
          <t>PCS</t>
        </is>
      </c>
      <c r="D215" s="26">
        <f>'Week  1'!U215</f>
        <v/>
      </c>
      <c r="E215" s="125" t="n"/>
      <c r="F215" s="55" t="n"/>
      <c r="G215" s="52" t="n"/>
      <c r="H215" s="55" t="n"/>
      <c r="I215" s="71" t="n"/>
      <c r="J215" s="55" t="n"/>
      <c r="K215" s="18" t="n"/>
      <c r="L215" s="73" t="n"/>
      <c r="M215" s="73" t="n"/>
      <c r="N215" s="73" t="n"/>
      <c r="O215" s="19" t="n"/>
      <c r="P215" s="18" t="n"/>
      <c r="Q215" s="19" t="n"/>
      <c r="R215" s="73" t="n"/>
      <c r="S215" s="18" t="n"/>
      <c r="T215" s="18" t="n"/>
      <c r="U215" s="26">
        <f>D215+F215+-(H215+J215+L215+N215+P215+R215+T215)</f>
        <v/>
      </c>
      <c r="V215" t="inlineStr">
        <is>
          <t>CIVIL</t>
        </is>
      </c>
    </row>
    <row r="216" ht="15" customHeight="1">
      <c r="A216" s="22">
        <f>A215+1</f>
        <v/>
      </c>
      <c r="B216" s="128" t="inlineStr">
        <is>
          <t>Silicon Sealant Clear</t>
        </is>
      </c>
      <c r="C216" s="123" t="inlineStr">
        <is>
          <t>PCS</t>
        </is>
      </c>
      <c r="D216" s="26">
        <f>'Week  1'!U216</f>
        <v/>
      </c>
      <c r="E216" s="124" t="n"/>
      <c r="F216" s="62" t="n"/>
      <c r="G216" s="25" t="n"/>
      <c r="H216" s="56" t="n"/>
      <c r="I216" s="19" t="n"/>
      <c r="J216" s="64" t="n"/>
      <c r="K216" s="19" t="n"/>
      <c r="L216" s="64" t="n"/>
      <c r="M216" s="73" t="n"/>
      <c r="N216" s="73" t="n"/>
      <c r="O216" s="19" t="n"/>
      <c r="P216" s="18" t="n"/>
      <c r="Q216" s="18" t="n"/>
      <c r="R216" s="73" t="n"/>
      <c r="S216" s="18" t="n"/>
      <c r="T216" s="18" t="n"/>
      <c r="U216" s="26">
        <f>D216+F216+-(H216+J216+L216+N216+P216+R216+T216)</f>
        <v/>
      </c>
      <c r="V216" t="inlineStr">
        <is>
          <t>CONSUMABLE</t>
        </is>
      </c>
    </row>
    <row r="217" ht="15" customHeight="1">
      <c r="A217" s="22">
        <f>A216+1</f>
        <v/>
      </c>
      <c r="B217" s="122" t="inlineStr">
        <is>
          <t>SEAL TAPE</t>
        </is>
      </c>
      <c r="C217" s="123" t="inlineStr">
        <is>
          <t>PCS</t>
        </is>
      </c>
      <c r="D217" s="26">
        <f>'Week  1'!U217</f>
        <v/>
      </c>
      <c r="E217" s="125" t="n"/>
      <c r="F217" s="55" t="n"/>
      <c r="G217" s="72" t="n"/>
      <c r="H217" s="55" t="n"/>
      <c r="I217" s="71" t="n"/>
      <c r="J217" s="55" t="n"/>
      <c r="K217" s="19" t="n"/>
      <c r="L217" s="73" t="n"/>
      <c r="M217" s="73" t="inlineStr">
        <is>
          <t>Sulawesi 11</t>
        </is>
      </c>
      <c r="N217" s="73" t="n">
        <v>2</v>
      </c>
      <c r="O217" s="19" t="n"/>
      <c r="P217" s="18" t="n"/>
      <c r="Q217" s="18" t="inlineStr">
        <is>
          <t>Sulawesi 19</t>
        </is>
      </c>
      <c r="R217" s="73" t="n">
        <v>1</v>
      </c>
      <c r="S217" s="18" t="n"/>
      <c r="T217" s="18" t="n"/>
      <c r="U217" s="26">
        <f>D217+F217+-(H217+J217+L217+N217+P217+R217+T217)</f>
        <v/>
      </c>
      <c r="V217" t="inlineStr">
        <is>
          <t>CONSUMABLE</t>
        </is>
      </c>
    </row>
    <row r="218" ht="15" customHeight="1">
      <c r="A218" s="22">
        <f>A217+1</f>
        <v/>
      </c>
      <c r="B218" s="38" t="inlineStr">
        <is>
          <t>Sock Drat Dalam 20 x 1/2"</t>
        </is>
      </c>
      <c r="C218" s="123" t="inlineStr">
        <is>
          <t>PCS</t>
        </is>
      </c>
      <c r="D218" s="26">
        <f>'Week  1'!U218</f>
        <v/>
      </c>
      <c r="E218" s="124" t="n"/>
      <c r="F218" s="62" t="n"/>
      <c r="G218" s="25" t="n"/>
      <c r="H218" s="56" t="n"/>
      <c r="I218" s="19" t="n"/>
      <c r="J218" s="64" t="n"/>
      <c r="K218" s="18" t="n"/>
      <c r="L218" s="73" t="n"/>
      <c r="M218" s="73" t="n"/>
      <c r="N218" s="73" t="n"/>
      <c r="O218" s="19" t="n"/>
      <c r="P218" s="18" t="n"/>
      <c r="Q218" s="18" t="n"/>
      <c r="R218" s="73" t="n"/>
      <c r="S218" s="18" t="n"/>
      <c r="T218" s="18" t="n"/>
      <c r="U218" s="26">
        <f>D218+F218+-(H218+J218+L218+N218+P218+R218+T218)</f>
        <v/>
      </c>
      <c r="V218" t="inlineStr">
        <is>
          <t>VALVE AND PIPE</t>
        </is>
      </c>
    </row>
    <row r="219">
      <c r="A219" s="22">
        <f>A218+1</f>
        <v/>
      </c>
      <c r="B219" s="79" t="inlineStr">
        <is>
          <t>Sock PVC AW  1"</t>
        </is>
      </c>
      <c r="C219" s="40" t="inlineStr">
        <is>
          <t>Pcs</t>
        </is>
      </c>
      <c r="D219" s="26">
        <f>'Week  1'!U219</f>
        <v/>
      </c>
      <c r="E219" s="125" t="n"/>
      <c r="F219" s="55" t="n"/>
      <c r="G219" s="52" t="n"/>
      <c r="H219" s="55" t="n"/>
      <c r="I219" s="71" t="n"/>
      <c r="J219" s="55" t="n"/>
      <c r="K219" s="18" t="n"/>
      <c r="L219" s="73" t="n"/>
      <c r="M219" s="73" t="n"/>
      <c r="N219" s="73" t="n"/>
      <c r="O219" s="19" t="n"/>
      <c r="P219" s="18" t="n"/>
      <c r="Q219" s="18" t="n"/>
      <c r="R219" s="73" t="n"/>
      <c r="S219" s="18" t="n"/>
      <c r="T219" s="18" t="n"/>
      <c r="U219" s="26">
        <f>D219+F219+-(H219+J219+L219+N219+P219+R219+T219)</f>
        <v/>
      </c>
      <c r="V219" t="inlineStr">
        <is>
          <t>VALVE AND PIPE</t>
        </is>
      </c>
    </row>
    <row r="220">
      <c r="A220" s="22">
        <f>A219+1</f>
        <v/>
      </c>
      <c r="B220" s="79" t="inlineStr">
        <is>
          <t>Sock PVC AW  2"</t>
        </is>
      </c>
      <c r="C220" s="40" t="inlineStr">
        <is>
          <t>Pcs</t>
        </is>
      </c>
      <c r="D220" s="26">
        <f>'Week  1'!U220</f>
        <v/>
      </c>
      <c r="E220" s="124" t="n"/>
      <c r="F220" s="62" t="n"/>
      <c r="G220" s="25" t="n"/>
      <c r="H220" s="56" t="n"/>
      <c r="I220" s="19" t="n"/>
      <c r="J220" s="64" t="n"/>
      <c r="K220" s="18" t="n"/>
      <c r="L220" s="73" t="n"/>
      <c r="M220" s="73" t="n"/>
      <c r="N220" s="73" t="n"/>
      <c r="O220" s="19" t="n"/>
      <c r="P220" s="18" t="n"/>
      <c r="Q220" s="18" t="n"/>
      <c r="R220" s="73" t="n"/>
      <c r="S220" s="18" t="n"/>
      <c r="T220" s="18" t="n"/>
      <c r="U220" s="26">
        <f>D220+F220+-(H220+J220+L220+N220+P220+R220+T220)</f>
        <v/>
      </c>
      <c r="V220" t="inlineStr">
        <is>
          <t>VALVE AND PIPE</t>
        </is>
      </c>
    </row>
    <row r="221">
      <c r="A221" s="22">
        <f>A220+1</f>
        <v/>
      </c>
      <c r="B221" s="79" t="inlineStr">
        <is>
          <t>Sock PVC AW  3/4"</t>
        </is>
      </c>
      <c r="C221" s="40" t="inlineStr">
        <is>
          <t>Pcs</t>
        </is>
      </c>
      <c r="D221" s="26">
        <f>'Week  1'!U221</f>
        <v/>
      </c>
      <c r="E221" s="125" t="n"/>
      <c r="F221" s="55" t="n"/>
      <c r="G221" s="52" t="n"/>
      <c r="H221" s="55" t="n"/>
      <c r="I221" s="71" t="n"/>
      <c r="J221" s="55" t="n"/>
      <c r="K221" s="18" t="n"/>
      <c r="L221" s="73" t="n"/>
      <c r="M221" s="73" t="n"/>
      <c r="N221" s="73" t="n"/>
      <c r="O221" s="19" t="n"/>
      <c r="P221" s="18" t="n"/>
      <c r="Q221" s="18" t="n"/>
      <c r="R221" s="73" t="n"/>
      <c r="S221" s="18" t="n"/>
      <c r="T221" s="18" t="n"/>
      <c r="U221" s="26">
        <f>D221+F221+-(H221+J221+L221+N221+P221+R221+T221)</f>
        <v/>
      </c>
      <c r="V221" t="inlineStr">
        <is>
          <t>VALVE AND PIPE</t>
        </is>
      </c>
    </row>
    <row r="222">
      <c r="A222" s="22">
        <f>A221+1</f>
        <v/>
      </c>
      <c r="B222" s="79" t="inlineStr">
        <is>
          <t>Sock PVC AW 1/2"</t>
        </is>
      </c>
      <c r="C222" s="40" t="inlineStr">
        <is>
          <t>Pcs</t>
        </is>
      </c>
      <c r="D222" s="26">
        <f>'Week  1'!U222</f>
        <v/>
      </c>
      <c r="E222" s="124" t="n"/>
      <c r="F222" s="62" t="n"/>
      <c r="G222" s="25" t="n"/>
      <c r="H222" s="56" t="n"/>
      <c r="I222" s="25" t="n"/>
      <c r="J222" s="56" t="n"/>
      <c r="K222" s="18" t="n"/>
      <c r="L222" s="73" t="n"/>
      <c r="M222" s="73" t="n"/>
      <c r="N222" s="73" t="n"/>
      <c r="O222" s="19" t="n"/>
      <c r="P222" s="18" t="n"/>
      <c r="Q222" s="18" t="n"/>
      <c r="R222" s="73" t="n"/>
      <c r="S222" s="18" t="n"/>
      <c r="T222" s="18" t="n"/>
      <c r="U222" s="26">
        <f>D222+F222+-(H222+J222+L222+N222+P222+R222+T222)</f>
        <v/>
      </c>
      <c r="V222" t="inlineStr">
        <is>
          <t>VALVE AND PIPE</t>
        </is>
      </c>
    </row>
    <row r="223" ht="30" customHeight="1">
      <c r="A223" s="22">
        <f>A222+1</f>
        <v/>
      </c>
      <c r="B223" s="122" t="inlineStr">
        <is>
          <t>Stater TLD 40 W (TLD-S10), Philips</t>
        </is>
      </c>
      <c r="C223" s="123" t="inlineStr">
        <is>
          <t>PCS</t>
        </is>
      </c>
      <c r="D223" s="26">
        <f>'Week  1'!U223</f>
        <v/>
      </c>
      <c r="E223" s="125" t="n"/>
      <c r="F223" s="55" t="n"/>
      <c r="G223" s="52" t="n"/>
      <c r="H223" s="55" t="n"/>
      <c r="I223" s="71" t="n"/>
      <c r="J223" s="55" t="n"/>
      <c r="K223" s="18" t="n"/>
      <c r="L223" s="73" t="n"/>
      <c r="M223" s="73" t="n"/>
      <c r="N223" s="73" t="n"/>
      <c r="O223" s="19" t="n"/>
      <c r="P223" s="18" t="n"/>
      <c r="Q223" s="18" t="n"/>
      <c r="R223" s="73" t="n"/>
      <c r="S223" s="18" t="n"/>
      <c r="T223" s="18" t="n"/>
      <c r="U223" s="26">
        <f>D223+F223+-(H223+J223+L223+N223+P223+R223+T223)</f>
        <v/>
      </c>
      <c r="V223" t="inlineStr">
        <is>
          <t>LAMP</t>
        </is>
      </c>
    </row>
    <row r="224" ht="15" customHeight="1">
      <c r="A224" s="22">
        <f>A223+1</f>
        <v/>
      </c>
      <c r="B224" s="122" t="inlineStr">
        <is>
          <t>STECKER ARDE BROCO</t>
        </is>
      </c>
      <c r="C224" s="123" t="inlineStr">
        <is>
          <t>PCS</t>
        </is>
      </c>
      <c r="D224" s="26">
        <f>'Week  1'!U224</f>
        <v/>
      </c>
      <c r="E224" s="124" t="n"/>
      <c r="F224" s="62" t="n"/>
      <c r="G224" s="25" t="n"/>
      <c r="H224" s="56" t="n"/>
      <c r="I224" s="19" t="n"/>
      <c r="J224" s="64" t="n"/>
      <c r="K224" s="19" t="n"/>
      <c r="L224" s="73" t="n"/>
      <c r="M224" s="73" t="n"/>
      <c r="N224" s="73" t="n"/>
      <c r="O224" s="19" t="n"/>
      <c r="P224" s="18" t="n"/>
      <c r="Q224" s="19" t="n"/>
      <c r="R224" s="73" t="n"/>
      <c r="S224" s="18" t="n"/>
      <c r="T224" s="18" t="n"/>
      <c r="U224" s="26">
        <f>D224+F224+-(H224+J224+L224+N224+P224+R224+T224)</f>
        <v/>
      </c>
      <c r="V224" t="inlineStr">
        <is>
          <t>ELECTRICAL</t>
        </is>
      </c>
    </row>
    <row r="225" ht="15" customHeight="1">
      <c r="A225" s="22">
        <f>A224+1</f>
        <v/>
      </c>
      <c r="B225" s="43" t="inlineStr">
        <is>
          <t>Stick of Shower Curtain</t>
        </is>
      </c>
      <c r="C225" s="123" t="inlineStr">
        <is>
          <t>PCS</t>
        </is>
      </c>
      <c r="D225" s="26">
        <f>'Week  1'!U225</f>
        <v/>
      </c>
      <c r="E225" s="125" t="n"/>
      <c r="F225" s="55" t="n"/>
      <c r="G225" s="52" t="n"/>
      <c r="H225" s="55" t="n"/>
      <c r="I225" s="71" t="n"/>
      <c r="J225" s="55" t="n"/>
      <c r="K225" s="18" t="n"/>
      <c r="L225" s="73" t="n"/>
      <c r="M225" s="73" t="n"/>
      <c r="N225" s="73" t="n"/>
      <c r="O225" s="19" t="n"/>
      <c r="P225" s="18" t="n"/>
      <c r="Q225" s="19" t="n"/>
      <c r="R225" s="73" t="n"/>
      <c r="S225" s="18" t="n"/>
      <c r="T225" s="18" t="n"/>
      <c r="U225" s="26">
        <f>D225+F225+-(H225+J225+L225+N225+P225+R225+T225)</f>
        <v/>
      </c>
      <c r="V225" t="inlineStr">
        <is>
          <t>CIVIL</t>
        </is>
      </c>
    </row>
    <row r="226" ht="15" customHeight="1">
      <c r="A226" s="22">
        <f>A225+1</f>
        <v/>
      </c>
      <c r="B226" s="122" t="inlineStr">
        <is>
          <t>Stop Contact  AC</t>
        </is>
      </c>
      <c r="C226" s="123" t="inlineStr">
        <is>
          <t>PCS</t>
        </is>
      </c>
      <c r="D226" s="26">
        <f>'Week  1'!U226</f>
        <v/>
      </c>
      <c r="E226" s="124" t="n"/>
      <c r="F226" s="62" t="n"/>
      <c r="G226" s="25" t="n"/>
      <c r="H226" s="56" t="n"/>
      <c r="I226" s="19" t="n"/>
      <c r="J226" s="64" t="n"/>
      <c r="K226" s="19" t="n"/>
      <c r="L226" s="64" t="n"/>
      <c r="M226" s="73" t="n"/>
      <c r="N226" s="73" t="n"/>
      <c r="O226" s="19" t="n"/>
      <c r="P226" s="18" t="n"/>
      <c r="Q226" s="19" t="n"/>
      <c r="R226" s="64" t="n"/>
      <c r="S226" s="18" t="n"/>
      <c r="T226" s="18" t="n"/>
      <c r="U226" s="26">
        <f>D226+F226+-(H226+J226+L226+N226+P226+R226+T226)</f>
        <v/>
      </c>
      <c r="V226" t="inlineStr">
        <is>
          <t>AC</t>
        </is>
      </c>
    </row>
    <row r="227" ht="15" customHeight="1">
      <c r="A227" s="22">
        <f>A226+1</f>
        <v/>
      </c>
      <c r="B227" s="122" t="inlineStr">
        <is>
          <t>Stop Contact  Tanam</t>
        </is>
      </c>
      <c r="C227" s="123" t="inlineStr">
        <is>
          <t>PCS</t>
        </is>
      </c>
      <c r="D227" s="26">
        <f>'Week  1'!U227</f>
        <v/>
      </c>
      <c r="E227" s="124" t="n"/>
      <c r="F227" s="55" t="n"/>
      <c r="G227" s="52" t="n"/>
      <c r="H227" s="55" t="n"/>
      <c r="I227" s="71" t="n"/>
      <c r="J227" s="55" t="n"/>
      <c r="K227" s="18" t="n"/>
      <c r="L227" s="73" t="n"/>
      <c r="M227" s="73" t="n"/>
      <c r="N227" s="73" t="n"/>
      <c r="O227" s="19" t="n"/>
      <c r="P227" s="18" t="n"/>
      <c r="Q227" s="18" t="n"/>
      <c r="R227" s="73" t="n"/>
      <c r="S227" s="18" t="n"/>
      <c r="T227" s="18" t="n"/>
      <c r="U227" s="26">
        <f>D227+F227+-(H227+J227+L227+N227+P227+R227+T227)</f>
        <v/>
      </c>
      <c r="V227" t="inlineStr">
        <is>
          <t>ELECTRICAL</t>
        </is>
      </c>
    </row>
    <row r="228" ht="15" customHeight="1">
      <c r="A228" s="22">
        <f>A227+1</f>
        <v/>
      </c>
      <c r="B228" s="122" t="inlineStr">
        <is>
          <t>Stop Contact  TEMPEL</t>
        </is>
      </c>
      <c r="C228" s="123" t="inlineStr">
        <is>
          <t>PCS</t>
        </is>
      </c>
      <c r="D228" s="26">
        <f>'Week  1'!U228</f>
        <v/>
      </c>
      <c r="E228" s="124" t="n"/>
      <c r="F228" s="62" t="n"/>
      <c r="G228" s="25" t="n"/>
      <c r="H228" s="56" t="n"/>
      <c r="I228" s="19" t="n"/>
      <c r="J228" s="64" t="n"/>
      <c r="K228" s="18" t="n"/>
      <c r="L228" s="73" t="n"/>
      <c r="M228" s="73" t="n"/>
      <c r="N228" s="73" t="n"/>
      <c r="O228" s="19" t="n"/>
      <c r="P228" s="18" t="n"/>
      <c r="Q228" s="19" t="n"/>
      <c r="R228" s="73" t="n"/>
      <c r="S228" s="18" t="n"/>
      <c r="T228" s="18" t="n"/>
      <c r="U228" s="26">
        <f>D228+F228+-(H228+J228+L228+N228+P228+R228+T228)</f>
        <v/>
      </c>
      <c r="V228" t="inlineStr">
        <is>
          <t>ELECTRICAL</t>
        </is>
      </c>
    </row>
    <row r="229" ht="15" customHeight="1">
      <c r="A229" s="22">
        <f>A228+1</f>
        <v/>
      </c>
      <c r="B229" s="38" t="inlineStr">
        <is>
          <t>Straight Coupler  25x 20</t>
        </is>
      </c>
      <c r="C229" s="123" t="inlineStr">
        <is>
          <t>PCS</t>
        </is>
      </c>
      <c r="D229" s="26">
        <f>'Week  1'!U229</f>
        <v/>
      </c>
      <c r="E229" s="125" t="n"/>
      <c r="F229" s="55" t="n"/>
      <c r="G229" s="52" t="n"/>
      <c r="H229" s="55" t="n"/>
      <c r="I229" s="71" t="n"/>
      <c r="J229" s="55" t="n"/>
      <c r="K229" s="18" t="n"/>
      <c r="L229" s="73" t="n"/>
      <c r="M229" s="73" t="n"/>
      <c r="N229" s="73" t="n"/>
      <c r="O229" s="19" t="n"/>
      <c r="P229" s="18" t="n"/>
      <c r="Q229" s="18" t="n"/>
      <c r="R229" s="73" t="n"/>
      <c r="S229" s="18" t="n"/>
      <c r="T229" s="18" t="n"/>
      <c r="U229" s="26">
        <f>D229+F229+-(H229+J229+L229+N229+P229+R229+T229)</f>
        <v/>
      </c>
      <c r="V229" t="inlineStr">
        <is>
          <t>VALVE AND PIPE</t>
        </is>
      </c>
    </row>
    <row r="230" ht="15" customHeight="1">
      <c r="A230" s="22">
        <f>A229+1</f>
        <v/>
      </c>
      <c r="B230" s="38" t="inlineStr">
        <is>
          <t>Straight Coupler 32 x 25</t>
        </is>
      </c>
      <c r="C230" s="123" t="inlineStr">
        <is>
          <t>PCS</t>
        </is>
      </c>
      <c r="D230" s="26">
        <f>'Week  1'!U230</f>
        <v/>
      </c>
      <c r="E230" s="124" t="n"/>
      <c r="F230" s="62" t="n"/>
      <c r="G230" s="25" t="n"/>
      <c r="H230" s="56" t="n"/>
      <c r="I230" s="19" t="n"/>
      <c r="J230" s="64" t="n"/>
      <c r="K230" s="18" t="n"/>
      <c r="L230" s="73" t="n"/>
      <c r="M230" s="73" t="n"/>
      <c r="N230" s="73" t="n"/>
      <c r="O230" s="19" t="n"/>
      <c r="P230" s="18" t="n"/>
      <c r="Q230" s="18" t="n"/>
      <c r="R230" s="73" t="n"/>
      <c r="S230" s="18" t="n"/>
      <c r="T230" s="18" t="n"/>
      <c r="U230" s="26">
        <f>D230+F230+-(H230+J230+L230+N230+P230+R230+T230)</f>
        <v/>
      </c>
      <c r="V230" t="inlineStr">
        <is>
          <t>VALVE AND PIPE</t>
        </is>
      </c>
    </row>
    <row r="231" ht="15" customHeight="1">
      <c r="A231" s="22">
        <f>A230+1</f>
        <v/>
      </c>
      <c r="B231" s="122" t="inlineStr">
        <is>
          <t>Switch Ceiling Fan</t>
        </is>
      </c>
      <c r="C231" s="123" t="inlineStr">
        <is>
          <t>PCS</t>
        </is>
      </c>
      <c r="D231" s="26">
        <f>'Week  1'!U231</f>
        <v/>
      </c>
      <c r="E231" s="125" t="n"/>
      <c r="F231" s="55" t="n"/>
      <c r="G231" s="52" t="n"/>
      <c r="H231" s="55" t="n"/>
      <c r="I231" s="71" t="n"/>
      <c r="J231" s="55" t="n"/>
      <c r="K231" s="18" t="inlineStr">
        <is>
          <t>Bali 14</t>
        </is>
      </c>
      <c r="L231" s="73" t="n">
        <v>1</v>
      </c>
      <c r="M231" s="73" t="n"/>
      <c r="N231" s="73" t="n"/>
      <c r="O231" s="19" t="n"/>
      <c r="P231" s="18" t="n"/>
      <c r="Q231" s="18" t="inlineStr">
        <is>
          <t>Bali 20</t>
        </is>
      </c>
      <c r="R231" s="73" t="n">
        <v>1</v>
      </c>
      <c r="S231" s="18" t="n"/>
      <c r="T231" s="18" t="n"/>
      <c r="U231" s="26">
        <f>D231+F231+-(H231+J231+L231+N231+P231+R231+T231)</f>
        <v/>
      </c>
      <c r="V231" t="inlineStr">
        <is>
          <t>ELECTRICAL</t>
        </is>
      </c>
    </row>
    <row r="232" ht="15" customHeight="1">
      <c r="A232" s="22">
        <f>A231+1</f>
        <v/>
      </c>
      <c r="B232" s="122" t="inlineStr">
        <is>
          <t>Switch Ceiling Lamp</t>
        </is>
      </c>
      <c r="C232" s="131" t="inlineStr">
        <is>
          <t>PCS</t>
        </is>
      </c>
      <c r="D232" s="26">
        <f>'Week  1'!U232</f>
        <v/>
      </c>
      <c r="E232" s="124" t="n"/>
      <c r="F232" s="62" t="n"/>
      <c r="G232" s="25" t="n"/>
      <c r="H232" s="56" t="n"/>
      <c r="I232" s="19" t="inlineStr">
        <is>
          <t>Sumatera 18</t>
        </is>
      </c>
      <c r="J232" s="64" t="n">
        <v>1</v>
      </c>
      <c r="K232" s="18" t="n"/>
      <c r="L232" s="73" t="n"/>
      <c r="M232" s="73" t="n"/>
      <c r="N232" s="73" t="n"/>
      <c r="O232" s="19" t="n"/>
      <c r="P232" s="18" t="n"/>
      <c r="Q232" s="18" t="n"/>
      <c r="R232" s="73" t="n"/>
      <c r="S232" s="18" t="n"/>
      <c r="T232" s="18" t="n"/>
      <c r="U232" s="26">
        <f>D232+F232+-(H232+J232+L232+N232+P232+R232+T232)</f>
        <v/>
      </c>
      <c r="V232" t="inlineStr">
        <is>
          <t>ELECTRICAL</t>
        </is>
      </c>
    </row>
    <row r="233" ht="30" customHeight="1">
      <c r="A233" s="22">
        <f>A232+1</f>
        <v/>
      </c>
      <c r="B233" s="30" t="inlineStr">
        <is>
          <t>Tap  for Kitchen Sink Dupon 8938 NC, Hot and Cold</t>
        </is>
      </c>
      <c r="C233" s="46" t="inlineStr">
        <is>
          <t>SET</t>
        </is>
      </c>
      <c r="D233" s="26">
        <f>'Week  1'!U233</f>
        <v/>
      </c>
      <c r="E233" s="125" t="n"/>
      <c r="F233" s="55" t="n"/>
      <c r="G233" s="52" t="n"/>
      <c r="H233" s="55" t="n"/>
      <c r="I233" s="71" t="n"/>
      <c r="J233" s="55" t="n"/>
      <c r="K233" s="18" t="n"/>
      <c r="L233" s="73" t="n"/>
      <c r="M233" s="73" t="n"/>
      <c r="N233" s="73" t="n"/>
      <c r="O233" s="19" t="n"/>
      <c r="P233" s="18" t="n"/>
      <c r="Q233" s="18" t="n"/>
      <c r="R233" s="73" t="n"/>
      <c r="S233" s="18" t="n"/>
      <c r="T233" s="18" t="n"/>
      <c r="U233" s="26">
        <f>D233+F233+-(H233+J233+L233+N233+P233+R233+T233)</f>
        <v/>
      </c>
      <c r="V233" t="inlineStr">
        <is>
          <t>VALVE AND PIPE</t>
        </is>
      </c>
    </row>
    <row r="234" ht="30" customHeight="1">
      <c r="A234" s="22">
        <f>A233+1</f>
        <v/>
      </c>
      <c r="B234" s="122" t="inlineStr">
        <is>
          <t>Tap  for Washbasin Dupon, Hot and Cold</t>
        </is>
      </c>
      <c r="C234" s="46" t="inlineStr">
        <is>
          <t>SET</t>
        </is>
      </c>
      <c r="D234" s="26">
        <f>'Week  1'!U234</f>
        <v/>
      </c>
      <c r="E234" s="124" t="n"/>
      <c r="F234" s="62" t="n"/>
      <c r="G234" s="25" t="n"/>
      <c r="H234" s="56" t="n"/>
      <c r="I234" s="19" t="n"/>
      <c r="J234" s="64" t="n"/>
      <c r="K234" s="18" t="n"/>
      <c r="L234" s="73" t="n"/>
      <c r="M234" s="73" t="n"/>
      <c r="N234" s="73" t="n"/>
      <c r="O234" s="19" t="n"/>
      <c r="P234" s="18" t="n"/>
      <c r="Q234" s="18" t="n"/>
      <c r="R234" s="73" t="n"/>
      <c r="S234" s="18" t="n"/>
      <c r="T234" s="18" t="n"/>
      <c r="U234" s="26">
        <f>D234+F234+-(H234+J234+L234+N234+P234+R234+T234)</f>
        <v/>
      </c>
      <c r="V234" t="inlineStr">
        <is>
          <t>VALVE AND PIPE</t>
        </is>
      </c>
    </row>
    <row r="235" ht="30" customHeight="1">
      <c r="A235" s="22">
        <f>A234+1</f>
        <v/>
      </c>
      <c r="B235" s="122" t="inlineStr">
        <is>
          <t>Tap  for Washbasin FIORENTINO , Hot and Cold</t>
        </is>
      </c>
      <c r="C235" s="46" t="inlineStr">
        <is>
          <t>SET</t>
        </is>
      </c>
      <c r="D235" s="26">
        <f>'Week  1'!U235</f>
        <v/>
      </c>
      <c r="E235" s="125" t="n"/>
      <c r="F235" s="55" t="n"/>
      <c r="G235" s="52" t="n"/>
      <c r="H235" s="55" t="n"/>
      <c r="I235" s="71" t="n"/>
      <c r="J235" s="55" t="n"/>
      <c r="K235" s="18" t="n"/>
      <c r="L235" s="73" t="n"/>
      <c r="M235" s="73" t="n"/>
      <c r="N235" s="73" t="n"/>
      <c r="O235" s="19" t="n"/>
      <c r="P235" s="18" t="n"/>
      <c r="Q235" s="18" t="n"/>
      <c r="R235" s="73" t="n"/>
      <c r="S235" s="18" t="n"/>
      <c r="T235" s="18" t="n"/>
      <c r="U235" s="26">
        <f>D235+F235+-(H235+J235+L235+N235+P235+R235+T235)</f>
        <v/>
      </c>
      <c r="V235" t="inlineStr">
        <is>
          <t>VALVE AND PIPE</t>
        </is>
      </c>
    </row>
    <row r="236" ht="15" customHeight="1">
      <c r="A236" s="22">
        <f>A235+1</f>
        <v/>
      </c>
      <c r="B236" s="122" t="inlineStr">
        <is>
          <t>Tap  Mono Wash Basin</t>
        </is>
      </c>
      <c r="C236" s="46" t="inlineStr">
        <is>
          <t>SET</t>
        </is>
      </c>
      <c r="D236" s="26">
        <f>'Week  1'!U236</f>
        <v/>
      </c>
      <c r="E236" s="124" t="n"/>
      <c r="F236" s="62" t="n"/>
      <c r="G236" s="25" t="n"/>
      <c r="H236" s="56" t="n"/>
      <c r="I236" s="19" t="n"/>
      <c r="J236" s="64" t="n"/>
      <c r="K236" s="18" t="n"/>
      <c r="L236" s="73" t="n"/>
      <c r="M236" s="73" t="n"/>
      <c r="N236" s="73" t="n"/>
      <c r="O236" s="19" t="n"/>
      <c r="P236" s="18" t="n"/>
      <c r="Q236" s="18" t="n"/>
      <c r="R236" s="73" t="n"/>
      <c r="S236" s="18" t="n"/>
      <c r="T236" s="18" t="n"/>
      <c r="U236" s="26">
        <f>D236+F236+-(H236+J236+L236+N236+P236+R236+T236)</f>
        <v/>
      </c>
      <c r="V236" t="inlineStr">
        <is>
          <t>VALVE AND PIPE</t>
        </is>
      </c>
    </row>
    <row r="237" ht="28.5" customHeight="1">
      <c r="A237" s="22">
        <f>A236+1</f>
        <v/>
      </c>
      <c r="B237" s="122" t="inlineStr">
        <is>
          <t>Tap for Mono  Shower</t>
        </is>
      </c>
      <c r="C237" s="131" t="inlineStr">
        <is>
          <t>PCS</t>
        </is>
      </c>
      <c r="D237" s="26">
        <f>'Week  1'!U237</f>
        <v/>
      </c>
      <c r="E237" s="125" t="n"/>
      <c r="F237" s="55" t="n"/>
      <c r="G237" s="25" t="n"/>
      <c r="H237" s="55" t="n"/>
      <c r="I237" s="71" t="n"/>
      <c r="J237" s="55" t="n"/>
      <c r="K237" s="18" t="n"/>
      <c r="L237" s="73" t="n"/>
      <c r="M237" s="73" t="n"/>
      <c r="N237" s="73" t="n"/>
      <c r="O237" s="19" t="n"/>
      <c r="P237" s="18" t="n"/>
      <c r="Q237" s="18" t="n"/>
      <c r="R237" s="73" t="n"/>
      <c r="S237" s="18" t="n"/>
      <c r="T237" s="18" t="n"/>
      <c r="U237" s="26">
        <f>D237+F237+-(H237+J237+L237+N237+P237+R237+T237)</f>
        <v/>
      </c>
      <c r="V237" t="inlineStr">
        <is>
          <t>VALVE AND PIPE</t>
        </is>
      </c>
    </row>
    <row r="238" ht="30" customHeight="1">
      <c r="A238" s="22">
        <f>A237+1</f>
        <v/>
      </c>
      <c r="B238" s="122" t="inlineStr">
        <is>
          <t xml:space="preserve">Tap for Shower, Dupon  Hot &amp; Clod </t>
        </is>
      </c>
      <c r="C238" s="131" t="inlineStr">
        <is>
          <t>SET</t>
        </is>
      </c>
      <c r="D238" s="26">
        <f>'Week  1'!U238</f>
        <v/>
      </c>
      <c r="E238" s="124" t="n"/>
      <c r="F238" s="62" t="n"/>
      <c r="G238" s="25" t="n"/>
      <c r="H238" s="56" t="n"/>
      <c r="I238" s="19" t="n"/>
      <c r="J238" s="64" t="n"/>
      <c r="K238" s="18" t="n"/>
      <c r="L238" s="73" t="n"/>
      <c r="M238" s="73" t="n"/>
      <c r="N238" s="73" t="n"/>
      <c r="O238" s="19" t="n"/>
      <c r="P238" s="18" t="n"/>
      <c r="Q238" s="18" t="n"/>
      <c r="R238" s="73" t="n"/>
      <c r="S238" s="18" t="n"/>
      <c r="T238" s="18" t="n"/>
      <c r="U238" s="26">
        <f>D238+F238+-(H238+J238+L238+N238+P238+R238+T238)</f>
        <v/>
      </c>
      <c r="V238" t="inlineStr">
        <is>
          <t>VALVE AND PIPE</t>
        </is>
      </c>
    </row>
    <row r="239" ht="30" customHeight="1">
      <c r="A239" s="22">
        <f>A238+1</f>
        <v/>
      </c>
      <c r="B239" s="122" t="inlineStr">
        <is>
          <t xml:space="preserve">Tap for Shower, WASER  Hot &amp; Clod </t>
        </is>
      </c>
      <c r="C239" s="131" t="inlineStr">
        <is>
          <t>SET</t>
        </is>
      </c>
      <c r="D239" s="26">
        <f>'Week  1'!U239</f>
        <v/>
      </c>
      <c r="E239" s="125" t="n"/>
      <c r="F239" s="55" t="n"/>
      <c r="G239" s="52" t="n"/>
      <c r="H239" s="55" t="n"/>
      <c r="I239" s="71" t="n"/>
      <c r="J239" s="55" t="n"/>
      <c r="K239" s="18" t="n"/>
      <c r="L239" s="73" t="n"/>
      <c r="M239" s="73" t="n"/>
      <c r="N239" s="73" t="n"/>
      <c r="O239" s="19" t="n"/>
      <c r="P239" s="18" t="n"/>
      <c r="Q239" s="18" t="n"/>
      <c r="R239" s="73" t="n"/>
      <c r="S239" s="18" t="n"/>
      <c r="T239" s="18" t="n"/>
      <c r="U239" s="26">
        <f>D239+F239+-(H239+J239+L239+N239+P239+R239+T239)</f>
        <v/>
      </c>
      <c r="V239" t="inlineStr">
        <is>
          <t>VALVE AND PIPE</t>
        </is>
      </c>
    </row>
    <row r="240" ht="15" customHeight="1">
      <c r="A240" s="22">
        <f>A239+1</f>
        <v/>
      </c>
      <c r="B240" s="43" t="inlineStr">
        <is>
          <t>Tap of Bath Tub, Dupon</t>
        </is>
      </c>
      <c r="C240" s="131" t="inlineStr">
        <is>
          <t>SET</t>
        </is>
      </c>
      <c r="D240" s="26">
        <f>'Week  1'!U240</f>
        <v/>
      </c>
      <c r="E240" s="124" t="n"/>
      <c r="F240" s="62" t="n"/>
      <c r="G240" s="25" t="n"/>
      <c r="H240" s="56" t="n"/>
      <c r="I240" s="19" t="n"/>
      <c r="J240" s="64" t="n"/>
      <c r="K240" s="18" t="n"/>
      <c r="L240" s="73" t="n"/>
      <c r="M240" s="73" t="n"/>
      <c r="N240" s="73" t="n"/>
      <c r="O240" s="19" t="n"/>
      <c r="P240" s="18" t="n"/>
      <c r="Q240" s="18" t="n"/>
      <c r="R240" s="73" t="n"/>
      <c r="S240" s="18" t="n"/>
      <c r="T240" s="18" t="n"/>
      <c r="U240" s="26">
        <f>D240+F240+-(H240+J240+L240+N240+P240+R240+T240)</f>
        <v/>
      </c>
      <c r="V240" t="inlineStr">
        <is>
          <t>VALVE AND PIPE</t>
        </is>
      </c>
    </row>
    <row r="241" ht="15" customHeight="1">
      <c r="A241" s="22">
        <f>A240+1</f>
        <v/>
      </c>
      <c r="B241" s="43" t="inlineStr">
        <is>
          <t xml:space="preserve">Tap of Bath Tub, WASSER </t>
        </is>
      </c>
      <c r="C241" s="131" t="inlineStr">
        <is>
          <t>SET</t>
        </is>
      </c>
      <c r="D241" s="26">
        <f>'Week  1'!U241</f>
        <v/>
      </c>
      <c r="E241" s="125" t="n"/>
      <c r="F241" s="55" t="n"/>
      <c r="G241" s="52" t="n"/>
      <c r="H241" s="55" t="n"/>
      <c r="I241" s="71" t="n"/>
      <c r="J241" s="55" t="n"/>
      <c r="K241" s="18" t="n"/>
      <c r="L241" s="73" t="n"/>
      <c r="M241" s="73" t="n"/>
      <c r="N241" s="73" t="n"/>
      <c r="O241" s="19" t="n"/>
      <c r="P241" s="18" t="n"/>
      <c r="Q241" s="18" t="n"/>
      <c r="R241" s="73" t="n"/>
      <c r="S241" s="18" t="n"/>
      <c r="T241" s="18" t="n"/>
      <c r="U241" s="26">
        <f>D241+F241+-(H241+J241+L241+N241+P241+R241+T241)</f>
        <v/>
      </c>
      <c r="V241" t="inlineStr">
        <is>
          <t>VALVE AND PIPE</t>
        </is>
      </c>
    </row>
    <row r="242" ht="15" customHeight="1">
      <c r="A242" s="22">
        <f>A241+1</f>
        <v/>
      </c>
      <c r="B242" s="122" t="inlineStr">
        <is>
          <t>Tap of Water Dispenser</t>
        </is>
      </c>
      <c r="C242" s="131" t="inlineStr">
        <is>
          <t>PCS</t>
        </is>
      </c>
      <c r="D242" s="26">
        <f>'Week  1'!U242</f>
        <v/>
      </c>
      <c r="E242" s="124" t="n"/>
      <c r="F242" s="62" t="n"/>
      <c r="G242" s="25" t="n"/>
      <c r="H242" s="56" t="n"/>
      <c r="I242" s="19" t="n"/>
      <c r="J242" s="64" t="n"/>
      <c r="K242" s="18" t="n"/>
      <c r="L242" s="73" t="n"/>
      <c r="M242" s="73" t="n"/>
      <c r="N242" s="73" t="n"/>
      <c r="O242" s="19" t="n"/>
      <c r="P242" s="18" t="n"/>
      <c r="Q242" s="18" t="n"/>
      <c r="R242" s="73" t="n"/>
      <c r="S242" s="18" t="n"/>
      <c r="T242" s="18" t="n"/>
      <c r="U242" s="26">
        <f>D242+F242+-(H242+J242+L242+N242+P242+R242+T242)</f>
        <v/>
      </c>
      <c r="V242" t="inlineStr">
        <is>
          <t>CONSUMABLE</t>
        </is>
      </c>
    </row>
    <row r="243" ht="30" customHeight="1">
      <c r="A243" s="22">
        <f>A242+1</f>
        <v/>
      </c>
      <c r="B243" s="122" t="inlineStr">
        <is>
          <t>Tap size 0.5", ONDA ( KRAN ONDA )</t>
        </is>
      </c>
      <c r="C243" s="131" t="inlineStr">
        <is>
          <t>PCS</t>
        </is>
      </c>
      <c r="D243" s="26">
        <f>'Week  1'!U243</f>
        <v/>
      </c>
      <c r="E243" s="125" t="n"/>
      <c r="F243" s="55" t="n"/>
      <c r="G243" s="125" t="n"/>
      <c r="H243" s="55" t="n"/>
      <c r="I243" s="71" t="n"/>
      <c r="J243" s="55" t="n"/>
      <c r="K243" s="18" t="n"/>
      <c r="L243" s="73" t="n"/>
      <c r="M243" s="73" t="n"/>
      <c r="N243" s="73" t="n"/>
      <c r="O243" s="19" t="n"/>
      <c r="P243" s="18" t="n"/>
      <c r="Q243" s="18" t="n"/>
      <c r="R243" s="73" t="n"/>
      <c r="S243" s="18" t="n"/>
      <c r="T243" s="18" t="n"/>
      <c r="U243" s="26">
        <f>D243+F243+-(H243+J243+L243+N243+P243+R243+T243)</f>
        <v/>
      </c>
      <c r="V243" t="inlineStr">
        <is>
          <t>VALVE AND PIPE</t>
        </is>
      </c>
    </row>
    <row r="244">
      <c r="A244" s="22">
        <f>A243+1</f>
        <v/>
      </c>
      <c r="B244" s="79" t="inlineStr">
        <is>
          <t>Tee Besi 1/2"</t>
        </is>
      </c>
      <c r="C244" s="18" t="inlineStr">
        <is>
          <t>Pcs</t>
        </is>
      </c>
      <c r="D244" s="26">
        <f>'Week  1'!U244</f>
        <v/>
      </c>
      <c r="E244" s="124" t="n"/>
      <c r="F244" s="62" t="n"/>
      <c r="G244" s="25" t="n"/>
      <c r="H244" s="56" t="n"/>
      <c r="I244" s="19" t="n"/>
      <c r="J244" s="64" t="n"/>
      <c r="K244" s="18" t="n"/>
      <c r="L244" s="73" t="n"/>
      <c r="M244" s="73" t="n"/>
      <c r="N244" s="73" t="n"/>
      <c r="O244" s="19" t="n"/>
      <c r="P244" s="18" t="n"/>
      <c r="Q244" s="18" t="n"/>
      <c r="R244" s="73" t="n"/>
      <c r="S244" s="18" t="n"/>
      <c r="T244" s="18" t="n"/>
      <c r="U244" s="26">
        <f>D244+F244+-(H244+J244+L244+N244+P244+R244+T244)</f>
        <v/>
      </c>
      <c r="V244" t="inlineStr">
        <is>
          <t>VALVE AND PIPE</t>
        </is>
      </c>
    </row>
    <row r="245" ht="15" customHeight="1">
      <c r="A245" s="22">
        <f>A244+1</f>
        <v/>
      </c>
      <c r="B245" s="122" t="inlineStr">
        <is>
          <t>Tee Galvanis</t>
        </is>
      </c>
      <c r="C245" s="131" t="inlineStr">
        <is>
          <t>PCS</t>
        </is>
      </c>
      <c r="D245" s="26">
        <f>'Week  1'!U245</f>
        <v/>
      </c>
      <c r="E245" s="125" t="n"/>
      <c r="F245" s="55" t="n"/>
      <c r="G245" s="52" t="n"/>
      <c r="H245" s="55" t="n"/>
      <c r="I245" s="71" t="n"/>
      <c r="J245" s="55" t="n"/>
      <c r="K245" s="18" t="n"/>
      <c r="L245" s="73" t="n"/>
      <c r="M245" s="73" t="n"/>
      <c r="N245" s="73" t="n"/>
      <c r="O245" s="19" t="n"/>
      <c r="P245" s="18" t="n"/>
      <c r="Q245" s="18" t="n"/>
      <c r="R245" s="73" t="n"/>
      <c r="S245" s="18" t="n"/>
      <c r="T245" s="18" t="n"/>
      <c r="U245" s="26">
        <f>D245+F245+-(H245+J245+L245+N245+P245+R245+T245)</f>
        <v/>
      </c>
      <c r="V245" t="inlineStr">
        <is>
          <t>VALVE AND PIPE</t>
        </is>
      </c>
    </row>
    <row r="246">
      <c r="A246" s="22">
        <f>A245+1</f>
        <v/>
      </c>
      <c r="B246" s="79" t="inlineStr">
        <is>
          <t>TEE PVC AW  1"</t>
        </is>
      </c>
      <c r="C246" s="18" t="inlineStr">
        <is>
          <t>Pcs</t>
        </is>
      </c>
      <c r="D246" s="26">
        <f>'Week  1'!U246</f>
        <v/>
      </c>
      <c r="E246" s="124" t="n"/>
      <c r="F246" s="62" t="n"/>
      <c r="G246" s="25" t="n"/>
      <c r="H246" s="56" t="n"/>
      <c r="I246" s="19" t="n"/>
      <c r="J246" s="64" t="n"/>
      <c r="K246" s="18" t="n"/>
      <c r="L246" s="73" t="n"/>
      <c r="M246" s="73" t="n"/>
      <c r="N246" s="73" t="n"/>
      <c r="O246" s="19" t="n"/>
      <c r="P246" s="18" t="n"/>
      <c r="Q246" s="18" t="n"/>
      <c r="R246" s="73" t="n"/>
      <c r="S246" s="18" t="n"/>
      <c r="T246" s="18" t="n"/>
      <c r="U246" s="26">
        <f>D246+F246+-(H246+J246+L246+N246+P246+R246+T246)</f>
        <v/>
      </c>
      <c r="V246" t="inlineStr">
        <is>
          <t>VALVE AND PIPE</t>
        </is>
      </c>
    </row>
    <row r="247">
      <c r="A247" s="22">
        <f>A246+1</f>
        <v/>
      </c>
      <c r="B247" s="79" t="inlineStr">
        <is>
          <t>TEE PVC AW  3/4"</t>
        </is>
      </c>
      <c r="C247" s="18" t="inlineStr">
        <is>
          <t>Pcs</t>
        </is>
      </c>
      <c r="D247" s="26">
        <f>'Week  1'!U247</f>
        <v/>
      </c>
      <c r="E247" s="124" t="n"/>
      <c r="F247" s="55" t="n"/>
      <c r="G247" s="52" t="n"/>
      <c r="H247" s="55" t="n"/>
      <c r="I247" s="71" t="n"/>
      <c r="J247" s="55" t="n"/>
      <c r="K247" s="18" t="n"/>
      <c r="L247" s="73" t="n"/>
      <c r="M247" s="73" t="n"/>
      <c r="N247" s="73" t="n"/>
      <c r="O247" s="19" t="n"/>
      <c r="P247" s="18" t="n"/>
      <c r="Q247" s="18" t="n"/>
      <c r="R247" s="73" t="n"/>
      <c r="S247" s="18" t="n"/>
      <c r="T247" s="18" t="n"/>
      <c r="U247" s="26">
        <f>D247+F247+-(H247+J247+L247+N247+P247+R247+T247)</f>
        <v/>
      </c>
      <c r="V247" t="inlineStr">
        <is>
          <t>VALVE AND PIPE</t>
        </is>
      </c>
    </row>
    <row r="248">
      <c r="A248" s="22">
        <f>A247+1</f>
        <v/>
      </c>
      <c r="B248" s="79" t="inlineStr">
        <is>
          <t>TEE PVC AW 1/2"</t>
        </is>
      </c>
      <c r="C248" s="18" t="inlineStr">
        <is>
          <t>Pcs</t>
        </is>
      </c>
      <c r="D248" s="26">
        <f>'Week  1'!U248</f>
        <v/>
      </c>
      <c r="E248" s="124" t="n"/>
      <c r="F248" s="62" t="n"/>
      <c r="G248" s="25" t="n"/>
      <c r="H248" s="56" t="n"/>
      <c r="I248" s="19" t="n"/>
      <c r="J248" s="64" t="n"/>
      <c r="K248" s="18" t="n"/>
      <c r="L248" s="73" t="n"/>
      <c r="M248" s="73" t="n"/>
      <c r="N248" s="73" t="n"/>
      <c r="O248" s="19" t="n"/>
      <c r="P248" s="18" t="n"/>
      <c r="Q248" s="18" t="n"/>
      <c r="R248" s="73" t="n"/>
      <c r="S248" s="18" t="n"/>
      <c r="T248" s="18" t="n"/>
      <c r="U248" s="26">
        <f>D248+F248+-(H248+J248+L248+N248+P248+R248+T248)</f>
        <v/>
      </c>
      <c r="V248" t="inlineStr">
        <is>
          <t>VALVE AND PIPE</t>
        </is>
      </c>
    </row>
    <row r="249">
      <c r="A249" s="22">
        <f>A248+1</f>
        <v/>
      </c>
      <c r="B249" s="79" t="inlineStr">
        <is>
          <t>TEE PVC AW 2"</t>
        </is>
      </c>
      <c r="C249" s="18" t="inlineStr">
        <is>
          <t>Pcs</t>
        </is>
      </c>
      <c r="D249" s="26">
        <f>'Week  1'!U249</f>
        <v/>
      </c>
      <c r="E249" s="125" t="n"/>
      <c r="F249" s="55" t="n"/>
      <c r="G249" s="52" t="n"/>
      <c r="H249" s="55" t="n"/>
      <c r="I249" s="71" t="n"/>
      <c r="J249" s="55" t="n"/>
      <c r="K249" s="18" t="n"/>
      <c r="L249" s="73" t="n"/>
      <c r="M249" s="73" t="n"/>
      <c r="N249" s="73" t="n"/>
      <c r="O249" s="19" t="n"/>
      <c r="P249" s="18" t="n"/>
      <c r="Q249" s="18" t="n"/>
      <c r="R249" s="73" t="n"/>
      <c r="S249" s="18" t="n"/>
      <c r="T249" s="18" t="n"/>
      <c r="U249" s="26">
        <f>D249+F249+-(H249+J249+L249+N249+P249+R249+T249)</f>
        <v/>
      </c>
      <c r="V249" t="inlineStr">
        <is>
          <t>VALVE AND PIPE</t>
        </is>
      </c>
    </row>
    <row r="250" ht="15" customHeight="1">
      <c r="A250" s="22">
        <f>A249+1</f>
        <v/>
      </c>
      <c r="B250" s="30" t="inlineStr">
        <is>
          <t>TERMINAL 4 PAIR</t>
        </is>
      </c>
      <c r="C250" s="46" t="inlineStr">
        <is>
          <t>PCS</t>
        </is>
      </c>
      <c r="D250" s="26">
        <f>'Week  1'!U250</f>
        <v/>
      </c>
      <c r="E250" s="124" t="n"/>
      <c r="F250" s="62" t="n"/>
      <c r="G250" s="25" t="n"/>
      <c r="H250" s="56" t="n"/>
      <c r="I250" s="19" t="n"/>
      <c r="J250" s="64" t="n"/>
      <c r="K250" s="18" t="n"/>
      <c r="L250" s="73" t="n"/>
      <c r="M250" s="73" t="n"/>
      <c r="N250" s="73" t="n"/>
      <c r="O250" s="19" t="n"/>
      <c r="P250" s="18" t="n"/>
      <c r="Q250" s="18" t="n"/>
      <c r="R250" s="73" t="n"/>
      <c r="S250" s="18" t="n"/>
      <c r="T250" s="18" t="n"/>
      <c r="U250" s="26">
        <f>D250+F250+-(H250+J250+L250+N250+P250+R250+T250)</f>
        <v/>
      </c>
      <c r="V250" t="inlineStr">
        <is>
          <t>ELECTRICAL</t>
        </is>
      </c>
    </row>
    <row r="251" ht="15" customHeight="1">
      <c r="A251" s="22">
        <f>A250+1</f>
        <v/>
      </c>
      <c r="B251" s="30" t="inlineStr">
        <is>
          <t>TEMPAT HANDUK</t>
        </is>
      </c>
      <c r="C251" s="46" t="inlineStr">
        <is>
          <t>SET</t>
        </is>
      </c>
      <c r="D251" s="26">
        <f>'Week  1'!U251</f>
        <v/>
      </c>
      <c r="E251" s="125" t="n"/>
      <c r="F251" s="55" t="n"/>
      <c r="G251" s="52" t="n"/>
      <c r="H251" s="55" t="n"/>
      <c r="I251" s="71" t="n"/>
      <c r="J251" s="55" t="n"/>
      <c r="K251" s="18" t="n"/>
      <c r="L251" s="73" t="n"/>
      <c r="M251" s="73" t="n"/>
      <c r="N251" s="73" t="n"/>
      <c r="O251" s="19" t="n"/>
      <c r="P251" s="18" t="n"/>
      <c r="Q251" s="18" t="n"/>
      <c r="R251" s="73" t="n"/>
      <c r="S251" s="18" t="n"/>
      <c r="T251" s="18" t="n"/>
      <c r="U251" s="26">
        <f>D251+F251+-(H251+J251+L251+N251+P251+R251+T251)</f>
        <v/>
      </c>
      <c r="V251" t="inlineStr">
        <is>
          <t>CONSUMABLE</t>
        </is>
      </c>
    </row>
    <row r="252" ht="60" customHeight="1">
      <c r="A252" s="22">
        <f>A251+1</f>
        <v/>
      </c>
      <c r="B252" s="43" t="inlineStr">
        <is>
          <t>Thinner A Special</t>
        </is>
      </c>
      <c r="C252" s="46" t="inlineStr">
        <is>
          <t>LTR</t>
        </is>
      </c>
      <c r="D252" s="26">
        <f>'Week  1'!U252</f>
        <v/>
      </c>
      <c r="E252" s="129" t="n"/>
      <c r="F252" s="62" t="n"/>
      <c r="G252" s="19" t="n"/>
      <c r="H252" s="18" t="n"/>
      <c r="I252" s="19" t="n"/>
      <c r="J252" s="18" t="n"/>
      <c r="K252" s="19" t="n"/>
      <c r="L252" s="18" t="n"/>
      <c r="M252" s="19" t="n"/>
      <c r="N252" s="18" t="n"/>
      <c r="O252" s="19" t="inlineStr">
        <is>
          <t>Sulawesi 4</t>
        </is>
      </c>
      <c r="P252" s="70" t="n">
        <v>3</v>
      </c>
      <c r="Q252" s="19" t="inlineStr">
        <is>
          <t>Sulawesi 4</t>
        </is>
      </c>
      <c r="R252" s="70" t="n">
        <v>2</v>
      </c>
      <c r="S252" s="18" t="n"/>
      <c r="T252" s="18" t="n"/>
      <c r="U252" s="26">
        <f>D252+F252+-(H252+J252+L252+N252+P252+R252+T252)</f>
        <v/>
      </c>
      <c r="V252" t="inlineStr">
        <is>
          <t>CIVIL</t>
        </is>
      </c>
    </row>
    <row r="253" ht="15" customHeight="1">
      <c r="A253" s="22">
        <f>A252+1</f>
        <v/>
      </c>
      <c r="B253" s="122" t="inlineStr">
        <is>
          <t>TL Lamp 18 W, Ballas Philips</t>
        </is>
      </c>
      <c r="C253" s="131" t="inlineStr">
        <is>
          <t>PCS</t>
        </is>
      </c>
      <c r="D253" s="26">
        <f>'Week  1'!U253</f>
        <v/>
      </c>
      <c r="E253" s="125" t="n"/>
      <c r="F253" s="55" t="n"/>
      <c r="G253" s="52" t="n"/>
      <c r="H253" s="55" t="n"/>
      <c r="I253" s="71" t="n"/>
      <c r="J253" s="55" t="n"/>
      <c r="K253" s="18" t="n"/>
      <c r="L253" s="73" t="n"/>
      <c r="M253" s="73" t="n"/>
      <c r="N253" s="73" t="n"/>
      <c r="O253" s="19" t="n"/>
      <c r="P253" s="18" t="n"/>
      <c r="Q253" s="18" t="n"/>
      <c r="R253" s="73" t="n"/>
      <c r="S253" s="18" t="n"/>
      <c r="T253" s="18" t="n"/>
      <c r="U253" s="26">
        <f>D253+F253+-(H253+J253+L253+N253+P253+R253+T253)</f>
        <v/>
      </c>
      <c r="V253" t="inlineStr">
        <is>
          <t>LAMP</t>
        </is>
      </c>
    </row>
    <row r="254" ht="15" customHeight="1">
      <c r="A254" s="22">
        <f>A253+1</f>
        <v/>
      </c>
      <c r="B254" s="122" t="inlineStr">
        <is>
          <t>TL Lamp 18 W, Philips</t>
        </is>
      </c>
      <c r="C254" s="131" t="inlineStr">
        <is>
          <t>PCS</t>
        </is>
      </c>
      <c r="D254" s="26">
        <f>'Week  1'!U254</f>
        <v/>
      </c>
      <c r="E254" s="124" t="n"/>
      <c r="F254" s="62" t="n"/>
      <c r="G254" s="25" t="n"/>
      <c r="H254" s="56" t="n"/>
      <c r="I254" s="19" t="n"/>
      <c r="J254" s="64" t="n"/>
      <c r="K254" s="18" t="n"/>
      <c r="L254" s="73" t="n"/>
      <c r="M254" s="73" t="n"/>
      <c r="N254" s="73" t="n"/>
      <c r="O254" s="19" t="n"/>
      <c r="P254" s="18" t="n"/>
      <c r="Q254" s="18" t="n"/>
      <c r="R254" s="73" t="n"/>
      <c r="S254" s="18" t="n"/>
      <c r="T254" s="18" t="n"/>
      <c r="U254" s="26">
        <f>D254+F254+-(H254+J254+L254+N254+P254+R254+T254)</f>
        <v/>
      </c>
      <c r="V254" t="inlineStr">
        <is>
          <t>LAMP</t>
        </is>
      </c>
    </row>
    <row r="255" ht="15" customHeight="1">
      <c r="A255" s="22">
        <f>A254+1</f>
        <v/>
      </c>
      <c r="B255" s="122" t="inlineStr">
        <is>
          <t>TL Lamp 36 W, Ballas Philips</t>
        </is>
      </c>
      <c r="C255" s="131" t="inlineStr">
        <is>
          <t>PCS</t>
        </is>
      </c>
      <c r="D255" s="26">
        <f>'Week  1'!U255</f>
        <v/>
      </c>
      <c r="E255" s="125" t="n"/>
      <c r="F255" s="55" t="n"/>
      <c r="G255" s="52" t="n"/>
      <c r="H255" s="55" t="n"/>
      <c r="I255" s="71" t="n"/>
      <c r="J255" s="55" t="n"/>
      <c r="K255" s="18" t="n"/>
      <c r="L255" s="73" t="n"/>
      <c r="M255" s="73" t="n"/>
      <c r="N255" s="73" t="n"/>
      <c r="O255" s="19" t="n"/>
      <c r="P255" s="18" t="n"/>
      <c r="Q255" s="18" t="n"/>
      <c r="R255" s="73" t="n"/>
      <c r="S255" s="18" t="n"/>
      <c r="T255" s="18" t="n"/>
      <c r="U255" s="26">
        <f>D255+F255+-(H255+J255+L255+N255+P255+R255+T255)</f>
        <v/>
      </c>
      <c r="V255" t="inlineStr">
        <is>
          <t>LAMP</t>
        </is>
      </c>
    </row>
    <row r="256" ht="15" customHeight="1">
      <c r="A256" s="22">
        <f>A255+1</f>
        <v/>
      </c>
      <c r="B256" s="30" t="inlineStr">
        <is>
          <t>TL Lamp 36/40 W, Philips</t>
        </is>
      </c>
      <c r="C256" s="47" t="inlineStr">
        <is>
          <t>PCS</t>
        </is>
      </c>
      <c r="D256" s="26">
        <f>'Week  1'!U256</f>
        <v/>
      </c>
      <c r="E256" s="124" t="n"/>
      <c r="F256" s="62" t="n"/>
      <c r="G256" s="25" t="n"/>
      <c r="H256" s="56" t="n"/>
      <c r="I256" s="19" t="n"/>
      <c r="J256" s="64" t="n"/>
      <c r="K256" s="18" t="n"/>
      <c r="L256" s="73" t="n"/>
      <c r="M256" s="73" t="n"/>
      <c r="N256" s="73" t="n"/>
      <c r="O256" s="19" t="n"/>
      <c r="P256" s="18" t="n"/>
      <c r="Q256" s="18" t="n"/>
      <c r="R256" s="73" t="n"/>
      <c r="S256" s="18" t="n"/>
      <c r="T256" s="18" t="n"/>
      <c r="U256" s="26">
        <f>D256+F256+-(H256+J256+L256+N256+P256+R256+T256)</f>
        <v/>
      </c>
      <c r="V256" t="inlineStr">
        <is>
          <t>LAMP</t>
        </is>
      </c>
    </row>
    <row r="257" ht="15" customHeight="1">
      <c r="A257" s="22">
        <f>A256+1</f>
        <v/>
      </c>
      <c r="B257" s="122" t="inlineStr">
        <is>
          <t>TL RING 22 W, Philips</t>
        </is>
      </c>
      <c r="C257" s="47" t="inlineStr">
        <is>
          <t>PCS</t>
        </is>
      </c>
      <c r="D257" s="26">
        <f>'Week  1'!U257</f>
        <v/>
      </c>
      <c r="E257" s="125" t="n"/>
      <c r="F257" s="55" t="n"/>
      <c r="G257" s="52" t="n"/>
      <c r="H257" s="55" t="n"/>
      <c r="I257" s="71" t="n"/>
      <c r="J257" s="55" t="n"/>
      <c r="K257" s="18" t="n"/>
      <c r="L257" s="73" t="n"/>
      <c r="M257" s="73" t="n"/>
      <c r="N257" s="73" t="n"/>
      <c r="O257" s="19" t="n"/>
      <c r="P257" s="18" t="n"/>
      <c r="Q257" s="18" t="n"/>
      <c r="R257" s="73" t="n"/>
      <c r="S257" s="18" t="n"/>
      <c r="T257" s="18" t="n"/>
      <c r="U257" s="26">
        <f>D257+F257+-(H257+J257+L257+N257+P257+R257+T257)</f>
        <v/>
      </c>
      <c r="V257" t="inlineStr">
        <is>
          <t>LAMP</t>
        </is>
      </c>
    </row>
    <row r="258" ht="15" customHeight="1">
      <c r="A258" s="22">
        <f>A257+1</f>
        <v/>
      </c>
      <c r="B258" s="122" t="inlineStr">
        <is>
          <t>TL RING 32 W, Philips</t>
        </is>
      </c>
      <c r="C258" s="132" t="inlineStr">
        <is>
          <t>PCS</t>
        </is>
      </c>
      <c r="D258" s="26">
        <f>'Week  1'!U258</f>
        <v/>
      </c>
      <c r="E258" s="124" t="n"/>
      <c r="F258" s="62" t="n"/>
      <c r="G258" s="25" t="n"/>
      <c r="H258" s="56" t="n"/>
      <c r="I258" s="19" t="n"/>
      <c r="J258" s="64" t="n"/>
      <c r="K258" s="18" t="n"/>
      <c r="L258" s="73" t="n"/>
      <c r="M258" s="73" t="n"/>
      <c r="N258" s="73" t="n"/>
      <c r="O258" s="19" t="n"/>
      <c r="P258" s="18" t="n"/>
      <c r="Q258" s="18" t="n"/>
      <c r="R258" s="73" t="n"/>
      <c r="S258" s="18" t="n"/>
      <c r="T258" s="18" t="n"/>
      <c r="U258" s="26">
        <f>D258+F258+-(H258+J258+L258+N258+P258+R258+T258)</f>
        <v/>
      </c>
      <c r="V258" t="inlineStr">
        <is>
          <t>LAMP</t>
        </is>
      </c>
    </row>
    <row r="259" ht="15" customHeight="1">
      <c r="A259" s="22">
        <f>A258+1</f>
        <v/>
      </c>
      <c r="B259" s="122" t="inlineStr">
        <is>
          <t>Toilet Shower, San-Ei</t>
        </is>
      </c>
      <c r="C259" s="132" t="inlineStr">
        <is>
          <t>SET</t>
        </is>
      </c>
      <c r="D259" s="26">
        <f>'Week  1'!U259</f>
        <v/>
      </c>
      <c r="E259" s="130" t="n"/>
      <c r="F259" s="55" t="n"/>
      <c r="G259" s="52" t="n"/>
      <c r="H259" s="55" t="n"/>
      <c r="I259" s="71" t="n"/>
      <c r="J259" s="55" t="n"/>
      <c r="K259" s="18" t="n"/>
      <c r="L259" s="73" t="n"/>
      <c r="M259" s="73" t="n"/>
      <c r="N259" s="73" t="n"/>
      <c r="O259" s="19" t="n"/>
      <c r="P259" s="18" t="n"/>
      <c r="Q259" s="18" t="n"/>
      <c r="R259" s="73" t="n"/>
      <c r="S259" s="18" t="n"/>
      <c r="T259" s="18" t="n"/>
      <c r="U259" s="26">
        <f>D259+F259+-(H259+J259+L259+N259+P259+R259+T259)</f>
        <v/>
      </c>
      <c r="V259" t="inlineStr">
        <is>
          <t>-</t>
        </is>
      </c>
    </row>
    <row r="260" ht="15" customHeight="1">
      <c r="A260" s="22">
        <f>A259+1</f>
        <v/>
      </c>
      <c r="B260" s="122" t="inlineStr">
        <is>
          <t>TL  LED 16 W, Philips</t>
        </is>
      </c>
      <c r="C260" s="132" t="inlineStr">
        <is>
          <t>PCS</t>
        </is>
      </c>
      <c r="D260" s="26">
        <f>'Week  1'!U260</f>
        <v/>
      </c>
      <c r="E260" s="124" t="n"/>
      <c r="F260" s="62" t="n"/>
      <c r="G260" s="68" t="n"/>
      <c r="H260" s="56" t="n"/>
      <c r="I260" s="19" t="n"/>
      <c r="J260" s="64" t="n"/>
      <c r="K260" s="18" t="n"/>
      <c r="L260" s="73" t="n"/>
      <c r="M260" s="73" t="n"/>
      <c r="N260" s="73" t="n"/>
      <c r="O260" s="19" t="n"/>
      <c r="P260" s="18" t="n"/>
      <c r="Q260" s="19" t="n"/>
      <c r="R260" s="18" t="n"/>
      <c r="S260" s="18" t="n"/>
      <c r="T260" s="18" t="n"/>
      <c r="U260" s="26">
        <f>D260+F260+-(H260+J260+L260+N260+P260+R260+T260)</f>
        <v/>
      </c>
      <c r="V260" t="inlineStr">
        <is>
          <t>LAMP</t>
        </is>
      </c>
    </row>
    <row r="261" ht="15" customHeight="1">
      <c r="A261" s="22">
        <f>A260+1</f>
        <v/>
      </c>
      <c r="B261" s="122" t="inlineStr">
        <is>
          <t>TL  LED 8 W, Philips</t>
        </is>
      </c>
      <c r="C261" s="132" t="inlineStr">
        <is>
          <t>PCS</t>
        </is>
      </c>
      <c r="D261" s="26">
        <f>'Week  1'!U261</f>
        <v/>
      </c>
      <c r="E261" s="125" t="n"/>
      <c r="F261" s="55" t="n"/>
      <c r="G261" s="52" t="n"/>
      <c r="H261" s="55" t="n"/>
      <c r="I261" s="71" t="n"/>
      <c r="J261" s="55" t="n"/>
      <c r="K261" s="18" t="n"/>
      <c r="L261" s="73" t="n"/>
      <c r="M261" s="73" t="n"/>
      <c r="N261" s="73" t="n"/>
      <c r="O261" s="19" t="n"/>
      <c r="P261" s="18" t="n"/>
      <c r="Q261" s="18" t="n"/>
      <c r="R261" s="73" t="n"/>
      <c r="S261" s="18" t="n"/>
      <c r="T261" s="18" t="n"/>
      <c r="U261" s="26">
        <f>D261+F261+-(H261+J261+L261+N261+P261+R261+T261)</f>
        <v/>
      </c>
      <c r="V261" t="inlineStr">
        <is>
          <t>LAMP</t>
        </is>
      </c>
    </row>
    <row r="262" ht="15" customHeight="1">
      <c r="A262" s="22">
        <f>A261+1</f>
        <v/>
      </c>
      <c r="B262" s="122" t="inlineStr">
        <is>
          <t>Tornado Lamp 20 W, Philips</t>
        </is>
      </c>
      <c r="C262" s="132" t="inlineStr">
        <is>
          <t>PCS</t>
        </is>
      </c>
      <c r="D262" s="26">
        <f>'Week  1'!U262</f>
        <v/>
      </c>
      <c r="E262" s="124" t="n"/>
      <c r="F262" s="62" t="n"/>
      <c r="G262" s="25" t="n"/>
      <c r="H262" s="56" t="n"/>
      <c r="I262" s="19" t="n"/>
      <c r="J262" s="64" t="n"/>
      <c r="K262" s="18" t="n"/>
      <c r="L262" s="73" t="n"/>
      <c r="M262" s="73" t="n"/>
      <c r="N262" s="73" t="n"/>
      <c r="O262" s="19" t="n"/>
      <c r="P262" s="18" t="n"/>
      <c r="Q262" s="18" t="n"/>
      <c r="R262" s="73" t="n"/>
      <c r="S262" s="18" t="n"/>
      <c r="T262" s="18" t="n"/>
      <c r="U262" s="26">
        <f>D262+F262+-(H262+J262+L262+N262+P262+R262+T262)</f>
        <v/>
      </c>
      <c r="V262" t="inlineStr">
        <is>
          <t>LAMP</t>
        </is>
      </c>
    </row>
    <row r="263" ht="15" customHeight="1">
      <c r="A263" s="22">
        <f>A262+1</f>
        <v/>
      </c>
      <c r="B263" s="43" t="inlineStr">
        <is>
          <t>Tornado Lamp 5 W, Philips</t>
        </is>
      </c>
      <c r="C263" s="47" t="inlineStr">
        <is>
          <t>PCS</t>
        </is>
      </c>
      <c r="D263" s="26">
        <f>'Week  1'!U263</f>
        <v/>
      </c>
      <c r="E263" s="125" t="n"/>
      <c r="F263" s="55" t="n"/>
      <c r="G263" s="52" t="n"/>
      <c r="H263" s="55" t="n"/>
      <c r="I263" s="71" t="n"/>
      <c r="J263" s="55" t="n"/>
      <c r="K263" s="18" t="n"/>
      <c r="L263" s="73" t="n"/>
      <c r="M263" s="73" t="n"/>
      <c r="N263" s="73" t="n"/>
      <c r="O263" s="19" t="n"/>
      <c r="P263" s="18" t="n"/>
      <c r="Q263" s="18" t="n"/>
      <c r="R263" s="73" t="n"/>
      <c r="S263" s="18" t="n"/>
      <c r="T263" s="18" t="n"/>
      <c r="U263" s="26">
        <f>D263+F263+-(H263+J263+L263+N263+P263+R263+T263)</f>
        <v/>
      </c>
      <c r="V263" t="inlineStr">
        <is>
          <t>LAMP</t>
        </is>
      </c>
    </row>
    <row r="264" ht="15" customHeight="1">
      <c r="A264" s="22">
        <f>A263+1</f>
        <v/>
      </c>
      <c r="B264" s="122" t="inlineStr">
        <is>
          <t>Tornado Lamp 8 W, Philips</t>
        </is>
      </c>
      <c r="C264" s="132" t="inlineStr">
        <is>
          <t>PCS</t>
        </is>
      </c>
      <c r="D264" s="26">
        <f>'Week  1'!U264</f>
        <v/>
      </c>
      <c r="E264" s="124" t="n"/>
      <c r="F264" s="62" t="n"/>
      <c r="G264" s="25" t="n"/>
      <c r="H264" s="56" t="n"/>
      <c r="I264" s="19" t="n"/>
      <c r="J264" s="64" t="n"/>
      <c r="K264" s="18" t="n"/>
      <c r="L264" s="73" t="n"/>
      <c r="M264" s="73" t="n"/>
      <c r="N264" s="73" t="n"/>
      <c r="O264" s="19" t="n"/>
      <c r="P264" s="18" t="n"/>
      <c r="Q264" s="18" t="n"/>
      <c r="R264" s="73" t="n"/>
      <c r="S264" s="18" t="n"/>
      <c r="T264" s="18" t="n"/>
      <c r="U264" s="26">
        <f>D264+F264+-(H264+J264+L264+N264+P264+R264+T264)</f>
        <v/>
      </c>
      <c r="V264" t="inlineStr">
        <is>
          <t>LAMP</t>
        </is>
      </c>
    </row>
    <row r="265">
      <c r="A265" s="22">
        <f>A264+1</f>
        <v/>
      </c>
      <c r="B265" s="79" t="inlineStr">
        <is>
          <t>V Sock PVC  4" x 2  1/2"</t>
        </is>
      </c>
      <c r="C265" s="106" t="inlineStr">
        <is>
          <t>Pcs</t>
        </is>
      </c>
      <c r="D265" s="26">
        <f>'Week  1'!U265</f>
        <v/>
      </c>
      <c r="E265" s="125" t="n"/>
      <c r="F265" s="55" t="n"/>
      <c r="G265" s="52" t="n"/>
      <c r="H265" s="55" t="n"/>
      <c r="I265" s="71" t="n"/>
      <c r="J265" s="55" t="n"/>
      <c r="K265" s="18" t="n"/>
      <c r="L265" s="73" t="n"/>
      <c r="M265" s="73" t="n"/>
      <c r="N265" s="73" t="n"/>
      <c r="O265" s="19" t="n"/>
      <c r="P265" s="18" t="n"/>
      <c r="Q265" s="18" t="n"/>
      <c r="R265" s="73" t="n"/>
      <c r="S265" s="18" t="n"/>
      <c r="T265" s="18" t="n"/>
      <c r="U265" s="26">
        <f>D265+F265+-(H265+J265+L265+N265+P265+R265+T265)</f>
        <v/>
      </c>
      <c r="V265" t="inlineStr">
        <is>
          <t>VALVE AND PIPE</t>
        </is>
      </c>
    </row>
    <row r="266">
      <c r="A266" s="22">
        <f>A265+1</f>
        <v/>
      </c>
      <c r="B266" s="79" t="inlineStr">
        <is>
          <t>V Sock PVC  4" x 2  "</t>
        </is>
      </c>
      <c r="C266" s="106" t="inlineStr">
        <is>
          <t>Pcs</t>
        </is>
      </c>
      <c r="D266" s="26">
        <f>'Week  1'!U266</f>
        <v/>
      </c>
      <c r="E266" s="124" t="n"/>
      <c r="F266" s="62" t="n"/>
      <c r="G266" s="25" t="n"/>
      <c r="H266" s="56" t="n"/>
      <c r="I266" s="19" t="n"/>
      <c r="J266" s="64" t="n"/>
      <c r="K266" s="18" t="n"/>
      <c r="L266" s="73" t="n"/>
      <c r="M266" s="73" t="n"/>
      <c r="N266" s="73" t="n"/>
      <c r="O266" s="19" t="n"/>
      <c r="P266" s="18" t="n"/>
      <c r="Q266" s="18" t="n"/>
      <c r="R266" s="73" t="n"/>
      <c r="S266" s="18" t="n"/>
      <c r="T266" s="18" t="n"/>
      <c r="U266" s="26">
        <f>D266+F266+-(H266+J266+L266+N266+P266+R266+T266)</f>
        <v/>
      </c>
      <c r="V266" t="inlineStr">
        <is>
          <t>VALVE AND PIPE</t>
        </is>
      </c>
    </row>
    <row r="267">
      <c r="A267" s="22">
        <f>A266+1</f>
        <v/>
      </c>
      <c r="B267" s="79" t="inlineStr">
        <is>
          <t>V Sock PVC  2" x 2  1/2"</t>
        </is>
      </c>
      <c r="C267" s="106" t="inlineStr">
        <is>
          <t>Pcs</t>
        </is>
      </c>
      <c r="D267" s="26">
        <f>'Week  1'!U267</f>
        <v/>
      </c>
      <c r="E267" s="125" t="n"/>
      <c r="F267" s="55" t="n"/>
      <c r="G267" s="52" t="n"/>
      <c r="H267" s="55" t="n"/>
      <c r="I267" s="71" t="n"/>
      <c r="J267" s="55" t="n"/>
      <c r="K267" s="18" t="n"/>
      <c r="L267" s="73" t="n"/>
      <c r="M267" s="73" t="n"/>
      <c r="N267" s="73" t="n"/>
      <c r="O267" s="19" t="n"/>
      <c r="P267" s="18" t="n"/>
      <c r="Q267" s="18" t="n"/>
      <c r="R267" s="73" t="n"/>
      <c r="S267" s="18" t="n"/>
      <c r="T267" s="18" t="n"/>
      <c r="U267" s="26">
        <f>D267+F267+-(H267+J267+L267+N267+P267+R267+T267)</f>
        <v/>
      </c>
      <c r="V267" t="inlineStr">
        <is>
          <t>VALVE AND PIPE</t>
        </is>
      </c>
    </row>
    <row r="268" ht="15" customHeight="1">
      <c r="A268" s="22">
        <f>A267+1</f>
        <v/>
      </c>
      <c r="B268" s="122" t="inlineStr">
        <is>
          <t>VALVE BALL 1/2' ONDA PVC</t>
        </is>
      </c>
      <c r="C268" s="132" t="inlineStr">
        <is>
          <t>PCS</t>
        </is>
      </c>
      <c r="D268" s="26">
        <f>'Week  1'!U268</f>
        <v/>
      </c>
      <c r="E268" s="124" t="n"/>
      <c r="F268" s="62" t="n"/>
      <c r="G268" s="25" t="n"/>
      <c r="H268" s="56" t="n"/>
      <c r="I268" s="19" t="n"/>
      <c r="J268" s="64" t="n"/>
      <c r="K268" s="18" t="n"/>
      <c r="L268" s="73" t="n"/>
      <c r="M268" s="73" t="n"/>
      <c r="N268" s="73" t="n"/>
      <c r="O268" s="19" t="n"/>
      <c r="P268" s="18" t="n"/>
      <c r="Q268" s="18" t="n"/>
      <c r="R268" s="73" t="n"/>
      <c r="S268" s="18" t="n"/>
      <c r="T268" s="18" t="n"/>
      <c r="U268" s="26">
        <f>D268+F268+-(H268+J268+L268+N268+P268+R268+T268)</f>
        <v/>
      </c>
      <c r="V268" t="inlineStr">
        <is>
          <t>VALVE AND PIPE</t>
        </is>
      </c>
    </row>
    <row r="269" ht="15" customHeight="1">
      <c r="A269" s="22">
        <f>A268+1</f>
        <v/>
      </c>
      <c r="B269" s="122" t="inlineStr">
        <is>
          <t>VALVE BALL 3/4' ONDA PVC</t>
        </is>
      </c>
      <c r="C269" s="34" t="inlineStr">
        <is>
          <t>PCS</t>
        </is>
      </c>
      <c r="D269" s="26">
        <f>'Week  1'!U269</f>
        <v/>
      </c>
      <c r="E269" s="125" t="n"/>
      <c r="F269" s="55" t="n"/>
      <c r="G269" s="52" t="n"/>
      <c r="H269" s="55" t="n"/>
      <c r="I269" s="71" t="n"/>
      <c r="J269" s="55" t="n"/>
      <c r="K269" s="18" t="n"/>
      <c r="L269" s="73" t="n"/>
      <c r="M269" s="73" t="n"/>
      <c r="N269" s="73" t="n"/>
      <c r="O269" s="19" t="n"/>
      <c r="P269" s="18" t="n"/>
      <c r="Q269" s="18" t="n"/>
      <c r="R269" s="73" t="n"/>
      <c r="S269" s="18" t="n"/>
      <c r="T269" s="18" t="n"/>
      <c r="U269" s="26">
        <f>D269+F269+-(H269+J269+L269+N269+P269+R269+T269)</f>
        <v/>
      </c>
      <c r="V269" t="inlineStr">
        <is>
          <t>VALVE AND PIPE</t>
        </is>
      </c>
    </row>
    <row r="270">
      <c r="A270" s="22">
        <f>A269+1</f>
        <v/>
      </c>
      <c r="B270" s="38" t="inlineStr">
        <is>
          <t>VALVE GATE 1/2" ONDA</t>
        </is>
      </c>
      <c r="C270" s="34" t="inlineStr">
        <is>
          <t>PCS</t>
        </is>
      </c>
      <c r="D270" s="26">
        <f>'Week  1'!U270</f>
        <v/>
      </c>
      <c r="E270" s="124" t="n"/>
      <c r="F270" s="62" t="n"/>
      <c r="G270" s="25" t="n"/>
      <c r="H270" s="56" t="n"/>
      <c r="I270" s="19" t="n"/>
      <c r="J270" s="64" t="n"/>
      <c r="K270" s="18" t="n"/>
      <c r="L270" s="73" t="n"/>
      <c r="M270" s="73" t="n"/>
      <c r="N270" s="73" t="n"/>
      <c r="O270" s="19" t="n"/>
      <c r="P270" s="18" t="n"/>
      <c r="Q270" s="18" t="n"/>
      <c r="R270" s="73" t="n"/>
      <c r="S270" s="18" t="n"/>
      <c r="T270" s="18" t="n"/>
      <c r="U270" s="26">
        <f>D270+F270+-(H270+J270+L270+N270+P270+R270+T270)</f>
        <v/>
      </c>
      <c r="V270" t="inlineStr">
        <is>
          <t>VALVE AND PIPE</t>
        </is>
      </c>
    </row>
    <row r="271" ht="15" customHeight="1">
      <c r="A271" s="22">
        <f>A270+1</f>
        <v/>
      </c>
      <c r="B271" s="38" t="inlineStr">
        <is>
          <t>VALVE GATE 3/4" ONDA</t>
        </is>
      </c>
      <c r="C271" s="132" t="inlineStr">
        <is>
          <t>PCS</t>
        </is>
      </c>
      <c r="D271" s="26">
        <f>'Week  1'!U271</f>
        <v/>
      </c>
      <c r="E271" s="125" t="n"/>
      <c r="F271" s="55" t="n"/>
      <c r="G271" s="52" t="n"/>
      <c r="H271" s="55" t="n"/>
      <c r="I271" s="71" t="n"/>
      <c r="J271" s="55" t="n"/>
      <c r="K271" s="18" t="n"/>
      <c r="L271" s="73" t="n"/>
      <c r="M271" s="73" t="n"/>
      <c r="N271" s="73" t="n"/>
      <c r="O271" s="19" t="n"/>
      <c r="P271" s="18" t="n"/>
      <c r="Q271" s="18" t="n"/>
      <c r="R271" s="73" t="n"/>
      <c r="S271" s="18" t="n"/>
      <c r="T271" s="18" t="n"/>
      <c r="U271" s="26">
        <f>D271+F271+-(H271+J271+L271+N271+P271+R271+T271)</f>
        <v/>
      </c>
      <c r="V271" t="inlineStr">
        <is>
          <t>VALVE AND PIPE</t>
        </is>
      </c>
    </row>
    <row r="272" ht="30" customHeight="1">
      <c r="A272" s="22">
        <f>A271+1</f>
        <v/>
      </c>
      <c r="B272" s="122" t="inlineStr">
        <is>
          <t>Washbasin Lamp, Essential Batten 7 W, Philips</t>
        </is>
      </c>
      <c r="C272" s="132" t="inlineStr">
        <is>
          <t>PCS</t>
        </is>
      </c>
      <c r="D272" s="26">
        <f>'Week  1'!U272</f>
        <v/>
      </c>
      <c r="E272" s="124" t="n"/>
      <c r="F272" s="62" t="n"/>
      <c r="G272" s="25" t="n"/>
      <c r="H272" s="56" t="n"/>
      <c r="I272" s="19" t="n"/>
      <c r="J272" s="64" t="n"/>
      <c r="K272" s="18" t="n"/>
      <c r="L272" s="73" t="n"/>
      <c r="M272" s="73" t="n"/>
      <c r="N272" s="73" t="n"/>
      <c r="O272" s="19" t="n"/>
      <c r="P272" s="18" t="n"/>
      <c r="Q272" s="18" t="n"/>
      <c r="R272" s="73" t="n"/>
      <c r="S272" s="18" t="n"/>
      <c r="T272" s="18" t="n"/>
      <c r="U272" s="26">
        <f>D272+F272+-(H272+J272+L272+N272+P272+R272+T272)</f>
        <v/>
      </c>
      <c r="V272" t="inlineStr">
        <is>
          <t>LAMP</t>
        </is>
      </c>
    </row>
    <row r="273" ht="25.5" customHeight="1">
      <c r="A273" s="22">
        <f>A272+1</f>
        <v/>
      </c>
      <c r="B273" s="38" t="inlineStr">
        <is>
          <t>Wastavel American Standard ( Wash Basin )</t>
        </is>
      </c>
      <c r="C273" s="34" t="inlineStr">
        <is>
          <t>SET</t>
        </is>
      </c>
      <c r="D273" s="26">
        <f>'Week  1'!U273</f>
        <v/>
      </c>
      <c r="E273" s="124" t="n"/>
      <c r="F273" s="55" t="n"/>
      <c r="G273" s="52" t="n"/>
      <c r="H273" s="55" t="n"/>
      <c r="I273" s="71" t="n"/>
      <c r="J273" s="55" t="n"/>
      <c r="K273" s="80" t="n"/>
      <c r="L273" s="73" t="n"/>
      <c r="M273" s="73" t="n"/>
      <c r="N273" s="73" t="n"/>
      <c r="O273" s="19" t="n"/>
      <c r="P273" s="18" t="n"/>
      <c r="Q273" s="18" t="n"/>
      <c r="R273" s="73" t="n"/>
      <c r="S273" s="18" t="n"/>
      <c r="T273" s="18" t="n"/>
      <c r="U273" s="26">
        <f>D273+F273+-(H273+J273+L273+N273+P273+R273+T273)</f>
        <v/>
      </c>
      <c r="V273" t="inlineStr">
        <is>
          <t>SANITARY</t>
        </is>
      </c>
    </row>
    <row r="274" ht="33" customHeight="1">
      <c r="A274" s="22">
        <f>A273+1</f>
        <v/>
      </c>
      <c r="B274" s="38" t="inlineStr">
        <is>
          <t>Water Closet American Standard</t>
        </is>
      </c>
      <c r="C274" s="34" t="inlineStr">
        <is>
          <t>SET</t>
        </is>
      </c>
      <c r="D274" s="26">
        <f>'Week  1'!U274</f>
        <v/>
      </c>
      <c r="E274" s="124" t="n"/>
      <c r="F274" s="62" t="n"/>
      <c r="G274" s="25" t="n"/>
      <c r="H274" s="56" t="n"/>
      <c r="I274" s="19" t="n"/>
      <c r="J274" s="64" t="n"/>
      <c r="K274" s="18" t="n"/>
      <c r="L274" s="73" t="n"/>
      <c r="M274" s="73" t="n"/>
      <c r="N274" s="73" t="n"/>
      <c r="O274" s="19" t="n"/>
      <c r="P274" s="18" t="n"/>
      <c r="Q274" s="18" t="n"/>
      <c r="R274" s="73" t="n"/>
      <c r="S274" s="18" t="n"/>
      <c r="T274" s="18" t="n"/>
      <c r="U274" s="26">
        <f>D274+F274+-(H274+J274+L274+N274+P274+R274+T274)</f>
        <v/>
      </c>
      <c r="V274" t="inlineStr">
        <is>
          <t>SANITARY</t>
        </is>
      </c>
    </row>
    <row r="275">
      <c r="D275" s="26">
        <f>SUM(D6:D274)</f>
        <v/>
      </c>
      <c r="F275" s="63">
        <f>SUM(F6:F274)</f>
        <v/>
      </c>
      <c r="U275" s="1">
        <f>SUM(U6:U274)</f>
        <v/>
      </c>
      <c r="V275" t="inlineStr">
        <is>
          <t>-</t>
        </is>
      </c>
    </row>
  </sheetData>
  <mergeCells count="16">
    <mergeCell ref="A1:T1"/>
    <mergeCell ref="G4:H4"/>
    <mergeCell ref="G3:N3"/>
    <mergeCell ref="I4:J4"/>
    <mergeCell ref="B4:B5"/>
    <mergeCell ref="C4:C5"/>
    <mergeCell ref="A4:A5"/>
    <mergeCell ref="F4:F5"/>
    <mergeCell ref="D4:D5"/>
    <mergeCell ref="E4:E5"/>
    <mergeCell ref="U4:U5"/>
    <mergeCell ref="K4:L4"/>
    <mergeCell ref="O4:P4"/>
    <mergeCell ref="M4:N4"/>
    <mergeCell ref="S4:T4"/>
    <mergeCell ref="Q4:R4"/>
  </mergeCells>
  <pageMargins left="0.7086614173228347" right="0.1968503937007874" top="0.2362204724409449" bottom="0.2755905511811024" header="0.2362204724409449" footer="0.2755905511811024"/>
  <pageSetup orientation="portrait" paperSize="9" scale="92" horizontalDpi="429496729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P275"/>
  <sheetViews>
    <sheetView zoomScale="95" zoomScaleNormal="95" workbookViewId="0">
      <pane xSplit="4" ySplit="5" topLeftCell="K6" activePane="bottomRight" state="frozenSplit"/>
      <selection activeCell="P25" sqref="P25"/>
      <selection pane="topRight" activeCell="P25" sqref="P25"/>
      <selection pane="bottomLeft" activeCell="P25" sqref="P25"/>
      <selection pane="bottomRight" activeCell="K272" sqref="K272"/>
    </sheetView>
  </sheetViews>
  <sheetFormatPr baseColWidth="8" defaultRowHeight="12.75"/>
  <cols>
    <col width="9.5703125" customWidth="1" style="11" min="1" max="1"/>
    <col width="30.7109375" customWidth="1" style="49" min="2" max="2"/>
    <col width="14.7109375" customWidth="1" style="13" min="3" max="3"/>
    <col width="10.42578125" customWidth="1" style="14" min="4" max="4"/>
    <col width="11.85546875" customWidth="1" style="115" min="5" max="5"/>
    <col width="8.28515625" customWidth="1" style="63" min="6" max="6"/>
    <col width="17.28515625" customWidth="1" style="16" min="7" max="7"/>
    <col width="6.140625" customWidth="1" style="63" min="8" max="8"/>
    <col width="15.140625" customWidth="1" style="15" min="9" max="9"/>
    <col width="9.140625" customWidth="1" style="63" min="10" max="10"/>
    <col width="15.7109375" customWidth="1" style="16" min="11" max="11"/>
    <col width="6.85546875" customWidth="1" style="50" min="12" max="12"/>
    <col width="13.28515625" customWidth="1" style="16" min="13" max="13"/>
    <col width="9.42578125" customWidth="1" style="13" min="14" max="14"/>
    <col width="12.85546875" customWidth="1" style="15" min="15" max="15"/>
    <col width="10.140625" customWidth="1" style="13" min="16" max="16"/>
    <col width="11.140625" customWidth="1" style="16" min="17" max="17"/>
    <col width="7" customWidth="1" style="13" min="18" max="18"/>
    <col width="10.85546875" customWidth="1" style="13" min="19" max="19"/>
    <col width="5.85546875" customWidth="1" style="13" min="20" max="20"/>
    <col width="10" customWidth="1" style="1" min="21" max="21"/>
    <col width="18" customWidth="1" style="51" min="22" max="255"/>
    <col width="9.5703125" customWidth="1" style="51" min="256" max="256"/>
    <col width="30.7109375" customWidth="1" style="51" min="257" max="257"/>
    <col width="14.7109375" customWidth="1" style="51" min="258" max="258"/>
    <col width="8.28515625" customWidth="1" style="51" min="259" max="259"/>
    <col width="11.85546875" customWidth="1" style="51" min="260" max="260"/>
    <col width="8.28515625" customWidth="1" style="51" min="261" max="261"/>
    <col width="17.28515625" customWidth="1" style="51" min="262" max="262"/>
    <col width="6.140625" customWidth="1" style="51" min="263" max="263"/>
    <col width="15.140625" customWidth="1" style="51" min="264" max="264"/>
    <col width="9.140625" customWidth="1" style="51" min="265" max="265"/>
    <col width="15" customWidth="1" style="51" min="266" max="266"/>
    <col width="6.85546875" customWidth="1" style="51" min="267" max="267"/>
    <col width="13.28515625" customWidth="1" style="51" min="268" max="268"/>
    <col width="9.42578125" customWidth="1" style="51" min="269" max="269"/>
    <col width="11" customWidth="1" style="51" min="270" max="270"/>
    <col width="10.140625" customWidth="1" style="51" min="271" max="271"/>
    <col width="11.140625" customWidth="1" style="51" min="272" max="272"/>
    <col width="7" customWidth="1" style="51" min="273" max="273"/>
    <col width="10.85546875" customWidth="1" style="51" min="274" max="274"/>
    <col width="5.85546875" customWidth="1" style="51" min="275" max="275"/>
    <col width="10" customWidth="1" style="51" min="276" max="276"/>
    <col width="9.140625" customWidth="1" style="51" min="277" max="511"/>
    <col width="9.5703125" customWidth="1" style="51" min="512" max="512"/>
    <col width="30.7109375" customWidth="1" style="51" min="513" max="513"/>
    <col width="14.7109375" customWidth="1" style="51" min="514" max="514"/>
    <col width="8.28515625" customWidth="1" style="51" min="515" max="515"/>
    <col width="11.85546875" customWidth="1" style="51" min="516" max="516"/>
    <col width="8.28515625" customWidth="1" style="51" min="517" max="517"/>
    <col width="17.28515625" customWidth="1" style="51" min="518" max="518"/>
    <col width="6.140625" customWidth="1" style="51" min="519" max="519"/>
    <col width="15.140625" customWidth="1" style="51" min="520" max="520"/>
    <col width="9.140625" customWidth="1" style="51" min="521" max="521"/>
    <col width="15" customWidth="1" style="51" min="522" max="522"/>
    <col width="6.85546875" customWidth="1" style="51" min="523" max="523"/>
    <col width="13.28515625" customWidth="1" style="51" min="524" max="524"/>
    <col width="9.42578125" customWidth="1" style="51" min="525" max="525"/>
    <col width="11" customWidth="1" style="51" min="526" max="526"/>
    <col width="10.140625" customWidth="1" style="51" min="527" max="527"/>
    <col width="11.140625" customWidth="1" style="51" min="528" max="528"/>
    <col width="7" customWidth="1" style="51" min="529" max="529"/>
    <col width="10.85546875" customWidth="1" style="51" min="530" max="530"/>
    <col width="5.85546875" customWidth="1" style="51" min="531" max="531"/>
    <col width="10" customWidth="1" style="51" min="532" max="532"/>
    <col width="9.140625" customWidth="1" style="51" min="533" max="767"/>
    <col width="9.5703125" customWidth="1" style="51" min="768" max="768"/>
    <col width="30.7109375" customWidth="1" style="51" min="769" max="769"/>
    <col width="14.7109375" customWidth="1" style="51" min="770" max="770"/>
    <col width="8.28515625" customWidth="1" style="51" min="771" max="771"/>
    <col width="11.85546875" customWidth="1" style="51" min="772" max="772"/>
    <col width="8.28515625" customWidth="1" style="51" min="773" max="773"/>
    <col width="17.28515625" customWidth="1" style="51" min="774" max="774"/>
    <col width="6.140625" customWidth="1" style="51" min="775" max="775"/>
    <col width="15.140625" customWidth="1" style="51" min="776" max="776"/>
    <col width="9.140625" customWidth="1" style="51" min="777" max="777"/>
    <col width="15" customWidth="1" style="51" min="778" max="778"/>
    <col width="6.85546875" customWidth="1" style="51" min="779" max="779"/>
    <col width="13.28515625" customWidth="1" style="51" min="780" max="780"/>
    <col width="9.42578125" customWidth="1" style="51" min="781" max="781"/>
    <col width="11" customWidth="1" style="51" min="782" max="782"/>
    <col width="10.140625" customWidth="1" style="51" min="783" max="783"/>
    <col width="11.140625" customWidth="1" style="51" min="784" max="784"/>
    <col width="7" customWidth="1" style="51" min="785" max="785"/>
    <col width="10.85546875" customWidth="1" style="51" min="786" max="786"/>
    <col width="5.85546875" customWidth="1" style="51" min="787" max="787"/>
    <col width="10" customWidth="1" style="51" min="788" max="788"/>
    <col width="9.140625" customWidth="1" style="51" min="789" max="1023"/>
    <col width="9.5703125" customWidth="1" style="51" min="1024" max="1024"/>
    <col width="30.7109375" customWidth="1" style="51" min="1025" max="1025"/>
    <col width="14.7109375" customWidth="1" style="51" min="1026" max="1026"/>
    <col width="8.28515625" customWidth="1" style="51" min="1027" max="1027"/>
    <col width="11.85546875" customWidth="1" style="51" min="1028" max="1028"/>
    <col width="8.28515625" customWidth="1" style="51" min="1029" max="1029"/>
    <col width="17.28515625" customWidth="1" style="51" min="1030" max="1030"/>
    <col width="6.140625" customWidth="1" style="51" min="1031" max="1031"/>
    <col width="15.140625" customWidth="1" style="51" min="1032" max="1032"/>
    <col width="9.140625" customWidth="1" style="51" min="1033" max="1033"/>
    <col width="15" customWidth="1" style="51" min="1034" max="1034"/>
    <col width="6.85546875" customWidth="1" style="51" min="1035" max="1035"/>
    <col width="13.28515625" customWidth="1" style="51" min="1036" max="1036"/>
    <col width="9.42578125" customWidth="1" style="51" min="1037" max="1037"/>
    <col width="11" customWidth="1" style="51" min="1038" max="1038"/>
    <col width="10.140625" customWidth="1" style="51" min="1039" max="1039"/>
    <col width="11.140625" customWidth="1" style="51" min="1040" max="1040"/>
    <col width="7" customWidth="1" style="51" min="1041" max="1041"/>
    <col width="10.85546875" customWidth="1" style="51" min="1042" max="1042"/>
    <col width="5.85546875" customWidth="1" style="51" min="1043" max="1043"/>
    <col width="10" customWidth="1" style="51" min="1044" max="1044"/>
    <col width="9.140625" customWidth="1" style="51" min="1045" max="1279"/>
    <col width="9.5703125" customWidth="1" style="51" min="1280" max="1280"/>
    <col width="30.7109375" customWidth="1" style="51" min="1281" max="1281"/>
    <col width="14.7109375" customWidth="1" style="51" min="1282" max="1282"/>
    <col width="8.28515625" customWidth="1" style="51" min="1283" max="1283"/>
    <col width="11.85546875" customWidth="1" style="51" min="1284" max="1284"/>
    <col width="8.28515625" customWidth="1" style="51" min="1285" max="1285"/>
    <col width="17.28515625" customWidth="1" style="51" min="1286" max="1286"/>
    <col width="6.140625" customWidth="1" style="51" min="1287" max="1287"/>
    <col width="15.140625" customWidth="1" style="51" min="1288" max="1288"/>
    <col width="9.140625" customWidth="1" style="51" min="1289" max="1289"/>
    <col width="15" customWidth="1" style="51" min="1290" max="1290"/>
    <col width="6.85546875" customWidth="1" style="51" min="1291" max="1291"/>
    <col width="13.28515625" customWidth="1" style="51" min="1292" max="1292"/>
    <col width="9.42578125" customWidth="1" style="51" min="1293" max="1293"/>
    <col width="11" customWidth="1" style="51" min="1294" max="1294"/>
    <col width="10.140625" customWidth="1" style="51" min="1295" max="1295"/>
    <col width="11.140625" customWidth="1" style="51" min="1296" max="1296"/>
    <col width="7" customWidth="1" style="51" min="1297" max="1297"/>
    <col width="10.85546875" customWidth="1" style="51" min="1298" max="1298"/>
    <col width="5.85546875" customWidth="1" style="51" min="1299" max="1299"/>
    <col width="10" customWidth="1" style="51" min="1300" max="1300"/>
    <col width="9.140625" customWidth="1" style="51" min="1301" max="1535"/>
    <col width="9.5703125" customWidth="1" style="51" min="1536" max="1536"/>
    <col width="30.7109375" customWidth="1" style="51" min="1537" max="1537"/>
    <col width="14.7109375" customWidth="1" style="51" min="1538" max="1538"/>
    <col width="8.28515625" customWidth="1" style="51" min="1539" max="1539"/>
    <col width="11.85546875" customWidth="1" style="51" min="1540" max="1540"/>
    <col width="8.28515625" customWidth="1" style="51" min="1541" max="1541"/>
    <col width="17.28515625" customWidth="1" style="51" min="1542" max="1542"/>
    <col width="6.140625" customWidth="1" style="51" min="1543" max="1543"/>
    <col width="15.140625" customWidth="1" style="51" min="1544" max="1544"/>
    <col width="9.140625" customWidth="1" style="51" min="1545" max="1545"/>
    <col width="15" customWidth="1" style="51" min="1546" max="1546"/>
    <col width="6.85546875" customWidth="1" style="51" min="1547" max="1547"/>
    <col width="13.28515625" customWidth="1" style="51" min="1548" max="1548"/>
    <col width="9.42578125" customWidth="1" style="51" min="1549" max="1549"/>
    <col width="11" customWidth="1" style="51" min="1550" max="1550"/>
    <col width="10.140625" customWidth="1" style="51" min="1551" max="1551"/>
    <col width="11.140625" customWidth="1" style="51" min="1552" max="1552"/>
    <col width="7" customWidth="1" style="51" min="1553" max="1553"/>
    <col width="10.85546875" customWidth="1" style="51" min="1554" max="1554"/>
    <col width="5.85546875" customWidth="1" style="51" min="1555" max="1555"/>
    <col width="10" customWidth="1" style="51" min="1556" max="1556"/>
    <col width="9.140625" customWidth="1" style="51" min="1557" max="1791"/>
    <col width="9.5703125" customWidth="1" style="51" min="1792" max="1792"/>
    <col width="30.7109375" customWidth="1" style="51" min="1793" max="1793"/>
    <col width="14.7109375" customWidth="1" style="51" min="1794" max="1794"/>
    <col width="8.28515625" customWidth="1" style="51" min="1795" max="1795"/>
    <col width="11.85546875" customWidth="1" style="51" min="1796" max="1796"/>
    <col width="8.28515625" customWidth="1" style="51" min="1797" max="1797"/>
    <col width="17.28515625" customWidth="1" style="51" min="1798" max="1798"/>
    <col width="6.140625" customWidth="1" style="51" min="1799" max="1799"/>
    <col width="15.140625" customWidth="1" style="51" min="1800" max="1800"/>
    <col width="9.140625" customWidth="1" style="51" min="1801" max="1801"/>
    <col width="15" customWidth="1" style="51" min="1802" max="1802"/>
    <col width="6.85546875" customWidth="1" style="51" min="1803" max="1803"/>
    <col width="13.28515625" customWidth="1" style="51" min="1804" max="1804"/>
    <col width="9.42578125" customWidth="1" style="51" min="1805" max="1805"/>
    <col width="11" customWidth="1" style="51" min="1806" max="1806"/>
    <col width="10.140625" customWidth="1" style="51" min="1807" max="1807"/>
    <col width="11.140625" customWidth="1" style="51" min="1808" max="1808"/>
    <col width="7" customWidth="1" style="51" min="1809" max="1809"/>
    <col width="10.85546875" customWidth="1" style="51" min="1810" max="1810"/>
    <col width="5.85546875" customWidth="1" style="51" min="1811" max="1811"/>
    <col width="10" customWidth="1" style="51" min="1812" max="1812"/>
    <col width="9.140625" customWidth="1" style="51" min="1813" max="2047"/>
    <col width="9.5703125" customWidth="1" style="51" min="2048" max="2048"/>
    <col width="30.7109375" customWidth="1" style="51" min="2049" max="2049"/>
    <col width="14.7109375" customWidth="1" style="51" min="2050" max="2050"/>
    <col width="8.28515625" customWidth="1" style="51" min="2051" max="2051"/>
    <col width="11.85546875" customWidth="1" style="51" min="2052" max="2052"/>
    <col width="8.28515625" customWidth="1" style="51" min="2053" max="2053"/>
    <col width="17.28515625" customWidth="1" style="51" min="2054" max="2054"/>
    <col width="6.140625" customWidth="1" style="51" min="2055" max="2055"/>
    <col width="15.140625" customWidth="1" style="51" min="2056" max="2056"/>
    <col width="9.140625" customWidth="1" style="51" min="2057" max="2057"/>
    <col width="15" customWidth="1" style="51" min="2058" max="2058"/>
    <col width="6.85546875" customWidth="1" style="51" min="2059" max="2059"/>
    <col width="13.28515625" customWidth="1" style="51" min="2060" max="2060"/>
    <col width="9.42578125" customWidth="1" style="51" min="2061" max="2061"/>
    <col width="11" customWidth="1" style="51" min="2062" max="2062"/>
    <col width="10.140625" customWidth="1" style="51" min="2063" max="2063"/>
    <col width="11.140625" customWidth="1" style="51" min="2064" max="2064"/>
    <col width="7" customWidth="1" style="51" min="2065" max="2065"/>
    <col width="10.85546875" customWidth="1" style="51" min="2066" max="2066"/>
    <col width="5.85546875" customWidth="1" style="51" min="2067" max="2067"/>
    <col width="10" customWidth="1" style="51" min="2068" max="2068"/>
    <col width="9.140625" customWidth="1" style="51" min="2069" max="2303"/>
    <col width="9.5703125" customWidth="1" style="51" min="2304" max="2304"/>
    <col width="30.7109375" customWidth="1" style="51" min="2305" max="2305"/>
    <col width="14.7109375" customWidth="1" style="51" min="2306" max="2306"/>
    <col width="8.28515625" customWidth="1" style="51" min="2307" max="2307"/>
    <col width="11.85546875" customWidth="1" style="51" min="2308" max="2308"/>
    <col width="8.28515625" customWidth="1" style="51" min="2309" max="2309"/>
    <col width="17.28515625" customWidth="1" style="51" min="2310" max="2310"/>
    <col width="6.140625" customWidth="1" style="51" min="2311" max="2311"/>
    <col width="15.140625" customWidth="1" style="51" min="2312" max="2312"/>
    <col width="9.140625" customWidth="1" style="51" min="2313" max="2313"/>
    <col width="15" customWidth="1" style="51" min="2314" max="2314"/>
    <col width="6.85546875" customWidth="1" style="51" min="2315" max="2315"/>
    <col width="13.28515625" customWidth="1" style="51" min="2316" max="2316"/>
    <col width="9.42578125" customWidth="1" style="51" min="2317" max="2317"/>
    <col width="11" customWidth="1" style="51" min="2318" max="2318"/>
    <col width="10.140625" customWidth="1" style="51" min="2319" max="2319"/>
    <col width="11.140625" customWidth="1" style="51" min="2320" max="2320"/>
    <col width="7" customWidth="1" style="51" min="2321" max="2321"/>
    <col width="10.85546875" customWidth="1" style="51" min="2322" max="2322"/>
    <col width="5.85546875" customWidth="1" style="51" min="2323" max="2323"/>
    <col width="10" customWidth="1" style="51" min="2324" max="2324"/>
    <col width="9.140625" customWidth="1" style="51" min="2325" max="2559"/>
    <col width="9.5703125" customWidth="1" style="51" min="2560" max="2560"/>
    <col width="30.7109375" customWidth="1" style="51" min="2561" max="2561"/>
    <col width="14.7109375" customWidth="1" style="51" min="2562" max="2562"/>
    <col width="8.28515625" customWidth="1" style="51" min="2563" max="2563"/>
    <col width="11.85546875" customWidth="1" style="51" min="2564" max="2564"/>
    <col width="8.28515625" customWidth="1" style="51" min="2565" max="2565"/>
    <col width="17.28515625" customWidth="1" style="51" min="2566" max="2566"/>
    <col width="6.140625" customWidth="1" style="51" min="2567" max="2567"/>
    <col width="15.140625" customWidth="1" style="51" min="2568" max="2568"/>
    <col width="9.140625" customWidth="1" style="51" min="2569" max="2569"/>
    <col width="15" customWidth="1" style="51" min="2570" max="2570"/>
    <col width="6.85546875" customWidth="1" style="51" min="2571" max="2571"/>
    <col width="13.28515625" customWidth="1" style="51" min="2572" max="2572"/>
    <col width="9.42578125" customWidth="1" style="51" min="2573" max="2573"/>
    <col width="11" customWidth="1" style="51" min="2574" max="2574"/>
    <col width="10.140625" customWidth="1" style="51" min="2575" max="2575"/>
    <col width="11.140625" customWidth="1" style="51" min="2576" max="2576"/>
    <col width="7" customWidth="1" style="51" min="2577" max="2577"/>
    <col width="10.85546875" customWidth="1" style="51" min="2578" max="2578"/>
    <col width="5.85546875" customWidth="1" style="51" min="2579" max="2579"/>
    <col width="10" customWidth="1" style="51" min="2580" max="2580"/>
    <col width="9.140625" customWidth="1" style="51" min="2581" max="2815"/>
    <col width="9.5703125" customWidth="1" style="51" min="2816" max="2816"/>
    <col width="30.7109375" customWidth="1" style="51" min="2817" max="2817"/>
    <col width="14.7109375" customWidth="1" style="51" min="2818" max="2818"/>
    <col width="8.28515625" customWidth="1" style="51" min="2819" max="2819"/>
    <col width="11.85546875" customWidth="1" style="51" min="2820" max="2820"/>
    <col width="8.28515625" customWidth="1" style="51" min="2821" max="2821"/>
    <col width="17.28515625" customWidth="1" style="51" min="2822" max="2822"/>
    <col width="6.140625" customWidth="1" style="51" min="2823" max="2823"/>
    <col width="15.140625" customWidth="1" style="51" min="2824" max="2824"/>
    <col width="9.140625" customWidth="1" style="51" min="2825" max="2825"/>
    <col width="15" customWidth="1" style="51" min="2826" max="2826"/>
    <col width="6.85546875" customWidth="1" style="51" min="2827" max="2827"/>
    <col width="13.28515625" customWidth="1" style="51" min="2828" max="2828"/>
    <col width="9.42578125" customWidth="1" style="51" min="2829" max="2829"/>
    <col width="11" customWidth="1" style="51" min="2830" max="2830"/>
    <col width="10.140625" customWidth="1" style="51" min="2831" max="2831"/>
    <col width="11.140625" customWidth="1" style="51" min="2832" max="2832"/>
    <col width="7" customWidth="1" style="51" min="2833" max="2833"/>
    <col width="10.85546875" customWidth="1" style="51" min="2834" max="2834"/>
    <col width="5.85546875" customWidth="1" style="51" min="2835" max="2835"/>
    <col width="10" customWidth="1" style="51" min="2836" max="2836"/>
    <col width="9.140625" customWidth="1" style="51" min="2837" max="3071"/>
    <col width="9.5703125" customWidth="1" style="51" min="3072" max="3072"/>
    <col width="30.7109375" customWidth="1" style="51" min="3073" max="3073"/>
    <col width="14.7109375" customWidth="1" style="51" min="3074" max="3074"/>
    <col width="8.28515625" customWidth="1" style="51" min="3075" max="3075"/>
    <col width="11.85546875" customWidth="1" style="51" min="3076" max="3076"/>
    <col width="8.28515625" customWidth="1" style="51" min="3077" max="3077"/>
    <col width="17.28515625" customWidth="1" style="51" min="3078" max="3078"/>
    <col width="6.140625" customWidth="1" style="51" min="3079" max="3079"/>
    <col width="15.140625" customWidth="1" style="51" min="3080" max="3080"/>
    <col width="9.140625" customWidth="1" style="51" min="3081" max="3081"/>
    <col width="15" customWidth="1" style="51" min="3082" max="3082"/>
    <col width="6.85546875" customWidth="1" style="51" min="3083" max="3083"/>
    <col width="13.28515625" customWidth="1" style="51" min="3084" max="3084"/>
    <col width="9.42578125" customWidth="1" style="51" min="3085" max="3085"/>
    <col width="11" customWidth="1" style="51" min="3086" max="3086"/>
    <col width="10.140625" customWidth="1" style="51" min="3087" max="3087"/>
    <col width="11.140625" customWidth="1" style="51" min="3088" max="3088"/>
    <col width="7" customWidth="1" style="51" min="3089" max="3089"/>
    <col width="10.85546875" customWidth="1" style="51" min="3090" max="3090"/>
    <col width="5.85546875" customWidth="1" style="51" min="3091" max="3091"/>
    <col width="10" customWidth="1" style="51" min="3092" max="3092"/>
    <col width="9.140625" customWidth="1" style="51" min="3093" max="3327"/>
    <col width="9.5703125" customWidth="1" style="51" min="3328" max="3328"/>
    <col width="30.7109375" customWidth="1" style="51" min="3329" max="3329"/>
    <col width="14.7109375" customWidth="1" style="51" min="3330" max="3330"/>
    <col width="8.28515625" customWidth="1" style="51" min="3331" max="3331"/>
    <col width="11.85546875" customWidth="1" style="51" min="3332" max="3332"/>
    <col width="8.28515625" customWidth="1" style="51" min="3333" max="3333"/>
    <col width="17.28515625" customWidth="1" style="51" min="3334" max="3334"/>
    <col width="6.140625" customWidth="1" style="51" min="3335" max="3335"/>
    <col width="15.140625" customWidth="1" style="51" min="3336" max="3336"/>
    <col width="9.140625" customWidth="1" style="51" min="3337" max="3337"/>
    <col width="15" customWidth="1" style="51" min="3338" max="3338"/>
    <col width="6.85546875" customWidth="1" style="51" min="3339" max="3339"/>
    <col width="13.28515625" customWidth="1" style="51" min="3340" max="3340"/>
    <col width="9.42578125" customWidth="1" style="51" min="3341" max="3341"/>
    <col width="11" customWidth="1" style="51" min="3342" max="3342"/>
    <col width="10.140625" customWidth="1" style="51" min="3343" max="3343"/>
    <col width="11.140625" customWidth="1" style="51" min="3344" max="3344"/>
    <col width="7" customWidth="1" style="51" min="3345" max="3345"/>
    <col width="10.85546875" customWidth="1" style="51" min="3346" max="3346"/>
    <col width="5.85546875" customWidth="1" style="51" min="3347" max="3347"/>
    <col width="10" customWidth="1" style="51" min="3348" max="3348"/>
    <col width="9.140625" customWidth="1" style="51" min="3349" max="3583"/>
    <col width="9.5703125" customWidth="1" style="51" min="3584" max="3584"/>
    <col width="30.7109375" customWidth="1" style="51" min="3585" max="3585"/>
    <col width="14.7109375" customWidth="1" style="51" min="3586" max="3586"/>
    <col width="8.28515625" customWidth="1" style="51" min="3587" max="3587"/>
    <col width="11.85546875" customWidth="1" style="51" min="3588" max="3588"/>
    <col width="8.28515625" customWidth="1" style="51" min="3589" max="3589"/>
    <col width="17.28515625" customWidth="1" style="51" min="3590" max="3590"/>
    <col width="6.140625" customWidth="1" style="51" min="3591" max="3591"/>
    <col width="15.140625" customWidth="1" style="51" min="3592" max="3592"/>
    <col width="9.140625" customWidth="1" style="51" min="3593" max="3593"/>
    <col width="15" customWidth="1" style="51" min="3594" max="3594"/>
    <col width="6.85546875" customWidth="1" style="51" min="3595" max="3595"/>
    <col width="13.28515625" customWidth="1" style="51" min="3596" max="3596"/>
    <col width="9.42578125" customWidth="1" style="51" min="3597" max="3597"/>
    <col width="11" customWidth="1" style="51" min="3598" max="3598"/>
    <col width="10.140625" customWidth="1" style="51" min="3599" max="3599"/>
    <col width="11.140625" customWidth="1" style="51" min="3600" max="3600"/>
    <col width="7" customWidth="1" style="51" min="3601" max="3601"/>
    <col width="10.85546875" customWidth="1" style="51" min="3602" max="3602"/>
    <col width="5.85546875" customWidth="1" style="51" min="3603" max="3603"/>
    <col width="10" customWidth="1" style="51" min="3604" max="3604"/>
    <col width="9.140625" customWidth="1" style="51" min="3605" max="3839"/>
    <col width="9.5703125" customWidth="1" style="51" min="3840" max="3840"/>
    <col width="30.7109375" customWidth="1" style="51" min="3841" max="3841"/>
    <col width="14.7109375" customWidth="1" style="51" min="3842" max="3842"/>
    <col width="8.28515625" customWidth="1" style="51" min="3843" max="3843"/>
    <col width="11.85546875" customWidth="1" style="51" min="3844" max="3844"/>
    <col width="8.28515625" customWidth="1" style="51" min="3845" max="3845"/>
    <col width="17.28515625" customWidth="1" style="51" min="3846" max="3846"/>
    <col width="6.140625" customWidth="1" style="51" min="3847" max="3847"/>
    <col width="15.140625" customWidth="1" style="51" min="3848" max="3848"/>
    <col width="9.140625" customWidth="1" style="51" min="3849" max="3849"/>
    <col width="15" customWidth="1" style="51" min="3850" max="3850"/>
    <col width="6.85546875" customWidth="1" style="51" min="3851" max="3851"/>
    <col width="13.28515625" customWidth="1" style="51" min="3852" max="3852"/>
    <col width="9.42578125" customWidth="1" style="51" min="3853" max="3853"/>
    <col width="11" customWidth="1" style="51" min="3854" max="3854"/>
    <col width="10.140625" customWidth="1" style="51" min="3855" max="3855"/>
    <col width="11.140625" customWidth="1" style="51" min="3856" max="3856"/>
    <col width="7" customWidth="1" style="51" min="3857" max="3857"/>
    <col width="10.85546875" customWidth="1" style="51" min="3858" max="3858"/>
    <col width="5.85546875" customWidth="1" style="51" min="3859" max="3859"/>
    <col width="10" customWidth="1" style="51" min="3860" max="3860"/>
    <col width="9.140625" customWidth="1" style="51" min="3861" max="4095"/>
    <col width="9.5703125" customWidth="1" style="51" min="4096" max="4096"/>
    <col width="30.7109375" customWidth="1" style="51" min="4097" max="4097"/>
    <col width="14.7109375" customWidth="1" style="51" min="4098" max="4098"/>
    <col width="8.28515625" customWidth="1" style="51" min="4099" max="4099"/>
    <col width="11.85546875" customWidth="1" style="51" min="4100" max="4100"/>
    <col width="8.28515625" customWidth="1" style="51" min="4101" max="4101"/>
    <col width="17.28515625" customWidth="1" style="51" min="4102" max="4102"/>
    <col width="6.140625" customWidth="1" style="51" min="4103" max="4103"/>
    <col width="15.140625" customWidth="1" style="51" min="4104" max="4104"/>
    <col width="9.140625" customWidth="1" style="51" min="4105" max="4105"/>
    <col width="15" customWidth="1" style="51" min="4106" max="4106"/>
    <col width="6.85546875" customWidth="1" style="51" min="4107" max="4107"/>
    <col width="13.28515625" customWidth="1" style="51" min="4108" max="4108"/>
    <col width="9.42578125" customWidth="1" style="51" min="4109" max="4109"/>
    <col width="11" customWidth="1" style="51" min="4110" max="4110"/>
    <col width="10.140625" customWidth="1" style="51" min="4111" max="4111"/>
    <col width="11.140625" customWidth="1" style="51" min="4112" max="4112"/>
    <col width="7" customWidth="1" style="51" min="4113" max="4113"/>
    <col width="10.85546875" customWidth="1" style="51" min="4114" max="4114"/>
    <col width="5.85546875" customWidth="1" style="51" min="4115" max="4115"/>
    <col width="10" customWidth="1" style="51" min="4116" max="4116"/>
    <col width="9.140625" customWidth="1" style="51" min="4117" max="4351"/>
    <col width="9.5703125" customWidth="1" style="51" min="4352" max="4352"/>
    <col width="30.7109375" customWidth="1" style="51" min="4353" max="4353"/>
    <col width="14.7109375" customWidth="1" style="51" min="4354" max="4354"/>
    <col width="8.28515625" customWidth="1" style="51" min="4355" max="4355"/>
    <col width="11.85546875" customWidth="1" style="51" min="4356" max="4356"/>
    <col width="8.28515625" customWidth="1" style="51" min="4357" max="4357"/>
    <col width="17.28515625" customWidth="1" style="51" min="4358" max="4358"/>
    <col width="6.140625" customWidth="1" style="51" min="4359" max="4359"/>
    <col width="15.140625" customWidth="1" style="51" min="4360" max="4360"/>
    <col width="9.140625" customWidth="1" style="51" min="4361" max="4361"/>
    <col width="15" customWidth="1" style="51" min="4362" max="4362"/>
    <col width="6.85546875" customWidth="1" style="51" min="4363" max="4363"/>
    <col width="13.28515625" customWidth="1" style="51" min="4364" max="4364"/>
    <col width="9.42578125" customWidth="1" style="51" min="4365" max="4365"/>
    <col width="11" customWidth="1" style="51" min="4366" max="4366"/>
    <col width="10.140625" customWidth="1" style="51" min="4367" max="4367"/>
    <col width="11.140625" customWidth="1" style="51" min="4368" max="4368"/>
    <col width="7" customWidth="1" style="51" min="4369" max="4369"/>
    <col width="10.85546875" customWidth="1" style="51" min="4370" max="4370"/>
    <col width="5.85546875" customWidth="1" style="51" min="4371" max="4371"/>
    <col width="10" customWidth="1" style="51" min="4372" max="4372"/>
    <col width="9.140625" customWidth="1" style="51" min="4373" max="4607"/>
    <col width="9.5703125" customWidth="1" style="51" min="4608" max="4608"/>
    <col width="30.7109375" customWidth="1" style="51" min="4609" max="4609"/>
    <col width="14.7109375" customWidth="1" style="51" min="4610" max="4610"/>
    <col width="8.28515625" customWidth="1" style="51" min="4611" max="4611"/>
    <col width="11.85546875" customWidth="1" style="51" min="4612" max="4612"/>
    <col width="8.28515625" customWidth="1" style="51" min="4613" max="4613"/>
    <col width="17.28515625" customWidth="1" style="51" min="4614" max="4614"/>
    <col width="6.140625" customWidth="1" style="51" min="4615" max="4615"/>
    <col width="15.140625" customWidth="1" style="51" min="4616" max="4616"/>
    <col width="9.140625" customWidth="1" style="51" min="4617" max="4617"/>
    <col width="15" customWidth="1" style="51" min="4618" max="4618"/>
    <col width="6.85546875" customWidth="1" style="51" min="4619" max="4619"/>
    <col width="13.28515625" customWidth="1" style="51" min="4620" max="4620"/>
    <col width="9.42578125" customWidth="1" style="51" min="4621" max="4621"/>
    <col width="11" customWidth="1" style="51" min="4622" max="4622"/>
    <col width="10.140625" customWidth="1" style="51" min="4623" max="4623"/>
    <col width="11.140625" customWidth="1" style="51" min="4624" max="4624"/>
    <col width="7" customWidth="1" style="51" min="4625" max="4625"/>
    <col width="10.85546875" customWidth="1" style="51" min="4626" max="4626"/>
    <col width="5.85546875" customWidth="1" style="51" min="4627" max="4627"/>
    <col width="10" customWidth="1" style="51" min="4628" max="4628"/>
    <col width="9.140625" customWidth="1" style="51" min="4629" max="4863"/>
    <col width="9.5703125" customWidth="1" style="51" min="4864" max="4864"/>
    <col width="30.7109375" customWidth="1" style="51" min="4865" max="4865"/>
    <col width="14.7109375" customWidth="1" style="51" min="4866" max="4866"/>
    <col width="8.28515625" customWidth="1" style="51" min="4867" max="4867"/>
    <col width="11.85546875" customWidth="1" style="51" min="4868" max="4868"/>
    <col width="8.28515625" customWidth="1" style="51" min="4869" max="4869"/>
    <col width="17.28515625" customWidth="1" style="51" min="4870" max="4870"/>
    <col width="6.140625" customWidth="1" style="51" min="4871" max="4871"/>
    <col width="15.140625" customWidth="1" style="51" min="4872" max="4872"/>
    <col width="9.140625" customWidth="1" style="51" min="4873" max="4873"/>
    <col width="15" customWidth="1" style="51" min="4874" max="4874"/>
    <col width="6.85546875" customWidth="1" style="51" min="4875" max="4875"/>
    <col width="13.28515625" customWidth="1" style="51" min="4876" max="4876"/>
    <col width="9.42578125" customWidth="1" style="51" min="4877" max="4877"/>
    <col width="11" customWidth="1" style="51" min="4878" max="4878"/>
    <col width="10.140625" customWidth="1" style="51" min="4879" max="4879"/>
    <col width="11.140625" customWidth="1" style="51" min="4880" max="4880"/>
    <col width="7" customWidth="1" style="51" min="4881" max="4881"/>
    <col width="10.85546875" customWidth="1" style="51" min="4882" max="4882"/>
    <col width="5.85546875" customWidth="1" style="51" min="4883" max="4883"/>
    <col width="10" customWidth="1" style="51" min="4884" max="4884"/>
    <col width="9.140625" customWidth="1" style="51" min="4885" max="5119"/>
    <col width="9.5703125" customWidth="1" style="51" min="5120" max="5120"/>
    <col width="30.7109375" customWidth="1" style="51" min="5121" max="5121"/>
    <col width="14.7109375" customWidth="1" style="51" min="5122" max="5122"/>
    <col width="8.28515625" customWidth="1" style="51" min="5123" max="5123"/>
    <col width="11.85546875" customWidth="1" style="51" min="5124" max="5124"/>
    <col width="8.28515625" customWidth="1" style="51" min="5125" max="5125"/>
    <col width="17.28515625" customWidth="1" style="51" min="5126" max="5126"/>
    <col width="6.140625" customWidth="1" style="51" min="5127" max="5127"/>
    <col width="15.140625" customWidth="1" style="51" min="5128" max="5128"/>
    <col width="9.140625" customWidth="1" style="51" min="5129" max="5129"/>
    <col width="15" customWidth="1" style="51" min="5130" max="5130"/>
    <col width="6.85546875" customWidth="1" style="51" min="5131" max="5131"/>
    <col width="13.28515625" customWidth="1" style="51" min="5132" max="5132"/>
    <col width="9.42578125" customWidth="1" style="51" min="5133" max="5133"/>
    <col width="11" customWidth="1" style="51" min="5134" max="5134"/>
    <col width="10.140625" customWidth="1" style="51" min="5135" max="5135"/>
    <col width="11.140625" customWidth="1" style="51" min="5136" max="5136"/>
    <col width="7" customWidth="1" style="51" min="5137" max="5137"/>
    <col width="10.85546875" customWidth="1" style="51" min="5138" max="5138"/>
    <col width="5.85546875" customWidth="1" style="51" min="5139" max="5139"/>
    <col width="10" customWidth="1" style="51" min="5140" max="5140"/>
    <col width="9.140625" customWidth="1" style="51" min="5141" max="5375"/>
    <col width="9.5703125" customWidth="1" style="51" min="5376" max="5376"/>
    <col width="30.7109375" customWidth="1" style="51" min="5377" max="5377"/>
    <col width="14.7109375" customWidth="1" style="51" min="5378" max="5378"/>
    <col width="8.28515625" customWidth="1" style="51" min="5379" max="5379"/>
    <col width="11.85546875" customWidth="1" style="51" min="5380" max="5380"/>
    <col width="8.28515625" customWidth="1" style="51" min="5381" max="5381"/>
    <col width="17.28515625" customWidth="1" style="51" min="5382" max="5382"/>
    <col width="6.140625" customWidth="1" style="51" min="5383" max="5383"/>
    <col width="15.140625" customWidth="1" style="51" min="5384" max="5384"/>
    <col width="9.140625" customWidth="1" style="51" min="5385" max="5385"/>
    <col width="15" customWidth="1" style="51" min="5386" max="5386"/>
    <col width="6.85546875" customWidth="1" style="51" min="5387" max="5387"/>
    <col width="13.28515625" customWidth="1" style="51" min="5388" max="5388"/>
    <col width="9.42578125" customWidth="1" style="51" min="5389" max="5389"/>
    <col width="11" customWidth="1" style="51" min="5390" max="5390"/>
    <col width="10.140625" customWidth="1" style="51" min="5391" max="5391"/>
    <col width="11.140625" customWidth="1" style="51" min="5392" max="5392"/>
    <col width="7" customWidth="1" style="51" min="5393" max="5393"/>
    <col width="10.85546875" customWidth="1" style="51" min="5394" max="5394"/>
    <col width="5.85546875" customWidth="1" style="51" min="5395" max="5395"/>
    <col width="10" customWidth="1" style="51" min="5396" max="5396"/>
    <col width="9.140625" customWidth="1" style="51" min="5397" max="5631"/>
    <col width="9.5703125" customWidth="1" style="51" min="5632" max="5632"/>
    <col width="30.7109375" customWidth="1" style="51" min="5633" max="5633"/>
    <col width="14.7109375" customWidth="1" style="51" min="5634" max="5634"/>
    <col width="8.28515625" customWidth="1" style="51" min="5635" max="5635"/>
    <col width="11.85546875" customWidth="1" style="51" min="5636" max="5636"/>
    <col width="8.28515625" customWidth="1" style="51" min="5637" max="5637"/>
    <col width="17.28515625" customWidth="1" style="51" min="5638" max="5638"/>
    <col width="6.140625" customWidth="1" style="51" min="5639" max="5639"/>
    <col width="15.140625" customWidth="1" style="51" min="5640" max="5640"/>
    <col width="9.140625" customWidth="1" style="51" min="5641" max="5641"/>
    <col width="15" customWidth="1" style="51" min="5642" max="5642"/>
    <col width="6.85546875" customWidth="1" style="51" min="5643" max="5643"/>
    <col width="13.28515625" customWidth="1" style="51" min="5644" max="5644"/>
    <col width="9.42578125" customWidth="1" style="51" min="5645" max="5645"/>
    <col width="11" customWidth="1" style="51" min="5646" max="5646"/>
    <col width="10.140625" customWidth="1" style="51" min="5647" max="5647"/>
    <col width="11.140625" customWidth="1" style="51" min="5648" max="5648"/>
    <col width="7" customWidth="1" style="51" min="5649" max="5649"/>
    <col width="10.85546875" customWidth="1" style="51" min="5650" max="5650"/>
    <col width="5.85546875" customWidth="1" style="51" min="5651" max="5651"/>
    <col width="10" customWidth="1" style="51" min="5652" max="5652"/>
    <col width="9.140625" customWidth="1" style="51" min="5653" max="5887"/>
    <col width="9.5703125" customWidth="1" style="51" min="5888" max="5888"/>
    <col width="30.7109375" customWidth="1" style="51" min="5889" max="5889"/>
    <col width="14.7109375" customWidth="1" style="51" min="5890" max="5890"/>
    <col width="8.28515625" customWidth="1" style="51" min="5891" max="5891"/>
    <col width="11.85546875" customWidth="1" style="51" min="5892" max="5892"/>
    <col width="8.28515625" customWidth="1" style="51" min="5893" max="5893"/>
    <col width="17.28515625" customWidth="1" style="51" min="5894" max="5894"/>
    <col width="6.140625" customWidth="1" style="51" min="5895" max="5895"/>
    <col width="15.140625" customWidth="1" style="51" min="5896" max="5896"/>
    <col width="9.140625" customWidth="1" style="51" min="5897" max="5897"/>
    <col width="15" customWidth="1" style="51" min="5898" max="5898"/>
    <col width="6.85546875" customWidth="1" style="51" min="5899" max="5899"/>
    <col width="13.28515625" customWidth="1" style="51" min="5900" max="5900"/>
    <col width="9.42578125" customWidth="1" style="51" min="5901" max="5901"/>
    <col width="11" customWidth="1" style="51" min="5902" max="5902"/>
    <col width="10.140625" customWidth="1" style="51" min="5903" max="5903"/>
    <col width="11.140625" customWidth="1" style="51" min="5904" max="5904"/>
    <col width="7" customWidth="1" style="51" min="5905" max="5905"/>
    <col width="10.85546875" customWidth="1" style="51" min="5906" max="5906"/>
    <col width="5.85546875" customWidth="1" style="51" min="5907" max="5907"/>
    <col width="10" customWidth="1" style="51" min="5908" max="5908"/>
    <col width="9.140625" customWidth="1" style="51" min="5909" max="6143"/>
    <col width="9.5703125" customWidth="1" style="51" min="6144" max="6144"/>
    <col width="30.7109375" customWidth="1" style="51" min="6145" max="6145"/>
    <col width="14.7109375" customWidth="1" style="51" min="6146" max="6146"/>
    <col width="8.28515625" customWidth="1" style="51" min="6147" max="6147"/>
    <col width="11.85546875" customWidth="1" style="51" min="6148" max="6148"/>
    <col width="8.28515625" customWidth="1" style="51" min="6149" max="6149"/>
    <col width="17.28515625" customWidth="1" style="51" min="6150" max="6150"/>
    <col width="6.140625" customWidth="1" style="51" min="6151" max="6151"/>
    <col width="15.140625" customWidth="1" style="51" min="6152" max="6152"/>
    <col width="9.140625" customWidth="1" style="51" min="6153" max="6153"/>
    <col width="15" customWidth="1" style="51" min="6154" max="6154"/>
    <col width="6.85546875" customWidth="1" style="51" min="6155" max="6155"/>
    <col width="13.28515625" customWidth="1" style="51" min="6156" max="6156"/>
    <col width="9.42578125" customWidth="1" style="51" min="6157" max="6157"/>
    <col width="11" customWidth="1" style="51" min="6158" max="6158"/>
    <col width="10.140625" customWidth="1" style="51" min="6159" max="6159"/>
    <col width="11.140625" customWidth="1" style="51" min="6160" max="6160"/>
    <col width="7" customWidth="1" style="51" min="6161" max="6161"/>
    <col width="10.85546875" customWidth="1" style="51" min="6162" max="6162"/>
    <col width="5.85546875" customWidth="1" style="51" min="6163" max="6163"/>
    <col width="10" customWidth="1" style="51" min="6164" max="6164"/>
    <col width="9.140625" customWidth="1" style="51" min="6165" max="6399"/>
    <col width="9.5703125" customWidth="1" style="51" min="6400" max="6400"/>
    <col width="30.7109375" customWidth="1" style="51" min="6401" max="6401"/>
    <col width="14.7109375" customWidth="1" style="51" min="6402" max="6402"/>
    <col width="8.28515625" customWidth="1" style="51" min="6403" max="6403"/>
    <col width="11.85546875" customWidth="1" style="51" min="6404" max="6404"/>
    <col width="8.28515625" customWidth="1" style="51" min="6405" max="6405"/>
    <col width="17.28515625" customWidth="1" style="51" min="6406" max="6406"/>
    <col width="6.140625" customWidth="1" style="51" min="6407" max="6407"/>
    <col width="15.140625" customWidth="1" style="51" min="6408" max="6408"/>
    <col width="9.140625" customWidth="1" style="51" min="6409" max="6409"/>
    <col width="15" customWidth="1" style="51" min="6410" max="6410"/>
    <col width="6.85546875" customWidth="1" style="51" min="6411" max="6411"/>
    <col width="13.28515625" customWidth="1" style="51" min="6412" max="6412"/>
    <col width="9.42578125" customWidth="1" style="51" min="6413" max="6413"/>
    <col width="11" customWidth="1" style="51" min="6414" max="6414"/>
    <col width="10.140625" customWidth="1" style="51" min="6415" max="6415"/>
    <col width="11.140625" customWidth="1" style="51" min="6416" max="6416"/>
    <col width="7" customWidth="1" style="51" min="6417" max="6417"/>
    <col width="10.85546875" customWidth="1" style="51" min="6418" max="6418"/>
    <col width="5.85546875" customWidth="1" style="51" min="6419" max="6419"/>
    <col width="10" customWidth="1" style="51" min="6420" max="6420"/>
    <col width="9.140625" customWidth="1" style="51" min="6421" max="6655"/>
    <col width="9.5703125" customWidth="1" style="51" min="6656" max="6656"/>
    <col width="30.7109375" customWidth="1" style="51" min="6657" max="6657"/>
    <col width="14.7109375" customWidth="1" style="51" min="6658" max="6658"/>
    <col width="8.28515625" customWidth="1" style="51" min="6659" max="6659"/>
    <col width="11.85546875" customWidth="1" style="51" min="6660" max="6660"/>
    <col width="8.28515625" customWidth="1" style="51" min="6661" max="6661"/>
    <col width="17.28515625" customWidth="1" style="51" min="6662" max="6662"/>
    <col width="6.140625" customWidth="1" style="51" min="6663" max="6663"/>
    <col width="15.140625" customWidth="1" style="51" min="6664" max="6664"/>
    <col width="9.140625" customWidth="1" style="51" min="6665" max="6665"/>
    <col width="15" customWidth="1" style="51" min="6666" max="6666"/>
    <col width="6.85546875" customWidth="1" style="51" min="6667" max="6667"/>
    <col width="13.28515625" customWidth="1" style="51" min="6668" max="6668"/>
    <col width="9.42578125" customWidth="1" style="51" min="6669" max="6669"/>
    <col width="11" customWidth="1" style="51" min="6670" max="6670"/>
    <col width="10.140625" customWidth="1" style="51" min="6671" max="6671"/>
    <col width="11.140625" customWidth="1" style="51" min="6672" max="6672"/>
    <col width="7" customWidth="1" style="51" min="6673" max="6673"/>
    <col width="10.85546875" customWidth="1" style="51" min="6674" max="6674"/>
    <col width="5.85546875" customWidth="1" style="51" min="6675" max="6675"/>
    <col width="10" customWidth="1" style="51" min="6676" max="6676"/>
    <col width="9.140625" customWidth="1" style="51" min="6677" max="6911"/>
    <col width="9.5703125" customWidth="1" style="51" min="6912" max="6912"/>
    <col width="30.7109375" customWidth="1" style="51" min="6913" max="6913"/>
    <col width="14.7109375" customWidth="1" style="51" min="6914" max="6914"/>
    <col width="8.28515625" customWidth="1" style="51" min="6915" max="6915"/>
    <col width="11.85546875" customWidth="1" style="51" min="6916" max="6916"/>
    <col width="8.28515625" customWidth="1" style="51" min="6917" max="6917"/>
    <col width="17.28515625" customWidth="1" style="51" min="6918" max="6918"/>
    <col width="6.140625" customWidth="1" style="51" min="6919" max="6919"/>
    <col width="15.140625" customWidth="1" style="51" min="6920" max="6920"/>
    <col width="9.140625" customWidth="1" style="51" min="6921" max="6921"/>
    <col width="15" customWidth="1" style="51" min="6922" max="6922"/>
    <col width="6.85546875" customWidth="1" style="51" min="6923" max="6923"/>
    <col width="13.28515625" customWidth="1" style="51" min="6924" max="6924"/>
    <col width="9.42578125" customWidth="1" style="51" min="6925" max="6925"/>
    <col width="11" customWidth="1" style="51" min="6926" max="6926"/>
    <col width="10.140625" customWidth="1" style="51" min="6927" max="6927"/>
    <col width="11.140625" customWidth="1" style="51" min="6928" max="6928"/>
    <col width="7" customWidth="1" style="51" min="6929" max="6929"/>
    <col width="10.85546875" customWidth="1" style="51" min="6930" max="6930"/>
    <col width="5.85546875" customWidth="1" style="51" min="6931" max="6931"/>
    <col width="10" customWidth="1" style="51" min="6932" max="6932"/>
    <col width="9.140625" customWidth="1" style="51" min="6933" max="7167"/>
    <col width="9.5703125" customWidth="1" style="51" min="7168" max="7168"/>
    <col width="30.7109375" customWidth="1" style="51" min="7169" max="7169"/>
    <col width="14.7109375" customWidth="1" style="51" min="7170" max="7170"/>
    <col width="8.28515625" customWidth="1" style="51" min="7171" max="7171"/>
    <col width="11.85546875" customWidth="1" style="51" min="7172" max="7172"/>
    <col width="8.28515625" customWidth="1" style="51" min="7173" max="7173"/>
    <col width="17.28515625" customWidth="1" style="51" min="7174" max="7174"/>
    <col width="6.140625" customWidth="1" style="51" min="7175" max="7175"/>
    <col width="15.140625" customWidth="1" style="51" min="7176" max="7176"/>
    <col width="9.140625" customWidth="1" style="51" min="7177" max="7177"/>
    <col width="15" customWidth="1" style="51" min="7178" max="7178"/>
    <col width="6.85546875" customWidth="1" style="51" min="7179" max="7179"/>
    <col width="13.28515625" customWidth="1" style="51" min="7180" max="7180"/>
    <col width="9.42578125" customWidth="1" style="51" min="7181" max="7181"/>
    <col width="11" customWidth="1" style="51" min="7182" max="7182"/>
    <col width="10.140625" customWidth="1" style="51" min="7183" max="7183"/>
    <col width="11.140625" customWidth="1" style="51" min="7184" max="7184"/>
    <col width="7" customWidth="1" style="51" min="7185" max="7185"/>
    <col width="10.85546875" customWidth="1" style="51" min="7186" max="7186"/>
    <col width="5.85546875" customWidth="1" style="51" min="7187" max="7187"/>
    <col width="10" customWidth="1" style="51" min="7188" max="7188"/>
    <col width="9.140625" customWidth="1" style="51" min="7189" max="7423"/>
    <col width="9.5703125" customWidth="1" style="51" min="7424" max="7424"/>
    <col width="30.7109375" customWidth="1" style="51" min="7425" max="7425"/>
    <col width="14.7109375" customWidth="1" style="51" min="7426" max="7426"/>
    <col width="8.28515625" customWidth="1" style="51" min="7427" max="7427"/>
    <col width="11.85546875" customWidth="1" style="51" min="7428" max="7428"/>
    <col width="8.28515625" customWidth="1" style="51" min="7429" max="7429"/>
    <col width="17.28515625" customWidth="1" style="51" min="7430" max="7430"/>
    <col width="6.140625" customWidth="1" style="51" min="7431" max="7431"/>
    <col width="15.140625" customWidth="1" style="51" min="7432" max="7432"/>
    <col width="9.140625" customWidth="1" style="51" min="7433" max="7433"/>
    <col width="15" customWidth="1" style="51" min="7434" max="7434"/>
    <col width="6.85546875" customWidth="1" style="51" min="7435" max="7435"/>
    <col width="13.28515625" customWidth="1" style="51" min="7436" max="7436"/>
    <col width="9.42578125" customWidth="1" style="51" min="7437" max="7437"/>
    <col width="11" customWidth="1" style="51" min="7438" max="7438"/>
    <col width="10.140625" customWidth="1" style="51" min="7439" max="7439"/>
    <col width="11.140625" customWidth="1" style="51" min="7440" max="7440"/>
    <col width="7" customWidth="1" style="51" min="7441" max="7441"/>
    <col width="10.85546875" customWidth="1" style="51" min="7442" max="7442"/>
    <col width="5.85546875" customWidth="1" style="51" min="7443" max="7443"/>
    <col width="10" customWidth="1" style="51" min="7444" max="7444"/>
    <col width="9.140625" customWidth="1" style="51" min="7445" max="7679"/>
    <col width="9.5703125" customWidth="1" style="51" min="7680" max="7680"/>
    <col width="30.7109375" customWidth="1" style="51" min="7681" max="7681"/>
    <col width="14.7109375" customWidth="1" style="51" min="7682" max="7682"/>
    <col width="8.28515625" customWidth="1" style="51" min="7683" max="7683"/>
    <col width="11.85546875" customWidth="1" style="51" min="7684" max="7684"/>
    <col width="8.28515625" customWidth="1" style="51" min="7685" max="7685"/>
    <col width="17.28515625" customWidth="1" style="51" min="7686" max="7686"/>
    <col width="6.140625" customWidth="1" style="51" min="7687" max="7687"/>
    <col width="15.140625" customWidth="1" style="51" min="7688" max="7688"/>
    <col width="9.140625" customWidth="1" style="51" min="7689" max="7689"/>
    <col width="15" customWidth="1" style="51" min="7690" max="7690"/>
    <col width="6.85546875" customWidth="1" style="51" min="7691" max="7691"/>
    <col width="13.28515625" customWidth="1" style="51" min="7692" max="7692"/>
    <col width="9.42578125" customWidth="1" style="51" min="7693" max="7693"/>
    <col width="11" customWidth="1" style="51" min="7694" max="7694"/>
    <col width="10.140625" customWidth="1" style="51" min="7695" max="7695"/>
    <col width="11.140625" customWidth="1" style="51" min="7696" max="7696"/>
    <col width="7" customWidth="1" style="51" min="7697" max="7697"/>
    <col width="10.85546875" customWidth="1" style="51" min="7698" max="7698"/>
    <col width="5.85546875" customWidth="1" style="51" min="7699" max="7699"/>
    <col width="10" customWidth="1" style="51" min="7700" max="7700"/>
    <col width="9.140625" customWidth="1" style="51" min="7701" max="7935"/>
    <col width="9.5703125" customWidth="1" style="51" min="7936" max="7936"/>
    <col width="30.7109375" customWidth="1" style="51" min="7937" max="7937"/>
    <col width="14.7109375" customWidth="1" style="51" min="7938" max="7938"/>
    <col width="8.28515625" customWidth="1" style="51" min="7939" max="7939"/>
    <col width="11.85546875" customWidth="1" style="51" min="7940" max="7940"/>
    <col width="8.28515625" customWidth="1" style="51" min="7941" max="7941"/>
    <col width="17.28515625" customWidth="1" style="51" min="7942" max="7942"/>
    <col width="6.140625" customWidth="1" style="51" min="7943" max="7943"/>
    <col width="15.140625" customWidth="1" style="51" min="7944" max="7944"/>
    <col width="9.140625" customWidth="1" style="51" min="7945" max="7945"/>
    <col width="15" customWidth="1" style="51" min="7946" max="7946"/>
    <col width="6.85546875" customWidth="1" style="51" min="7947" max="7947"/>
    <col width="13.28515625" customWidth="1" style="51" min="7948" max="7948"/>
    <col width="9.42578125" customWidth="1" style="51" min="7949" max="7949"/>
    <col width="11" customWidth="1" style="51" min="7950" max="7950"/>
    <col width="10.140625" customWidth="1" style="51" min="7951" max="7951"/>
    <col width="11.140625" customWidth="1" style="51" min="7952" max="7952"/>
    <col width="7" customWidth="1" style="51" min="7953" max="7953"/>
    <col width="10.85546875" customWidth="1" style="51" min="7954" max="7954"/>
    <col width="5.85546875" customWidth="1" style="51" min="7955" max="7955"/>
    <col width="10" customWidth="1" style="51" min="7956" max="7956"/>
    <col width="9.140625" customWidth="1" style="51" min="7957" max="8191"/>
    <col width="9.5703125" customWidth="1" style="51" min="8192" max="8192"/>
    <col width="30.7109375" customWidth="1" style="51" min="8193" max="8193"/>
    <col width="14.7109375" customWidth="1" style="51" min="8194" max="8194"/>
    <col width="8.28515625" customWidth="1" style="51" min="8195" max="8195"/>
    <col width="11.85546875" customWidth="1" style="51" min="8196" max="8196"/>
    <col width="8.28515625" customWidth="1" style="51" min="8197" max="8197"/>
    <col width="17.28515625" customWidth="1" style="51" min="8198" max="8198"/>
    <col width="6.140625" customWidth="1" style="51" min="8199" max="8199"/>
    <col width="15.140625" customWidth="1" style="51" min="8200" max="8200"/>
    <col width="9.140625" customWidth="1" style="51" min="8201" max="8201"/>
    <col width="15" customWidth="1" style="51" min="8202" max="8202"/>
    <col width="6.85546875" customWidth="1" style="51" min="8203" max="8203"/>
    <col width="13.28515625" customWidth="1" style="51" min="8204" max="8204"/>
    <col width="9.42578125" customWidth="1" style="51" min="8205" max="8205"/>
    <col width="11" customWidth="1" style="51" min="8206" max="8206"/>
    <col width="10.140625" customWidth="1" style="51" min="8207" max="8207"/>
    <col width="11.140625" customWidth="1" style="51" min="8208" max="8208"/>
    <col width="7" customWidth="1" style="51" min="8209" max="8209"/>
    <col width="10.85546875" customWidth="1" style="51" min="8210" max="8210"/>
    <col width="5.85546875" customWidth="1" style="51" min="8211" max="8211"/>
    <col width="10" customWidth="1" style="51" min="8212" max="8212"/>
    <col width="9.140625" customWidth="1" style="51" min="8213" max="8447"/>
    <col width="9.5703125" customWidth="1" style="51" min="8448" max="8448"/>
    <col width="30.7109375" customWidth="1" style="51" min="8449" max="8449"/>
    <col width="14.7109375" customWidth="1" style="51" min="8450" max="8450"/>
    <col width="8.28515625" customWidth="1" style="51" min="8451" max="8451"/>
    <col width="11.85546875" customWidth="1" style="51" min="8452" max="8452"/>
    <col width="8.28515625" customWidth="1" style="51" min="8453" max="8453"/>
    <col width="17.28515625" customWidth="1" style="51" min="8454" max="8454"/>
    <col width="6.140625" customWidth="1" style="51" min="8455" max="8455"/>
    <col width="15.140625" customWidth="1" style="51" min="8456" max="8456"/>
    <col width="9.140625" customWidth="1" style="51" min="8457" max="8457"/>
    <col width="15" customWidth="1" style="51" min="8458" max="8458"/>
    <col width="6.85546875" customWidth="1" style="51" min="8459" max="8459"/>
    <col width="13.28515625" customWidth="1" style="51" min="8460" max="8460"/>
    <col width="9.42578125" customWidth="1" style="51" min="8461" max="8461"/>
    <col width="11" customWidth="1" style="51" min="8462" max="8462"/>
    <col width="10.140625" customWidth="1" style="51" min="8463" max="8463"/>
    <col width="11.140625" customWidth="1" style="51" min="8464" max="8464"/>
    <col width="7" customWidth="1" style="51" min="8465" max="8465"/>
    <col width="10.85546875" customWidth="1" style="51" min="8466" max="8466"/>
    <col width="5.85546875" customWidth="1" style="51" min="8467" max="8467"/>
    <col width="10" customWidth="1" style="51" min="8468" max="8468"/>
    <col width="9.140625" customWidth="1" style="51" min="8469" max="8703"/>
    <col width="9.5703125" customWidth="1" style="51" min="8704" max="8704"/>
    <col width="30.7109375" customWidth="1" style="51" min="8705" max="8705"/>
    <col width="14.7109375" customWidth="1" style="51" min="8706" max="8706"/>
    <col width="8.28515625" customWidth="1" style="51" min="8707" max="8707"/>
    <col width="11.85546875" customWidth="1" style="51" min="8708" max="8708"/>
    <col width="8.28515625" customWidth="1" style="51" min="8709" max="8709"/>
    <col width="17.28515625" customWidth="1" style="51" min="8710" max="8710"/>
    <col width="6.140625" customWidth="1" style="51" min="8711" max="8711"/>
    <col width="15.140625" customWidth="1" style="51" min="8712" max="8712"/>
    <col width="9.140625" customWidth="1" style="51" min="8713" max="8713"/>
    <col width="15" customWidth="1" style="51" min="8714" max="8714"/>
    <col width="6.85546875" customWidth="1" style="51" min="8715" max="8715"/>
    <col width="13.28515625" customWidth="1" style="51" min="8716" max="8716"/>
    <col width="9.42578125" customWidth="1" style="51" min="8717" max="8717"/>
    <col width="11" customWidth="1" style="51" min="8718" max="8718"/>
    <col width="10.140625" customWidth="1" style="51" min="8719" max="8719"/>
    <col width="11.140625" customWidth="1" style="51" min="8720" max="8720"/>
    <col width="7" customWidth="1" style="51" min="8721" max="8721"/>
    <col width="10.85546875" customWidth="1" style="51" min="8722" max="8722"/>
    <col width="5.85546875" customWidth="1" style="51" min="8723" max="8723"/>
    <col width="10" customWidth="1" style="51" min="8724" max="8724"/>
    <col width="9.140625" customWidth="1" style="51" min="8725" max="8959"/>
    <col width="9.5703125" customWidth="1" style="51" min="8960" max="8960"/>
    <col width="30.7109375" customWidth="1" style="51" min="8961" max="8961"/>
    <col width="14.7109375" customWidth="1" style="51" min="8962" max="8962"/>
    <col width="8.28515625" customWidth="1" style="51" min="8963" max="8963"/>
    <col width="11.85546875" customWidth="1" style="51" min="8964" max="8964"/>
    <col width="8.28515625" customWidth="1" style="51" min="8965" max="8965"/>
    <col width="17.28515625" customWidth="1" style="51" min="8966" max="8966"/>
    <col width="6.140625" customWidth="1" style="51" min="8967" max="8967"/>
    <col width="15.140625" customWidth="1" style="51" min="8968" max="8968"/>
    <col width="9.140625" customWidth="1" style="51" min="8969" max="8969"/>
    <col width="15" customWidth="1" style="51" min="8970" max="8970"/>
    <col width="6.85546875" customWidth="1" style="51" min="8971" max="8971"/>
    <col width="13.28515625" customWidth="1" style="51" min="8972" max="8972"/>
    <col width="9.42578125" customWidth="1" style="51" min="8973" max="8973"/>
    <col width="11" customWidth="1" style="51" min="8974" max="8974"/>
    <col width="10.140625" customWidth="1" style="51" min="8975" max="8975"/>
    <col width="11.140625" customWidth="1" style="51" min="8976" max="8976"/>
    <col width="7" customWidth="1" style="51" min="8977" max="8977"/>
    <col width="10.85546875" customWidth="1" style="51" min="8978" max="8978"/>
    <col width="5.85546875" customWidth="1" style="51" min="8979" max="8979"/>
    <col width="10" customWidth="1" style="51" min="8980" max="8980"/>
    <col width="9.140625" customWidth="1" style="51" min="8981" max="9215"/>
    <col width="9.5703125" customWidth="1" style="51" min="9216" max="9216"/>
    <col width="30.7109375" customWidth="1" style="51" min="9217" max="9217"/>
    <col width="14.7109375" customWidth="1" style="51" min="9218" max="9218"/>
    <col width="8.28515625" customWidth="1" style="51" min="9219" max="9219"/>
    <col width="11.85546875" customWidth="1" style="51" min="9220" max="9220"/>
    <col width="8.28515625" customWidth="1" style="51" min="9221" max="9221"/>
    <col width="17.28515625" customWidth="1" style="51" min="9222" max="9222"/>
    <col width="6.140625" customWidth="1" style="51" min="9223" max="9223"/>
    <col width="15.140625" customWidth="1" style="51" min="9224" max="9224"/>
    <col width="9.140625" customWidth="1" style="51" min="9225" max="9225"/>
    <col width="15" customWidth="1" style="51" min="9226" max="9226"/>
    <col width="6.85546875" customWidth="1" style="51" min="9227" max="9227"/>
    <col width="13.28515625" customWidth="1" style="51" min="9228" max="9228"/>
    <col width="9.42578125" customWidth="1" style="51" min="9229" max="9229"/>
    <col width="11" customWidth="1" style="51" min="9230" max="9230"/>
    <col width="10.140625" customWidth="1" style="51" min="9231" max="9231"/>
    <col width="11.140625" customWidth="1" style="51" min="9232" max="9232"/>
    <col width="7" customWidth="1" style="51" min="9233" max="9233"/>
    <col width="10.85546875" customWidth="1" style="51" min="9234" max="9234"/>
    <col width="5.85546875" customWidth="1" style="51" min="9235" max="9235"/>
    <col width="10" customWidth="1" style="51" min="9236" max="9236"/>
    <col width="9.140625" customWidth="1" style="51" min="9237" max="9471"/>
    <col width="9.5703125" customWidth="1" style="51" min="9472" max="9472"/>
    <col width="30.7109375" customWidth="1" style="51" min="9473" max="9473"/>
    <col width="14.7109375" customWidth="1" style="51" min="9474" max="9474"/>
    <col width="8.28515625" customWidth="1" style="51" min="9475" max="9475"/>
    <col width="11.85546875" customWidth="1" style="51" min="9476" max="9476"/>
    <col width="8.28515625" customWidth="1" style="51" min="9477" max="9477"/>
    <col width="17.28515625" customWidth="1" style="51" min="9478" max="9478"/>
    <col width="6.140625" customWidth="1" style="51" min="9479" max="9479"/>
    <col width="15.140625" customWidth="1" style="51" min="9480" max="9480"/>
    <col width="9.140625" customWidth="1" style="51" min="9481" max="9481"/>
    <col width="15" customWidth="1" style="51" min="9482" max="9482"/>
    <col width="6.85546875" customWidth="1" style="51" min="9483" max="9483"/>
    <col width="13.28515625" customWidth="1" style="51" min="9484" max="9484"/>
    <col width="9.42578125" customWidth="1" style="51" min="9485" max="9485"/>
    <col width="11" customWidth="1" style="51" min="9486" max="9486"/>
    <col width="10.140625" customWidth="1" style="51" min="9487" max="9487"/>
    <col width="11.140625" customWidth="1" style="51" min="9488" max="9488"/>
    <col width="7" customWidth="1" style="51" min="9489" max="9489"/>
    <col width="10.85546875" customWidth="1" style="51" min="9490" max="9490"/>
    <col width="5.85546875" customWidth="1" style="51" min="9491" max="9491"/>
    <col width="10" customWidth="1" style="51" min="9492" max="9492"/>
    <col width="9.140625" customWidth="1" style="51" min="9493" max="9727"/>
    <col width="9.5703125" customWidth="1" style="51" min="9728" max="9728"/>
    <col width="30.7109375" customWidth="1" style="51" min="9729" max="9729"/>
    <col width="14.7109375" customWidth="1" style="51" min="9730" max="9730"/>
    <col width="8.28515625" customWidth="1" style="51" min="9731" max="9731"/>
    <col width="11.85546875" customWidth="1" style="51" min="9732" max="9732"/>
    <col width="8.28515625" customWidth="1" style="51" min="9733" max="9733"/>
    <col width="17.28515625" customWidth="1" style="51" min="9734" max="9734"/>
    <col width="6.140625" customWidth="1" style="51" min="9735" max="9735"/>
    <col width="15.140625" customWidth="1" style="51" min="9736" max="9736"/>
    <col width="9.140625" customWidth="1" style="51" min="9737" max="9737"/>
    <col width="15" customWidth="1" style="51" min="9738" max="9738"/>
    <col width="6.85546875" customWidth="1" style="51" min="9739" max="9739"/>
    <col width="13.28515625" customWidth="1" style="51" min="9740" max="9740"/>
    <col width="9.42578125" customWidth="1" style="51" min="9741" max="9741"/>
    <col width="11" customWidth="1" style="51" min="9742" max="9742"/>
    <col width="10.140625" customWidth="1" style="51" min="9743" max="9743"/>
    <col width="11.140625" customWidth="1" style="51" min="9744" max="9744"/>
    <col width="7" customWidth="1" style="51" min="9745" max="9745"/>
    <col width="10.85546875" customWidth="1" style="51" min="9746" max="9746"/>
    <col width="5.85546875" customWidth="1" style="51" min="9747" max="9747"/>
    <col width="10" customWidth="1" style="51" min="9748" max="9748"/>
    <col width="9.140625" customWidth="1" style="51" min="9749" max="9983"/>
    <col width="9.5703125" customWidth="1" style="51" min="9984" max="9984"/>
    <col width="30.7109375" customWidth="1" style="51" min="9985" max="9985"/>
    <col width="14.7109375" customWidth="1" style="51" min="9986" max="9986"/>
    <col width="8.28515625" customWidth="1" style="51" min="9987" max="9987"/>
    <col width="11.85546875" customWidth="1" style="51" min="9988" max="9988"/>
    <col width="8.28515625" customWidth="1" style="51" min="9989" max="9989"/>
    <col width="17.28515625" customWidth="1" style="51" min="9990" max="9990"/>
    <col width="6.140625" customWidth="1" style="51" min="9991" max="9991"/>
    <col width="15.140625" customWidth="1" style="51" min="9992" max="9992"/>
    <col width="9.140625" customWidth="1" style="51" min="9993" max="9993"/>
    <col width="15" customWidth="1" style="51" min="9994" max="9994"/>
    <col width="6.85546875" customWidth="1" style="51" min="9995" max="9995"/>
    <col width="13.28515625" customWidth="1" style="51" min="9996" max="9996"/>
    <col width="9.42578125" customWidth="1" style="51" min="9997" max="9997"/>
    <col width="11" customWidth="1" style="51" min="9998" max="9998"/>
    <col width="10.140625" customWidth="1" style="51" min="9999" max="9999"/>
    <col width="11.140625" customWidth="1" style="51" min="10000" max="10000"/>
    <col width="7" customWidth="1" style="51" min="10001" max="10001"/>
    <col width="10.85546875" customWidth="1" style="51" min="10002" max="10002"/>
    <col width="5.85546875" customWidth="1" style="51" min="10003" max="10003"/>
    <col width="10" customWidth="1" style="51" min="10004" max="10004"/>
    <col width="9.140625" customWidth="1" style="51" min="10005" max="10239"/>
    <col width="9.5703125" customWidth="1" style="51" min="10240" max="10240"/>
    <col width="30.7109375" customWidth="1" style="51" min="10241" max="10241"/>
    <col width="14.7109375" customWidth="1" style="51" min="10242" max="10242"/>
    <col width="8.28515625" customWidth="1" style="51" min="10243" max="10243"/>
    <col width="11.85546875" customWidth="1" style="51" min="10244" max="10244"/>
    <col width="8.28515625" customWidth="1" style="51" min="10245" max="10245"/>
    <col width="17.28515625" customWidth="1" style="51" min="10246" max="10246"/>
    <col width="6.140625" customWidth="1" style="51" min="10247" max="10247"/>
    <col width="15.140625" customWidth="1" style="51" min="10248" max="10248"/>
    <col width="9.140625" customWidth="1" style="51" min="10249" max="10249"/>
    <col width="15" customWidth="1" style="51" min="10250" max="10250"/>
    <col width="6.85546875" customWidth="1" style="51" min="10251" max="10251"/>
    <col width="13.28515625" customWidth="1" style="51" min="10252" max="10252"/>
    <col width="9.42578125" customWidth="1" style="51" min="10253" max="10253"/>
    <col width="11" customWidth="1" style="51" min="10254" max="10254"/>
    <col width="10.140625" customWidth="1" style="51" min="10255" max="10255"/>
    <col width="11.140625" customWidth="1" style="51" min="10256" max="10256"/>
    <col width="7" customWidth="1" style="51" min="10257" max="10257"/>
    <col width="10.85546875" customWidth="1" style="51" min="10258" max="10258"/>
    <col width="5.85546875" customWidth="1" style="51" min="10259" max="10259"/>
    <col width="10" customWidth="1" style="51" min="10260" max="10260"/>
    <col width="9.140625" customWidth="1" style="51" min="10261" max="10495"/>
    <col width="9.5703125" customWidth="1" style="51" min="10496" max="10496"/>
    <col width="30.7109375" customWidth="1" style="51" min="10497" max="10497"/>
    <col width="14.7109375" customWidth="1" style="51" min="10498" max="10498"/>
    <col width="8.28515625" customWidth="1" style="51" min="10499" max="10499"/>
    <col width="11.85546875" customWidth="1" style="51" min="10500" max="10500"/>
    <col width="8.28515625" customWidth="1" style="51" min="10501" max="10501"/>
    <col width="17.28515625" customWidth="1" style="51" min="10502" max="10502"/>
    <col width="6.140625" customWidth="1" style="51" min="10503" max="10503"/>
    <col width="15.140625" customWidth="1" style="51" min="10504" max="10504"/>
    <col width="9.140625" customWidth="1" style="51" min="10505" max="10505"/>
    <col width="15" customWidth="1" style="51" min="10506" max="10506"/>
    <col width="6.85546875" customWidth="1" style="51" min="10507" max="10507"/>
    <col width="13.28515625" customWidth="1" style="51" min="10508" max="10508"/>
    <col width="9.42578125" customWidth="1" style="51" min="10509" max="10509"/>
    <col width="11" customWidth="1" style="51" min="10510" max="10510"/>
    <col width="10.140625" customWidth="1" style="51" min="10511" max="10511"/>
    <col width="11.140625" customWidth="1" style="51" min="10512" max="10512"/>
    <col width="7" customWidth="1" style="51" min="10513" max="10513"/>
    <col width="10.85546875" customWidth="1" style="51" min="10514" max="10514"/>
    <col width="5.85546875" customWidth="1" style="51" min="10515" max="10515"/>
    <col width="10" customWidth="1" style="51" min="10516" max="10516"/>
    <col width="9.140625" customWidth="1" style="51" min="10517" max="10751"/>
    <col width="9.5703125" customWidth="1" style="51" min="10752" max="10752"/>
    <col width="30.7109375" customWidth="1" style="51" min="10753" max="10753"/>
    <col width="14.7109375" customWidth="1" style="51" min="10754" max="10754"/>
    <col width="8.28515625" customWidth="1" style="51" min="10755" max="10755"/>
    <col width="11.85546875" customWidth="1" style="51" min="10756" max="10756"/>
    <col width="8.28515625" customWidth="1" style="51" min="10757" max="10757"/>
    <col width="17.28515625" customWidth="1" style="51" min="10758" max="10758"/>
    <col width="6.140625" customWidth="1" style="51" min="10759" max="10759"/>
    <col width="15.140625" customWidth="1" style="51" min="10760" max="10760"/>
    <col width="9.140625" customWidth="1" style="51" min="10761" max="10761"/>
    <col width="15" customWidth="1" style="51" min="10762" max="10762"/>
    <col width="6.85546875" customWidth="1" style="51" min="10763" max="10763"/>
    <col width="13.28515625" customWidth="1" style="51" min="10764" max="10764"/>
    <col width="9.42578125" customWidth="1" style="51" min="10765" max="10765"/>
    <col width="11" customWidth="1" style="51" min="10766" max="10766"/>
    <col width="10.140625" customWidth="1" style="51" min="10767" max="10767"/>
    <col width="11.140625" customWidth="1" style="51" min="10768" max="10768"/>
    <col width="7" customWidth="1" style="51" min="10769" max="10769"/>
    <col width="10.85546875" customWidth="1" style="51" min="10770" max="10770"/>
    <col width="5.85546875" customWidth="1" style="51" min="10771" max="10771"/>
    <col width="10" customWidth="1" style="51" min="10772" max="10772"/>
    <col width="9.140625" customWidth="1" style="51" min="10773" max="11007"/>
    <col width="9.5703125" customWidth="1" style="51" min="11008" max="11008"/>
    <col width="30.7109375" customWidth="1" style="51" min="11009" max="11009"/>
    <col width="14.7109375" customWidth="1" style="51" min="11010" max="11010"/>
    <col width="8.28515625" customWidth="1" style="51" min="11011" max="11011"/>
    <col width="11.85546875" customWidth="1" style="51" min="11012" max="11012"/>
    <col width="8.28515625" customWidth="1" style="51" min="11013" max="11013"/>
    <col width="17.28515625" customWidth="1" style="51" min="11014" max="11014"/>
    <col width="6.140625" customWidth="1" style="51" min="11015" max="11015"/>
    <col width="15.140625" customWidth="1" style="51" min="11016" max="11016"/>
    <col width="9.140625" customWidth="1" style="51" min="11017" max="11017"/>
    <col width="15" customWidth="1" style="51" min="11018" max="11018"/>
    <col width="6.85546875" customWidth="1" style="51" min="11019" max="11019"/>
    <col width="13.28515625" customWidth="1" style="51" min="11020" max="11020"/>
    <col width="9.42578125" customWidth="1" style="51" min="11021" max="11021"/>
    <col width="11" customWidth="1" style="51" min="11022" max="11022"/>
    <col width="10.140625" customWidth="1" style="51" min="11023" max="11023"/>
    <col width="11.140625" customWidth="1" style="51" min="11024" max="11024"/>
    <col width="7" customWidth="1" style="51" min="11025" max="11025"/>
    <col width="10.85546875" customWidth="1" style="51" min="11026" max="11026"/>
    <col width="5.85546875" customWidth="1" style="51" min="11027" max="11027"/>
    <col width="10" customWidth="1" style="51" min="11028" max="11028"/>
    <col width="9.140625" customWidth="1" style="51" min="11029" max="11263"/>
    <col width="9.5703125" customWidth="1" style="51" min="11264" max="11264"/>
    <col width="30.7109375" customWidth="1" style="51" min="11265" max="11265"/>
    <col width="14.7109375" customWidth="1" style="51" min="11266" max="11266"/>
    <col width="8.28515625" customWidth="1" style="51" min="11267" max="11267"/>
    <col width="11.85546875" customWidth="1" style="51" min="11268" max="11268"/>
    <col width="8.28515625" customWidth="1" style="51" min="11269" max="11269"/>
    <col width="17.28515625" customWidth="1" style="51" min="11270" max="11270"/>
    <col width="6.140625" customWidth="1" style="51" min="11271" max="11271"/>
    <col width="15.140625" customWidth="1" style="51" min="11272" max="11272"/>
    <col width="9.140625" customWidth="1" style="51" min="11273" max="11273"/>
    <col width="15" customWidth="1" style="51" min="11274" max="11274"/>
    <col width="6.85546875" customWidth="1" style="51" min="11275" max="11275"/>
    <col width="13.28515625" customWidth="1" style="51" min="11276" max="11276"/>
    <col width="9.42578125" customWidth="1" style="51" min="11277" max="11277"/>
    <col width="11" customWidth="1" style="51" min="11278" max="11278"/>
    <col width="10.140625" customWidth="1" style="51" min="11279" max="11279"/>
    <col width="11.140625" customWidth="1" style="51" min="11280" max="11280"/>
    <col width="7" customWidth="1" style="51" min="11281" max="11281"/>
    <col width="10.85546875" customWidth="1" style="51" min="11282" max="11282"/>
    <col width="5.85546875" customWidth="1" style="51" min="11283" max="11283"/>
    <col width="10" customWidth="1" style="51" min="11284" max="11284"/>
    <col width="9.140625" customWidth="1" style="51" min="11285" max="11519"/>
    <col width="9.5703125" customWidth="1" style="51" min="11520" max="11520"/>
    <col width="30.7109375" customWidth="1" style="51" min="11521" max="11521"/>
    <col width="14.7109375" customWidth="1" style="51" min="11522" max="11522"/>
    <col width="8.28515625" customWidth="1" style="51" min="11523" max="11523"/>
    <col width="11.85546875" customWidth="1" style="51" min="11524" max="11524"/>
    <col width="8.28515625" customWidth="1" style="51" min="11525" max="11525"/>
    <col width="17.28515625" customWidth="1" style="51" min="11526" max="11526"/>
    <col width="6.140625" customWidth="1" style="51" min="11527" max="11527"/>
    <col width="15.140625" customWidth="1" style="51" min="11528" max="11528"/>
    <col width="9.140625" customWidth="1" style="51" min="11529" max="11529"/>
    <col width="15" customWidth="1" style="51" min="11530" max="11530"/>
    <col width="6.85546875" customWidth="1" style="51" min="11531" max="11531"/>
    <col width="13.28515625" customWidth="1" style="51" min="11532" max="11532"/>
    <col width="9.42578125" customWidth="1" style="51" min="11533" max="11533"/>
    <col width="11" customWidth="1" style="51" min="11534" max="11534"/>
    <col width="10.140625" customWidth="1" style="51" min="11535" max="11535"/>
    <col width="11.140625" customWidth="1" style="51" min="11536" max="11536"/>
    <col width="7" customWidth="1" style="51" min="11537" max="11537"/>
    <col width="10.85546875" customWidth="1" style="51" min="11538" max="11538"/>
    <col width="5.85546875" customWidth="1" style="51" min="11539" max="11539"/>
    <col width="10" customWidth="1" style="51" min="11540" max="11540"/>
    <col width="9.140625" customWidth="1" style="51" min="11541" max="11775"/>
    <col width="9.5703125" customWidth="1" style="51" min="11776" max="11776"/>
    <col width="30.7109375" customWidth="1" style="51" min="11777" max="11777"/>
    <col width="14.7109375" customWidth="1" style="51" min="11778" max="11778"/>
    <col width="8.28515625" customWidth="1" style="51" min="11779" max="11779"/>
    <col width="11.85546875" customWidth="1" style="51" min="11780" max="11780"/>
    <col width="8.28515625" customWidth="1" style="51" min="11781" max="11781"/>
    <col width="17.28515625" customWidth="1" style="51" min="11782" max="11782"/>
    <col width="6.140625" customWidth="1" style="51" min="11783" max="11783"/>
    <col width="15.140625" customWidth="1" style="51" min="11784" max="11784"/>
    <col width="9.140625" customWidth="1" style="51" min="11785" max="11785"/>
    <col width="15" customWidth="1" style="51" min="11786" max="11786"/>
    <col width="6.85546875" customWidth="1" style="51" min="11787" max="11787"/>
    <col width="13.28515625" customWidth="1" style="51" min="11788" max="11788"/>
    <col width="9.42578125" customWidth="1" style="51" min="11789" max="11789"/>
    <col width="11" customWidth="1" style="51" min="11790" max="11790"/>
    <col width="10.140625" customWidth="1" style="51" min="11791" max="11791"/>
    <col width="11.140625" customWidth="1" style="51" min="11792" max="11792"/>
    <col width="7" customWidth="1" style="51" min="11793" max="11793"/>
    <col width="10.85546875" customWidth="1" style="51" min="11794" max="11794"/>
    <col width="5.85546875" customWidth="1" style="51" min="11795" max="11795"/>
    <col width="10" customWidth="1" style="51" min="11796" max="11796"/>
    <col width="9.140625" customWidth="1" style="51" min="11797" max="12031"/>
    <col width="9.5703125" customWidth="1" style="51" min="12032" max="12032"/>
    <col width="30.7109375" customWidth="1" style="51" min="12033" max="12033"/>
    <col width="14.7109375" customWidth="1" style="51" min="12034" max="12034"/>
    <col width="8.28515625" customWidth="1" style="51" min="12035" max="12035"/>
    <col width="11.85546875" customWidth="1" style="51" min="12036" max="12036"/>
    <col width="8.28515625" customWidth="1" style="51" min="12037" max="12037"/>
    <col width="17.28515625" customWidth="1" style="51" min="12038" max="12038"/>
    <col width="6.140625" customWidth="1" style="51" min="12039" max="12039"/>
    <col width="15.140625" customWidth="1" style="51" min="12040" max="12040"/>
    <col width="9.140625" customWidth="1" style="51" min="12041" max="12041"/>
    <col width="15" customWidth="1" style="51" min="12042" max="12042"/>
    <col width="6.85546875" customWidth="1" style="51" min="12043" max="12043"/>
    <col width="13.28515625" customWidth="1" style="51" min="12044" max="12044"/>
    <col width="9.42578125" customWidth="1" style="51" min="12045" max="12045"/>
    <col width="11" customWidth="1" style="51" min="12046" max="12046"/>
    <col width="10.140625" customWidth="1" style="51" min="12047" max="12047"/>
    <col width="11.140625" customWidth="1" style="51" min="12048" max="12048"/>
    <col width="7" customWidth="1" style="51" min="12049" max="12049"/>
    <col width="10.85546875" customWidth="1" style="51" min="12050" max="12050"/>
    <col width="5.85546875" customWidth="1" style="51" min="12051" max="12051"/>
    <col width="10" customWidth="1" style="51" min="12052" max="12052"/>
    <col width="9.140625" customWidth="1" style="51" min="12053" max="12287"/>
    <col width="9.5703125" customWidth="1" style="51" min="12288" max="12288"/>
    <col width="30.7109375" customWidth="1" style="51" min="12289" max="12289"/>
    <col width="14.7109375" customWidth="1" style="51" min="12290" max="12290"/>
    <col width="8.28515625" customWidth="1" style="51" min="12291" max="12291"/>
    <col width="11.85546875" customWidth="1" style="51" min="12292" max="12292"/>
    <col width="8.28515625" customWidth="1" style="51" min="12293" max="12293"/>
    <col width="17.28515625" customWidth="1" style="51" min="12294" max="12294"/>
    <col width="6.140625" customWidth="1" style="51" min="12295" max="12295"/>
    <col width="15.140625" customWidth="1" style="51" min="12296" max="12296"/>
    <col width="9.140625" customWidth="1" style="51" min="12297" max="12297"/>
    <col width="15" customWidth="1" style="51" min="12298" max="12298"/>
    <col width="6.85546875" customWidth="1" style="51" min="12299" max="12299"/>
    <col width="13.28515625" customWidth="1" style="51" min="12300" max="12300"/>
    <col width="9.42578125" customWidth="1" style="51" min="12301" max="12301"/>
    <col width="11" customWidth="1" style="51" min="12302" max="12302"/>
    <col width="10.140625" customWidth="1" style="51" min="12303" max="12303"/>
    <col width="11.140625" customWidth="1" style="51" min="12304" max="12304"/>
    <col width="7" customWidth="1" style="51" min="12305" max="12305"/>
    <col width="10.85546875" customWidth="1" style="51" min="12306" max="12306"/>
    <col width="5.85546875" customWidth="1" style="51" min="12307" max="12307"/>
    <col width="10" customWidth="1" style="51" min="12308" max="12308"/>
    <col width="9.140625" customWidth="1" style="51" min="12309" max="12543"/>
    <col width="9.5703125" customWidth="1" style="51" min="12544" max="12544"/>
    <col width="30.7109375" customWidth="1" style="51" min="12545" max="12545"/>
    <col width="14.7109375" customWidth="1" style="51" min="12546" max="12546"/>
    <col width="8.28515625" customWidth="1" style="51" min="12547" max="12547"/>
    <col width="11.85546875" customWidth="1" style="51" min="12548" max="12548"/>
    <col width="8.28515625" customWidth="1" style="51" min="12549" max="12549"/>
    <col width="17.28515625" customWidth="1" style="51" min="12550" max="12550"/>
    <col width="6.140625" customWidth="1" style="51" min="12551" max="12551"/>
    <col width="15.140625" customWidth="1" style="51" min="12552" max="12552"/>
    <col width="9.140625" customWidth="1" style="51" min="12553" max="12553"/>
    <col width="15" customWidth="1" style="51" min="12554" max="12554"/>
    <col width="6.85546875" customWidth="1" style="51" min="12555" max="12555"/>
    <col width="13.28515625" customWidth="1" style="51" min="12556" max="12556"/>
    <col width="9.42578125" customWidth="1" style="51" min="12557" max="12557"/>
    <col width="11" customWidth="1" style="51" min="12558" max="12558"/>
    <col width="10.140625" customWidth="1" style="51" min="12559" max="12559"/>
    <col width="11.140625" customWidth="1" style="51" min="12560" max="12560"/>
    <col width="7" customWidth="1" style="51" min="12561" max="12561"/>
    <col width="10.85546875" customWidth="1" style="51" min="12562" max="12562"/>
    <col width="5.85546875" customWidth="1" style="51" min="12563" max="12563"/>
    <col width="10" customWidth="1" style="51" min="12564" max="12564"/>
    <col width="9.140625" customWidth="1" style="51" min="12565" max="12799"/>
    <col width="9.5703125" customWidth="1" style="51" min="12800" max="12800"/>
    <col width="30.7109375" customWidth="1" style="51" min="12801" max="12801"/>
    <col width="14.7109375" customWidth="1" style="51" min="12802" max="12802"/>
    <col width="8.28515625" customWidth="1" style="51" min="12803" max="12803"/>
    <col width="11.85546875" customWidth="1" style="51" min="12804" max="12804"/>
    <col width="8.28515625" customWidth="1" style="51" min="12805" max="12805"/>
    <col width="17.28515625" customWidth="1" style="51" min="12806" max="12806"/>
    <col width="6.140625" customWidth="1" style="51" min="12807" max="12807"/>
    <col width="15.140625" customWidth="1" style="51" min="12808" max="12808"/>
    <col width="9.140625" customWidth="1" style="51" min="12809" max="12809"/>
    <col width="15" customWidth="1" style="51" min="12810" max="12810"/>
    <col width="6.85546875" customWidth="1" style="51" min="12811" max="12811"/>
    <col width="13.28515625" customWidth="1" style="51" min="12812" max="12812"/>
    <col width="9.42578125" customWidth="1" style="51" min="12813" max="12813"/>
    <col width="11" customWidth="1" style="51" min="12814" max="12814"/>
    <col width="10.140625" customWidth="1" style="51" min="12815" max="12815"/>
    <col width="11.140625" customWidth="1" style="51" min="12816" max="12816"/>
    <col width="7" customWidth="1" style="51" min="12817" max="12817"/>
    <col width="10.85546875" customWidth="1" style="51" min="12818" max="12818"/>
    <col width="5.85546875" customWidth="1" style="51" min="12819" max="12819"/>
    <col width="10" customWidth="1" style="51" min="12820" max="12820"/>
    <col width="9.140625" customWidth="1" style="51" min="12821" max="13055"/>
    <col width="9.5703125" customWidth="1" style="51" min="13056" max="13056"/>
    <col width="30.7109375" customWidth="1" style="51" min="13057" max="13057"/>
    <col width="14.7109375" customWidth="1" style="51" min="13058" max="13058"/>
    <col width="8.28515625" customWidth="1" style="51" min="13059" max="13059"/>
    <col width="11.85546875" customWidth="1" style="51" min="13060" max="13060"/>
    <col width="8.28515625" customWidth="1" style="51" min="13061" max="13061"/>
    <col width="17.28515625" customWidth="1" style="51" min="13062" max="13062"/>
    <col width="6.140625" customWidth="1" style="51" min="13063" max="13063"/>
    <col width="15.140625" customWidth="1" style="51" min="13064" max="13064"/>
    <col width="9.140625" customWidth="1" style="51" min="13065" max="13065"/>
    <col width="15" customWidth="1" style="51" min="13066" max="13066"/>
    <col width="6.85546875" customWidth="1" style="51" min="13067" max="13067"/>
    <col width="13.28515625" customWidth="1" style="51" min="13068" max="13068"/>
    <col width="9.42578125" customWidth="1" style="51" min="13069" max="13069"/>
    <col width="11" customWidth="1" style="51" min="13070" max="13070"/>
    <col width="10.140625" customWidth="1" style="51" min="13071" max="13071"/>
    <col width="11.140625" customWidth="1" style="51" min="13072" max="13072"/>
    <col width="7" customWidth="1" style="51" min="13073" max="13073"/>
    <col width="10.85546875" customWidth="1" style="51" min="13074" max="13074"/>
    <col width="5.85546875" customWidth="1" style="51" min="13075" max="13075"/>
    <col width="10" customWidth="1" style="51" min="13076" max="13076"/>
    <col width="9.140625" customWidth="1" style="51" min="13077" max="13311"/>
    <col width="9.5703125" customWidth="1" style="51" min="13312" max="13312"/>
    <col width="30.7109375" customWidth="1" style="51" min="13313" max="13313"/>
    <col width="14.7109375" customWidth="1" style="51" min="13314" max="13314"/>
    <col width="8.28515625" customWidth="1" style="51" min="13315" max="13315"/>
    <col width="11.85546875" customWidth="1" style="51" min="13316" max="13316"/>
    <col width="8.28515625" customWidth="1" style="51" min="13317" max="13317"/>
    <col width="17.28515625" customWidth="1" style="51" min="13318" max="13318"/>
    <col width="6.140625" customWidth="1" style="51" min="13319" max="13319"/>
    <col width="15.140625" customWidth="1" style="51" min="13320" max="13320"/>
    <col width="9.140625" customWidth="1" style="51" min="13321" max="13321"/>
    <col width="15" customWidth="1" style="51" min="13322" max="13322"/>
    <col width="6.85546875" customWidth="1" style="51" min="13323" max="13323"/>
    <col width="13.28515625" customWidth="1" style="51" min="13324" max="13324"/>
    <col width="9.42578125" customWidth="1" style="51" min="13325" max="13325"/>
    <col width="11" customWidth="1" style="51" min="13326" max="13326"/>
    <col width="10.140625" customWidth="1" style="51" min="13327" max="13327"/>
    <col width="11.140625" customWidth="1" style="51" min="13328" max="13328"/>
    <col width="7" customWidth="1" style="51" min="13329" max="13329"/>
    <col width="10.85546875" customWidth="1" style="51" min="13330" max="13330"/>
    <col width="5.85546875" customWidth="1" style="51" min="13331" max="13331"/>
    <col width="10" customWidth="1" style="51" min="13332" max="13332"/>
    <col width="9.140625" customWidth="1" style="51" min="13333" max="13567"/>
    <col width="9.5703125" customWidth="1" style="51" min="13568" max="13568"/>
    <col width="30.7109375" customWidth="1" style="51" min="13569" max="13569"/>
    <col width="14.7109375" customWidth="1" style="51" min="13570" max="13570"/>
    <col width="8.28515625" customWidth="1" style="51" min="13571" max="13571"/>
    <col width="11.85546875" customWidth="1" style="51" min="13572" max="13572"/>
    <col width="8.28515625" customWidth="1" style="51" min="13573" max="13573"/>
    <col width="17.28515625" customWidth="1" style="51" min="13574" max="13574"/>
    <col width="6.140625" customWidth="1" style="51" min="13575" max="13575"/>
    <col width="15.140625" customWidth="1" style="51" min="13576" max="13576"/>
    <col width="9.140625" customWidth="1" style="51" min="13577" max="13577"/>
    <col width="15" customWidth="1" style="51" min="13578" max="13578"/>
    <col width="6.85546875" customWidth="1" style="51" min="13579" max="13579"/>
    <col width="13.28515625" customWidth="1" style="51" min="13580" max="13580"/>
    <col width="9.42578125" customWidth="1" style="51" min="13581" max="13581"/>
    <col width="11" customWidth="1" style="51" min="13582" max="13582"/>
    <col width="10.140625" customWidth="1" style="51" min="13583" max="13583"/>
    <col width="11.140625" customWidth="1" style="51" min="13584" max="13584"/>
    <col width="7" customWidth="1" style="51" min="13585" max="13585"/>
    <col width="10.85546875" customWidth="1" style="51" min="13586" max="13586"/>
    <col width="5.85546875" customWidth="1" style="51" min="13587" max="13587"/>
    <col width="10" customWidth="1" style="51" min="13588" max="13588"/>
    <col width="9.140625" customWidth="1" style="51" min="13589" max="13823"/>
    <col width="9.5703125" customWidth="1" style="51" min="13824" max="13824"/>
    <col width="30.7109375" customWidth="1" style="51" min="13825" max="13825"/>
    <col width="14.7109375" customWidth="1" style="51" min="13826" max="13826"/>
    <col width="8.28515625" customWidth="1" style="51" min="13827" max="13827"/>
    <col width="11.85546875" customWidth="1" style="51" min="13828" max="13828"/>
    <col width="8.28515625" customWidth="1" style="51" min="13829" max="13829"/>
    <col width="17.28515625" customWidth="1" style="51" min="13830" max="13830"/>
    <col width="6.140625" customWidth="1" style="51" min="13831" max="13831"/>
    <col width="15.140625" customWidth="1" style="51" min="13832" max="13832"/>
    <col width="9.140625" customWidth="1" style="51" min="13833" max="13833"/>
    <col width="15" customWidth="1" style="51" min="13834" max="13834"/>
    <col width="6.85546875" customWidth="1" style="51" min="13835" max="13835"/>
    <col width="13.28515625" customWidth="1" style="51" min="13836" max="13836"/>
    <col width="9.42578125" customWidth="1" style="51" min="13837" max="13837"/>
    <col width="11" customWidth="1" style="51" min="13838" max="13838"/>
    <col width="10.140625" customWidth="1" style="51" min="13839" max="13839"/>
    <col width="11.140625" customWidth="1" style="51" min="13840" max="13840"/>
    <col width="7" customWidth="1" style="51" min="13841" max="13841"/>
    <col width="10.85546875" customWidth="1" style="51" min="13842" max="13842"/>
    <col width="5.85546875" customWidth="1" style="51" min="13843" max="13843"/>
    <col width="10" customWidth="1" style="51" min="13844" max="13844"/>
    <col width="9.140625" customWidth="1" style="51" min="13845" max="14079"/>
    <col width="9.5703125" customWidth="1" style="51" min="14080" max="14080"/>
    <col width="30.7109375" customWidth="1" style="51" min="14081" max="14081"/>
    <col width="14.7109375" customWidth="1" style="51" min="14082" max="14082"/>
    <col width="8.28515625" customWidth="1" style="51" min="14083" max="14083"/>
    <col width="11.85546875" customWidth="1" style="51" min="14084" max="14084"/>
    <col width="8.28515625" customWidth="1" style="51" min="14085" max="14085"/>
    <col width="17.28515625" customWidth="1" style="51" min="14086" max="14086"/>
    <col width="6.140625" customWidth="1" style="51" min="14087" max="14087"/>
    <col width="15.140625" customWidth="1" style="51" min="14088" max="14088"/>
    <col width="9.140625" customWidth="1" style="51" min="14089" max="14089"/>
    <col width="15" customWidth="1" style="51" min="14090" max="14090"/>
    <col width="6.85546875" customWidth="1" style="51" min="14091" max="14091"/>
    <col width="13.28515625" customWidth="1" style="51" min="14092" max="14092"/>
    <col width="9.42578125" customWidth="1" style="51" min="14093" max="14093"/>
    <col width="11" customWidth="1" style="51" min="14094" max="14094"/>
    <col width="10.140625" customWidth="1" style="51" min="14095" max="14095"/>
    <col width="11.140625" customWidth="1" style="51" min="14096" max="14096"/>
    <col width="7" customWidth="1" style="51" min="14097" max="14097"/>
    <col width="10.85546875" customWidth="1" style="51" min="14098" max="14098"/>
    <col width="5.85546875" customWidth="1" style="51" min="14099" max="14099"/>
    <col width="10" customWidth="1" style="51" min="14100" max="14100"/>
    <col width="9.140625" customWidth="1" style="51" min="14101" max="14335"/>
    <col width="9.5703125" customWidth="1" style="51" min="14336" max="14336"/>
    <col width="30.7109375" customWidth="1" style="51" min="14337" max="14337"/>
    <col width="14.7109375" customWidth="1" style="51" min="14338" max="14338"/>
    <col width="8.28515625" customWidth="1" style="51" min="14339" max="14339"/>
    <col width="11.85546875" customWidth="1" style="51" min="14340" max="14340"/>
    <col width="8.28515625" customWidth="1" style="51" min="14341" max="14341"/>
    <col width="17.28515625" customWidth="1" style="51" min="14342" max="14342"/>
    <col width="6.140625" customWidth="1" style="51" min="14343" max="14343"/>
    <col width="15.140625" customWidth="1" style="51" min="14344" max="14344"/>
    <col width="9.140625" customWidth="1" style="51" min="14345" max="14345"/>
    <col width="15" customWidth="1" style="51" min="14346" max="14346"/>
    <col width="6.85546875" customWidth="1" style="51" min="14347" max="14347"/>
    <col width="13.28515625" customWidth="1" style="51" min="14348" max="14348"/>
    <col width="9.42578125" customWidth="1" style="51" min="14349" max="14349"/>
    <col width="11" customWidth="1" style="51" min="14350" max="14350"/>
    <col width="10.140625" customWidth="1" style="51" min="14351" max="14351"/>
    <col width="11.140625" customWidth="1" style="51" min="14352" max="14352"/>
    <col width="7" customWidth="1" style="51" min="14353" max="14353"/>
    <col width="10.85546875" customWidth="1" style="51" min="14354" max="14354"/>
    <col width="5.85546875" customWidth="1" style="51" min="14355" max="14355"/>
    <col width="10" customWidth="1" style="51" min="14356" max="14356"/>
    <col width="9.140625" customWidth="1" style="51" min="14357" max="14591"/>
    <col width="9.5703125" customWidth="1" style="51" min="14592" max="14592"/>
    <col width="30.7109375" customWidth="1" style="51" min="14593" max="14593"/>
    <col width="14.7109375" customWidth="1" style="51" min="14594" max="14594"/>
    <col width="8.28515625" customWidth="1" style="51" min="14595" max="14595"/>
    <col width="11.85546875" customWidth="1" style="51" min="14596" max="14596"/>
    <col width="8.28515625" customWidth="1" style="51" min="14597" max="14597"/>
    <col width="17.28515625" customWidth="1" style="51" min="14598" max="14598"/>
    <col width="6.140625" customWidth="1" style="51" min="14599" max="14599"/>
    <col width="15.140625" customWidth="1" style="51" min="14600" max="14600"/>
    <col width="9.140625" customWidth="1" style="51" min="14601" max="14601"/>
    <col width="15" customWidth="1" style="51" min="14602" max="14602"/>
    <col width="6.85546875" customWidth="1" style="51" min="14603" max="14603"/>
    <col width="13.28515625" customWidth="1" style="51" min="14604" max="14604"/>
    <col width="9.42578125" customWidth="1" style="51" min="14605" max="14605"/>
    <col width="11" customWidth="1" style="51" min="14606" max="14606"/>
    <col width="10.140625" customWidth="1" style="51" min="14607" max="14607"/>
    <col width="11.140625" customWidth="1" style="51" min="14608" max="14608"/>
    <col width="7" customWidth="1" style="51" min="14609" max="14609"/>
    <col width="10.85546875" customWidth="1" style="51" min="14610" max="14610"/>
    <col width="5.85546875" customWidth="1" style="51" min="14611" max="14611"/>
    <col width="10" customWidth="1" style="51" min="14612" max="14612"/>
    <col width="9.140625" customWidth="1" style="51" min="14613" max="14847"/>
    <col width="9.5703125" customWidth="1" style="51" min="14848" max="14848"/>
    <col width="30.7109375" customWidth="1" style="51" min="14849" max="14849"/>
    <col width="14.7109375" customWidth="1" style="51" min="14850" max="14850"/>
    <col width="8.28515625" customWidth="1" style="51" min="14851" max="14851"/>
    <col width="11.85546875" customWidth="1" style="51" min="14852" max="14852"/>
    <col width="8.28515625" customWidth="1" style="51" min="14853" max="14853"/>
    <col width="17.28515625" customWidth="1" style="51" min="14854" max="14854"/>
    <col width="6.140625" customWidth="1" style="51" min="14855" max="14855"/>
    <col width="15.140625" customWidth="1" style="51" min="14856" max="14856"/>
    <col width="9.140625" customWidth="1" style="51" min="14857" max="14857"/>
    <col width="15" customWidth="1" style="51" min="14858" max="14858"/>
    <col width="6.85546875" customWidth="1" style="51" min="14859" max="14859"/>
    <col width="13.28515625" customWidth="1" style="51" min="14860" max="14860"/>
    <col width="9.42578125" customWidth="1" style="51" min="14861" max="14861"/>
    <col width="11" customWidth="1" style="51" min="14862" max="14862"/>
    <col width="10.140625" customWidth="1" style="51" min="14863" max="14863"/>
    <col width="11.140625" customWidth="1" style="51" min="14864" max="14864"/>
    <col width="7" customWidth="1" style="51" min="14865" max="14865"/>
    <col width="10.85546875" customWidth="1" style="51" min="14866" max="14866"/>
    <col width="5.85546875" customWidth="1" style="51" min="14867" max="14867"/>
    <col width="10" customWidth="1" style="51" min="14868" max="14868"/>
    <col width="9.140625" customWidth="1" style="51" min="14869" max="15103"/>
    <col width="9.5703125" customWidth="1" style="51" min="15104" max="15104"/>
    <col width="30.7109375" customWidth="1" style="51" min="15105" max="15105"/>
    <col width="14.7109375" customWidth="1" style="51" min="15106" max="15106"/>
    <col width="8.28515625" customWidth="1" style="51" min="15107" max="15107"/>
    <col width="11.85546875" customWidth="1" style="51" min="15108" max="15108"/>
    <col width="8.28515625" customWidth="1" style="51" min="15109" max="15109"/>
    <col width="17.28515625" customWidth="1" style="51" min="15110" max="15110"/>
    <col width="6.140625" customWidth="1" style="51" min="15111" max="15111"/>
    <col width="15.140625" customWidth="1" style="51" min="15112" max="15112"/>
    <col width="9.140625" customWidth="1" style="51" min="15113" max="15113"/>
    <col width="15" customWidth="1" style="51" min="15114" max="15114"/>
    <col width="6.85546875" customWidth="1" style="51" min="15115" max="15115"/>
    <col width="13.28515625" customWidth="1" style="51" min="15116" max="15116"/>
    <col width="9.42578125" customWidth="1" style="51" min="15117" max="15117"/>
    <col width="11" customWidth="1" style="51" min="15118" max="15118"/>
    <col width="10.140625" customWidth="1" style="51" min="15119" max="15119"/>
    <col width="11.140625" customWidth="1" style="51" min="15120" max="15120"/>
    <col width="7" customWidth="1" style="51" min="15121" max="15121"/>
    <col width="10.85546875" customWidth="1" style="51" min="15122" max="15122"/>
    <col width="5.85546875" customWidth="1" style="51" min="15123" max="15123"/>
    <col width="10" customWidth="1" style="51" min="15124" max="15124"/>
    <col width="9.140625" customWidth="1" style="51" min="15125" max="15359"/>
    <col width="9.5703125" customWidth="1" style="51" min="15360" max="15360"/>
    <col width="30.7109375" customWidth="1" style="51" min="15361" max="15361"/>
    <col width="14.7109375" customWidth="1" style="51" min="15362" max="15362"/>
    <col width="8.28515625" customWidth="1" style="51" min="15363" max="15363"/>
    <col width="11.85546875" customWidth="1" style="51" min="15364" max="15364"/>
    <col width="8.28515625" customWidth="1" style="51" min="15365" max="15365"/>
    <col width="17.28515625" customWidth="1" style="51" min="15366" max="15366"/>
    <col width="6.140625" customWidth="1" style="51" min="15367" max="15367"/>
    <col width="15.140625" customWidth="1" style="51" min="15368" max="15368"/>
    <col width="9.140625" customWidth="1" style="51" min="15369" max="15369"/>
    <col width="15" customWidth="1" style="51" min="15370" max="15370"/>
    <col width="6.85546875" customWidth="1" style="51" min="15371" max="15371"/>
    <col width="13.28515625" customWidth="1" style="51" min="15372" max="15372"/>
    <col width="9.42578125" customWidth="1" style="51" min="15373" max="15373"/>
    <col width="11" customWidth="1" style="51" min="15374" max="15374"/>
    <col width="10.140625" customWidth="1" style="51" min="15375" max="15375"/>
    <col width="11.140625" customWidth="1" style="51" min="15376" max="15376"/>
    <col width="7" customWidth="1" style="51" min="15377" max="15377"/>
    <col width="10.85546875" customWidth="1" style="51" min="15378" max="15378"/>
    <col width="5.85546875" customWidth="1" style="51" min="15379" max="15379"/>
    <col width="10" customWidth="1" style="51" min="15380" max="15380"/>
    <col width="9.140625" customWidth="1" style="51" min="15381" max="15615"/>
    <col width="9.5703125" customWidth="1" style="51" min="15616" max="15616"/>
    <col width="30.7109375" customWidth="1" style="51" min="15617" max="15617"/>
    <col width="14.7109375" customWidth="1" style="51" min="15618" max="15618"/>
    <col width="8.28515625" customWidth="1" style="51" min="15619" max="15619"/>
    <col width="11.85546875" customWidth="1" style="51" min="15620" max="15620"/>
    <col width="8.28515625" customWidth="1" style="51" min="15621" max="15621"/>
    <col width="17.28515625" customWidth="1" style="51" min="15622" max="15622"/>
    <col width="6.140625" customWidth="1" style="51" min="15623" max="15623"/>
    <col width="15.140625" customWidth="1" style="51" min="15624" max="15624"/>
    <col width="9.140625" customWidth="1" style="51" min="15625" max="15625"/>
    <col width="15" customWidth="1" style="51" min="15626" max="15626"/>
    <col width="6.85546875" customWidth="1" style="51" min="15627" max="15627"/>
    <col width="13.28515625" customWidth="1" style="51" min="15628" max="15628"/>
    <col width="9.42578125" customWidth="1" style="51" min="15629" max="15629"/>
    <col width="11" customWidth="1" style="51" min="15630" max="15630"/>
    <col width="10.140625" customWidth="1" style="51" min="15631" max="15631"/>
    <col width="11.140625" customWidth="1" style="51" min="15632" max="15632"/>
    <col width="7" customWidth="1" style="51" min="15633" max="15633"/>
    <col width="10.85546875" customWidth="1" style="51" min="15634" max="15634"/>
    <col width="5.85546875" customWidth="1" style="51" min="15635" max="15635"/>
    <col width="10" customWidth="1" style="51" min="15636" max="15636"/>
    <col width="9.140625" customWidth="1" style="51" min="15637" max="15871"/>
    <col width="9.5703125" customWidth="1" style="51" min="15872" max="15872"/>
    <col width="30.7109375" customWidth="1" style="51" min="15873" max="15873"/>
    <col width="14.7109375" customWidth="1" style="51" min="15874" max="15874"/>
    <col width="8.28515625" customWidth="1" style="51" min="15875" max="15875"/>
    <col width="11.85546875" customWidth="1" style="51" min="15876" max="15876"/>
    <col width="8.28515625" customWidth="1" style="51" min="15877" max="15877"/>
    <col width="17.28515625" customWidth="1" style="51" min="15878" max="15878"/>
    <col width="6.140625" customWidth="1" style="51" min="15879" max="15879"/>
    <col width="15.140625" customWidth="1" style="51" min="15880" max="15880"/>
    <col width="9.140625" customWidth="1" style="51" min="15881" max="15881"/>
    <col width="15" customWidth="1" style="51" min="15882" max="15882"/>
    <col width="6.85546875" customWidth="1" style="51" min="15883" max="15883"/>
    <col width="13.28515625" customWidth="1" style="51" min="15884" max="15884"/>
    <col width="9.42578125" customWidth="1" style="51" min="15885" max="15885"/>
    <col width="11" customWidth="1" style="51" min="15886" max="15886"/>
    <col width="10.140625" customWidth="1" style="51" min="15887" max="15887"/>
    <col width="11.140625" customWidth="1" style="51" min="15888" max="15888"/>
    <col width="7" customWidth="1" style="51" min="15889" max="15889"/>
    <col width="10.85546875" customWidth="1" style="51" min="15890" max="15890"/>
    <col width="5.85546875" customWidth="1" style="51" min="15891" max="15891"/>
    <col width="10" customWidth="1" style="51" min="15892" max="15892"/>
    <col width="9.140625" customWidth="1" style="51" min="15893" max="16127"/>
    <col width="9.5703125" customWidth="1" style="51" min="16128" max="16128"/>
    <col width="30.7109375" customWidth="1" style="51" min="16129" max="16129"/>
    <col width="14.7109375" customWidth="1" style="51" min="16130" max="16130"/>
    <col width="8.28515625" customWidth="1" style="51" min="16131" max="16131"/>
    <col width="11.85546875" customWidth="1" style="51" min="16132" max="16132"/>
    <col width="8.28515625" customWidth="1" style="51" min="16133" max="16133"/>
    <col width="17.28515625" customWidth="1" style="51" min="16134" max="16134"/>
    <col width="6.140625" customWidth="1" style="51" min="16135" max="16135"/>
    <col width="15.140625" customWidth="1" style="51" min="16136" max="16136"/>
    <col width="9.140625" customWidth="1" style="51" min="16137" max="16137"/>
    <col width="15" customWidth="1" style="51" min="16138" max="16138"/>
    <col width="6.85546875" customWidth="1" style="51" min="16139" max="16139"/>
    <col width="13.28515625" customWidth="1" style="51" min="16140" max="16140"/>
    <col width="9.42578125" customWidth="1" style="51" min="16141" max="16141"/>
    <col width="11" customWidth="1" style="51" min="16142" max="16142"/>
    <col width="10.140625" customWidth="1" style="51" min="16143" max="16143"/>
    <col width="11.140625" customWidth="1" style="51" min="16144" max="16144"/>
    <col width="7" customWidth="1" style="51" min="16145" max="16145"/>
    <col width="10.85546875" customWidth="1" style="51" min="16146" max="16146"/>
    <col width="5.85546875" customWidth="1" style="51" min="16147" max="16147"/>
    <col width="10" customWidth="1" style="51" min="16148" max="16148"/>
    <col width="9.140625" customWidth="1" style="51" min="16149" max="16384"/>
  </cols>
  <sheetData>
    <row r="1">
      <c r="A1" s="99" t="inlineStr">
        <is>
          <t>Weekly Issued (Buffer Stock POMI)- POH 1</t>
        </is>
      </c>
    </row>
    <row r="2" ht="15" customHeight="1">
      <c r="A2" s="3" t="inlineStr">
        <is>
          <t>Mnth</t>
        </is>
      </c>
      <c r="B2" s="4" t="n">
        <v>45992</v>
      </c>
      <c r="C2" s="5" t="n"/>
      <c r="D2" s="6" t="n"/>
      <c r="E2" s="116" t="n"/>
      <c r="F2" s="53" t="n"/>
      <c r="G2" s="7" t="n"/>
      <c r="H2" s="53" t="n"/>
      <c r="I2" s="8" t="n"/>
      <c r="J2" s="53" t="n"/>
      <c r="K2" s="7" t="n"/>
      <c r="L2" s="9" t="n"/>
      <c r="M2" s="7" t="n"/>
      <c r="N2" s="99" t="n"/>
      <c r="O2" s="10" t="n"/>
      <c r="P2" s="99" t="n"/>
      <c r="Q2" s="7" t="n"/>
      <c r="R2" s="99" t="n"/>
      <c r="S2" s="99" t="n"/>
      <c r="T2" s="99" t="n"/>
    </row>
    <row r="3">
      <c r="A3" s="11" t="inlineStr">
        <is>
          <t>Week</t>
        </is>
      </c>
      <c r="B3" s="49" t="inlineStr">
        <is>
          <t>III</t>
        </is>
      </c>
      <c r="G3" s="100" t="n"/>
      <c r="H3" s="117" t="n"/>
      <c r="I3" s="117" t="n"/>
      <c r="J3" s="117" t="n"/>
      <c r="K3" s="117" t="n"/>
      <c r="L3" s="117" t="n"/>
      <c r="M3" s="117" t="n"/>
      <c r="N3" s="117" t="n"/>
    </row>
    <row r="4">
      <c r="A4" s="22" t="inlineStr">
        <is>
          <t>No.</t>
        </is>
      </c>
      <c r="B4" s="79" t="inlineStr">
        <is>
          <t xml:space="preserve">Nama Barang </t>
        </is>
      </c>
      <c r="C4" s="18" t="inlineStr">
        <is>
          <t>Satuan</t>
        </is>
      </c>
      <c r="D4" s="77" t="inlineStr">
        <is>
          <t>Stock Awal</t>
        </is>
      </c>
      <c r="E4" s="118" t="inlineStr">
        <is>
          <t xml:space="preserve">Tanggal Buffer Stock </t>
        </is>
      </c>
      <c r="F4" s="64" t="inlineStr">
        <is>
          <t>Jumlah</t>
        </is>
      </c>
      <c r="G4" s="119" t="n">
        <v>46005</v>
      </c>
      <c r="H4" s="120" t="n"/>
      <c r="I4" s="119" t="n">
        <v>46006</v>
      </c>
      <c r="J4" s="120" t="n"/>
      <c r="K4" s="119" t="n">
        <v>46007</v>
      </c>
      <c r="L4" s="120" t="n"/>
      <c r="M4" s="119" t="n">
        <v>46008</v>
      </c>
      <c r="N4" s="120" t="n"/>
      <c r="O4" s="119" t="n">
        <v>46009</v>
      </c>
      <c r="P4" s="120" t="n"/>
      <c r="Q4" s="119" t="n">
        <v>46010</v>
      </c>
      <c r="R4" s="120" t="n"/>
      <c r="S4" s="119" t="n">
        <v>46011</v>
      </c>
      <c r="T4" s="120" t="n"/>
      <c r="U4" s="71" t="inlineStr">
        <is>
          <t>Ending Stock</t>
        </is>
      </c>
      <c r="V4" t="inlineStr">
        <is>
          <t>KATEGORI</t>
        </is>
      </c>
    </row>
    <row r="5">
      <c r="A5" s="121" t="n"/>
      <c r="B5" s="121" t="n"/>
      <c r="C5" s="121" t="n"/>
      <c r="D5" s="121" t="n"/>
      <c r="E5" s="121" t="n"/>
      <c r="F5" s="121" t="n"/>
      <c r="G5" s="17" t="inlineStr">
        <is>
          <t xml:space="preserve">Lokasi </t>
        </is>
      </c>
      <c r="H5" s="54" t="inlineStr">
        <is>
          <t>Jumlah</t>
        </is>
      </c>
      <c r="I5" s="19" t="inlineStr">
        <is>
          <t xml:space="preserve">Lokasi </t>
        </is>
      </c>
      <c r="J5" s="54" t="inlineStr">
        <is>
          <t>Jumlah</t>
        </is>
      </c>
      <c r="K5" s="73" t="inlineStr">
        <is>
          <t xml:space="preserve">Lokasi </t>
        </is>
      </c>
      <c r="L5" s="21" t="inlineStr">
        <is>
          <t>Jumlah</t>
        </is>
      </c>
      <c r="M5" s="73" t="inlineStr">
        <is>
          <t xml:space="preserve">Lokasi </t>
        </is>
      </c>
      <c r="N5" s="18" t="inlineStr">
        <is>
          <t>Jumlah</t>
        </is>
      </c>
      <c r="O5" s="19" t="inlineStr">
        <is>
          <t xml:space="preserve">Lokasi </t>
        </is>
      </c>
      <c r="P5" s="18" t="inlineStr">
        <is>
          <t>Jumlah</t>
        </is>
      </c>
      <c r="Q5" s="73" t="inlineStr">
        <is>
          <t xml:space="preserve">Lokasi </t>
        </is>
      </c>
      <c r="R5" s="18" t="inlineStr">
        <is>
          <t>Jumlah</t>
        </is>
      </c>
      <c r="S5" s="18" t="inlineStr">
        <is>
          <t xml:space="preserve">Lokasi </t>
        </is>
      </c>
      <c r="T5" s="18" t="inlineStr">
        <is>
          <t>Jumlah</t>
        </is>
      </c>
      <c r="U5" s="121" t="n"/>
    </row>
    <row r="6" ht="30" customHeight="1">
      <c r="A6" s="22" t="n">
        <v>1</v>
      </c>
      <c r="B6" s="122" t="inlineStr">
        <is>
          <t>AC Compressor 1 PK, PANASONIC R 22</t>
        </is>
      </c>
      <c r="C6" s="123" t="inlineStr">
        <is>
          <t>Unit</t>
        </is>
      </c>
      <c r="D6" s="26">
        <f>'Week  (2)'!U6</f>
        <v/>
      </c>
      <c r="E6" s="26" t="n"/>
      <c r="F6" s="26" t="n"/>
      <c r="G6" s="26" t="n"/>
      <c r="H6" s="26" t="n"/>
      <c r="I6" s="26" t="n"/>
      <c r="J6" s="26" t="n"/>
      <c r="K6" s="18" t="n"/>
      <c r="L6" s="73" t="n"/>
      <c r="M6" s="73" t="n"/>
      <c r="N6" s="73" t="n"/>
      <c r="O6" s="19" t="n"/>
      <c r="P6" s="18" t="n"/>
      <c r="Q6" s="18" t="n"/>
      <c r="R6" s="73" t="n"/>
      <c r="S6" s="18" t="n"/>
      <c r="T6" s="18" t="n"/>
      <c r="U6" s="26">
        <f>D6+F6+-(H6+J6+L6+N6+P6+R6+T6)</f>
        <v/>
      </c>
      <c r="V6" t="inlineStr">
        <is>
          <t>AC</t>
        </is>
      </c>
    </row>
    <row r="7" ht="30" customHeight="1">
      <c r="A7" s="22">
        <f>A6+1</f>
        <v/>
      </c>
      <c r="B7" s="122" t="inlineStr">
        <is>
          <t>AC Compressor 1,5  PK, PANASONIC R 22</t>
        </is>
      </c>
      <c r="C7" s="123" t="inlineStr">
        <is>
          <t>Unit</t>
        </is>
      </c>
      <c r="D7" s="26">
        <f>'Week  (2)'!U7</f>
        <v/>
      </c>
      <c r="E7" s="124" t="n"/>
      <c r="F7" s="62" t="n"/>
      <c r="G7" s="25" t="n"/>
      <c r="H7" s="56" t="n"/>
      <c r="I7" s="19" t="n"/>
      <c r="J7" s="64" t="n"/>
      <c r="K7" s="18" t="n"/>
      <c r="L7" s="73" t="n"/>
      <c r="M7" s="73" t="n"/>
      <c r="N7" s="73" t="n"/>
      <c r="O7" s="19" t="n"/>
      <c r="P7" s="18" t="n"/>
      <c r="Q7" s="18" t="n"/>
      <c r="R7" s="73" t="n"/>
      <c r="S7" s="18" t="n"/>
      <c r="T7" s="18" t="n"/>
      <c r="U7" s="26">
        <f>D7+F7+-(H7+J7+L7+N7+P7+R7+T7)</f>
        <v/>
      </c>
      <c r="V7" t="inlineStr">
        <is>
          <t>AC</t>
        </is>
      </c>
    </row>
    <row r="8" ht="30" customHeight="1">
      <c r="A8" s="22">
        <f>A7+1</f>
        <v/>
      </c>
      <c r="B8" s="122" t="inlineStr">
        <is>
          <t>AC Compressor 2 PK, PANASONIC</t>
        </is>
      </c>
      <c r="C8" s="123" t="inlineStr">
        <is>
          <t>Unit</t>
        </is>
      </c>
      <c r="D8" s="26">
        <f>'Week  (2)'!U8</f>
        <v/>
      </c>
      <c r="E8" s="125" t="n"/>
      <c r="F8" s="55" t="n"/>
      <c r="G8" s="52" t="n"/>
      <c r="H8" s="55" t="n"/>
      <c r="I8" s="71" t="n"/>
      <c r="J8" s="55" t="n"/>
      <c r="K8" s="18" t="n"/>
      <c r="L8" s="73" t="n"/>
      <c r="M8" s="73" t="n"/>
      <c r="N8" s="73" t="n"/>
      <c r="O8" s="19" t="n"/>
      <c r="P8" s="18" t="n"/>
      <c r="Q8" s="18" t="n"/>
      <c r="R8" s="73" t="n"/>
      <c r="S8" s="18" t="n"/>
      <c r="T8" s="18" t="n"/>
      <c r="U8" s="26">
        <f>D8+F8+-(H8+J8+L8+N8+P8+R8+T8)</f>
        <v/>
      </c>
      <c r="V8" t="inlineStr">
        <is>
          <t>AC</t>
        </is>
      </c>
    </row>
    <row r="9" ht="30" customHeight="1">
      <c r="A9" s="22">
        <f>A8+1</f>
        <v/>
      </c>
      <c r="B9" s="122" t="inlineStr">
        <is>
          <t>AC Compressor 3 PK, PANASONIC</t>
        </is>
      </c>
      <c r="C9" s="123" t="inlineStr">
        <is>
          <t>Unit</t>
        </is>
      </c>
      <c r="D9" s="26">
        <f>'Week  (2)'!U9</f>
        <v/>
      </c>
      <c r="E9" s="124" t="n"/>
      <c r="F9" s="62" t="n"/>
      <c r="G9" s="25" t="n"/>
      <c r="H9" s="56" t="n"/>
      <c r="I9" s="19" t="n"/>
      <c r="J9" s="64" t="n"/>
      <c r="K9" s="18" t="n"/>
      <c r="L9" s="73" t="n"/>
      <c r="M9" s="73" t="n"/>
      <c r="N9" s="73" t="n"/>
      <c r="O9" s="19" t="n"/>
      <c r="P9" s="18" t="n"/>
      <c r="Q9" s="18" t="n"/>
      <c r="R9" s="73" t="n"/>
      <c r="S9" s="18" t="n"/>
      <c r="T9" s="18" t="n"/>
      <c r="U9" s="26">
        <f>D9+F9+-(H9+J9+L9+N9+P9+R9+T9)</f>
        <v/>
      </c>
      <c r="V9" t="inlineStr">
        <is>
          <t>AC</t>
        </is>
      </c>
    </row>
    <row r="10" ht="30" customHeight="1">
      <c r="A10" s="22">
        <f>A9+1</f>
        <v/>
      </c>
      <c r="B10" s="122" t="inlineStr">
        <is>
          <t>AC Compressor 1 PK, PANASONIC R 32</t>
        </is>
      </c>
      <c r="C10" s="123" t="inlineStr">
        <is>
          <t>Unit</t>
        </is>
      </c>
      <c r="D10" s="26">
        <f>'Week  (2)'!U10</f>
        <v/>
      </c>
      <c r="E10" s="125" t="n"/>
      <c r="F10" s="55" t="n"/>
      <c r="G10" s="52" t="n"/>
      <c r="H10" s="55" t="n"/>
      <c r="I10" s="71" t="n"/>
      <c r="J10" s="55" t="n"/>
      <c r="K10" s="18" t="n"/>
      <c r="L10" s="73" t="n"/>
      <c r="M10" s="73" t="n"/>
      <c r="N10" s="73" t="n"/>
      <c r="O10" s="19" t="n"/>
      <c r="P10" s="18" t="n"/>
      <c r="Q10" s="18" t="n"/>
      <c r="R10" s="73" t="n"/>
      <c r="S10" s="18" t="n"/>
      <c r="T10" s="18" t="n"/>
      <c r="U10" s="26">
        <f>D10+F10+-(H10+J10+L10+N10+P10+R10+T10)</f>
        <v/>
      </c>
      <c r="V10" t="inlineStr">
        <is>
          <t>AC</t>
        </is>
      </c>
    </row>
    <row r="11" ht="30" customHeight="1">
      <c r="A11" s="22">
        <f>A10+1</f>
        <v/>
      </c>
      <c r="B11" s="122" t="inlineStr">
        <is>
          <t>AC Compressor 1,5  PK, PANASONIC R 32</t>
        </is>
      </c>
      <c r="C11" s="123" t="inlineStr">
        <is>
          <t>Unit</t>
        </is>
      </c>
      <c r="D11" s="26">
        <f>'Week  (2)'!U11</f>
        <v/>
      </c>
      <c r="E11" s="124" t="n"/>
      <c r="F11" s="62" t="n"/>
      <c r="G11" s="25" t="n"/>
      <c r="H11" s="56" t="n"/>
      <c r="I11" s="19" t="n"/>
      <c r="J11" s="64" t="n"/>
      <c r="K11" s="18" t="n"/>
      <c r="L11" s="73" t="n"/>
      <c r="M11" s="73" t="n"/>
      <c r="N11" s="73" t="n"/>
      <c r="O11" s="19" t="n"/>
      <c r="P11" s="18" t="n"/>
      <c r="Q11" s="18" t="n"/>
      <c r="R11" s="73" t="n"/>
      <c r="S11" s="18" t="n"/>
      <c r="T11" s="18" t="n"/>
      <c r="U11" s="26">
        <f>D11+F11+-(H11+J11+L11+N11+P11+R11+T11)</f>
        <v/>
      </c>
      <c r="V11" t="inlineStr">
        <is>
          <t>AC</t>
        </is>
      </c>
    </row>
    <row r="12" ht="15" customHeight="1">
      <c r="A12" s="22">
        <f>A11+1</f>
        <v/>
      </c>
      <c r="B12" s="27" t="inlineStr">
        <is>
          <t>Amplas NO 1</t>
        </is>
      </c>
      <c r="C12" s="123" t="inlineStr">
        <is>
          <t xml:space="preserve">Lbr </t>
        </is>
      </c>
      <c r="D12" s="26">
        <f>'Week  (2)'!U12</f>
        <v/>
      </c>
      <c r="E12" s="125" t="n"/>
      <c r="F12" s="55" t="n"/>
      <c r="G12" s="52" t="n"/>
      <c r="H12" s="55" t="n"/>
      <c r="I12" s="71" t="n"/>
      <c r="J12" s="55" t="n"/>
      <c r="K12" s="52" t="n"/>
      <c r="L12" s="55" t="n"/>
      <c r="M12" s="73" t="n"/>
      <c r="N12" s="73" t="n"/>
      <c r="O12" s="19" t="n"/>
      <c r="P12" s="18" t="n"/>
      <c r="Q12" s="18" t="n"/>
      <c r="R12" s="73" t="n"/>
      <c r="S12" s="18" t="n"/>
      <c r="T12" s="18" t="n"/>
      <c r="U12" s="26">
        <f>D12+F12+-(H12+J12+L12+N12+P12+R12+T12)</f>
        <v/>
      </c>
      <c r="V12" t="inlineStr">
        <is>
          <t>CONSUMABLE</t>
        </is>
      </c>
    </row>
    <row r="13" ht="15" customHeight="1">
      <c r="A13" s="22">
        <f>A12+1</f>
        <v/>
      </c>
      <c r="B13" s="27" t="inlineStr">
        <is>
          <t>Amplas NO 180</t>
        </is>
      </c>
      <c r="C13" s="123" t="inlineStr">
        <is>
          <t xml:space="preserve">Lbr </t>
        </is>
      </c>
      <c r="D13" s="26">
        <f>'Week  (2)'!U13</f>
        <v/>
      </c>
      <c r="E13" s="124" t="n"/>
      <c r="F13" s="62" t="n"/>
      <c r="G13" s="52" t="n"/>
      <c r="H13" s="56" t="n"/>
      <c r="I13" s="71" t="inlineStr">
        <is>
          <t>Lap basket</t>
        </is>
      </c>
      <c r="J13" s="64" t="n">
        <v>1</v>
      </c>
      <c r="K13" s="52" t="n"/>
      <c r="L13" s="55" t="n"/>
      <c r="M13" s="73" t="n"/>
      <c r="N13" s="73" t="n"/>
      <c r="O13" s="19" t="n"/>
      <c r="P13" s="18" t="n"/>
      <c r="Q13" s="18" t="n"/>
      <c r="R13" s="73" t="n"/>
      <c r="S13" s="18" t="n"/>
      <c r="T13" s="18" t="n"/>
      <c r="U13" s="26">
        <f>D13+F13+-(H13+J13+L13+N13+P13+R13+T13)</f>
        <v/>
      </c>
      <c r="V13" t="inlineStr">
        <is>
          <t>CONSUMABLE</t>
        </is>
      </c>
    </row>
    <row r="14" ht="15" customHeight="1">
      <c r="A14" s="22">
        <f>A13+1</f>
        <v/>
      </c>
      <c r="B14" s="27" t="inlineStr">
        <is>
          <t>Avur bak cuci piring</t>
        </is>
      </c>
      <c r="C14" s="123" t="inlineStr">
        <is>
          <t>pcs</t>
        </is>
      </c>
      <c r="D14" s="26">
        <f>'Week  (2)'!U14</f>
        <v/>
      </c>
      <c r="E14" s="125" t="n"/>
      <c r="F14" s="55" t="n"/>
      <c r="G14" s="52" t="n"/>
      <c r="H14" s="55" t="n"/>
      <c r="I14" s="71" t="n"/>
      <c r="J14" s="55" t="n"/>
      <c r="K14" s="18" t="n"/>
      <c r="L14" s="73" t="n"/>
      <c r="M14" s="73" t="n"/>
      <c r="N14" s="73" t="n"/>
      <c r="O14" s="19" t="n"/>
      <c r="P14" s="18" t="n"/>
      <c r="Q14" s="18" t="n"/>
      <c r="R14" s="73" t="n"/>
      <c r="S14" s="18" t="n"/>
      <c r="T14" s="18" t="n"/>
      <c r="U14" s="26">
        <f>D14+F14+-(H14+J14+L14+N14+P14+R14+T14)</f>
        <v/>
      </c>
      <c r="V14" t="inlineStr">
        <is>
          <t>SANITARY</t>
        </is>
      </c>
    </row>
    <row r="15" ht="15" customHeight="1">
      <c r="A15" s="22">
        <f>A14+1</f>
        <v/>
      </c>
      <c r="B15" s="27" t="inlineStr">
        <is>
          <t>RESIBON CUTTING WHEEL</t>
        </is>
      </c>
      <c r="C15" s="123" t="inlineStr">
        <is>
          <t xml:space="preserve">Lbr </t>
        </is>
      </c>
      <c r="D15" s="26">
        <f>'Week  (2)'!U15</f>
        <v/>
      </c>
      <c r="E15" s="125" t="n"/>
      <c r="F15" s="62" t="n"/>
      <c r="G15" s="25" t="n"/>
      <c r="H15" s="56" t="n"/>
      <c r="I15" s="25" t="n"/>
      <c r="J15" s="56" t="n"/>
      <c r="K15" s="25" t="n"/>
      <c r="L15" s="56" t="n"/>
      <c r="M15" s="25" t="n"/>
      <c r="N15" s="56" t="n"/>
      <c r="O15" s="25" t="n"/>
      <c r="P15" s="18" t="n"/>
      <c r="Q15" s="25" t="inlineStr">
        <is>
          <t>Reserviir tank</t>
        </is>
      </c>
      <c r="R15" s="18" t="n">
        <v>1</v>
      </c>
      <c r="S15" s="18" t="n"/>
      <c r="T15" s="18" t="n"/>
      <c r="U15" s="26">
        <f>D15+F15+-(H15+J15+L15+N15+P15+R15+T15)</f>
        <v/>
      </c>
      <c r="V15" t="inlineStr">
        <is>
          <t>CONSUMABLE</t>
        </is>
      </c>
    </row>
    <row r="16" ht="15" customHeight="1">
      <c r="A16" s="22">
        <f>A15+1</f>
        <v/>
      </c>
      <c r="B16" s="27" t="inlineStr">
        <is>
          <t>RESIBON GRINDING WHEEL</t>
        </is>
      </c>
      <c r="C16" s="123" t="inlineStr">
        <is>
          <t xml:space="preserve">Lbr </t>
        </is>
      </c>
      <c r="D16" s="26">
        <f>'Week  (2)'!U16</f>
        <v/>
      </c>
      <c r="E16" s="125" t="n"/>
      <c r="F16" s="55" t="n"/>
      <c r="G16" s="25" t="n"/>
      <c r="H16" s="55" t="n"/>
      <c r="I16" s="19" t="n"/>
      <c r="J16" s="55" t="n"/>
      <c r="K16" s="18" t="n"/>
      <c r="L16" s="73" t="n"/>
      <c r="M16" s="25" t="n"/>
      <c r="N16" s="56" t="n"/>
      <c r="O16" s="19" t="n"/>
      <c r="P16" s="18" t="n"/>
      <c r="Q16" s="18" t="n"/>
      <c r="R16" s="73" t="n"/>
      <c r="S16" s="18" t="n"/>
      <c r="T16" s="18" t="n"/>
      <c r="U16" s="26">
        <f>D16+F16+-(H16+J16+L16+N16+P16+R16+T16)</f>
        <v/>
      </c>
      <c r="V16" t="inlineStr">
        <is>
          <t>CONSUMABLE</t>
        </is>
      </c>
    </row>
    <row r="17" ht="13.5" customHeight="1">
      <c r="A17" s="22">
        <f>A16+1</f>
        <v/>
      </c>
      <c r="B17" s="79" t="inlineStr">
        <is>
          <t>Ball Valve 1/2" ONDA Kuningan</t>
        </is>
      </c>
      <c r="C17" s="29" t="inlineStr">
        <is>
          <t>Pcs</t>
        </is>
      </c>
      <c r="D17" s="26">
        <f>'Week  (2)'!U17</f>
        <v/>
      </c>
      <c r="E17" s="124" t="n"/>
      <c r="F17" s="62" t="n"/>
      <c r="G17" s="25" t="n"/>
      <c r="H17" s="56" t="n"/>
      <c r="I17" s="19" t="n"/>
      <c r="J17" s="64" t="n"/>
      <c r="K17" s="18" t="n"/>
      <c r="L17" s="73" t="n"/>
      <c r="M17" s="73" t="n"/>
      <c r="N17" s="73" t="n"/>
      <c r="O17" s="19" t="n"/>
      <c r="P17" s="18" t="n"/>
      <c r="Q17" s="18" t="n"/>
      <c r="R17" s="73" t="n"/>
      <c r="S17" s="18" t="n"/>
      <c r="T17" s="18" t="n"/>
      <c r="U17" s="26">
        <f>D17+F17+-(H17+J17+L17+N17+P17+R17+T17)</f>
        <v/>
      </c>
      <c r="V17" t="inlineStr">
        <is>
          <t>VALVE AND PIPE</t>
        </is>
      </c>
    </row>
    <row r="18" ht="13.5" customHeight="1">
      <c r="A18" s="22">
        <f>A17+1</f>
        <v/>
      </c>
      <c r="B18" s="79" t="inlineStr">
        <is>
          <t>Ball Valve 3/4" ONDA Kuningan</t>
        </is>
      </c>
      <c r="C18" s="29" t="inlineStr">
        <is>
          <t>Pcs</t>
        </is>
      </c>
      <c r="D18" s="26">
        <f>'Week  (2)'!U18</f>
        <v/>
      </c>
      <c r="E18" s="124" t="n"/>
      <c r="F18" s="55" t="n"/>
      <c r="G18" s="52" t="n"/>
      <c r="H18" s="55" t="n"/>
      <c r="I18" s="71" t="n"/>
      <c r="J18" s="55" t="n"/>
      <c r="K18" s="18" t="n"/>
      <c r="L18" s="73" t="n"/>
      <c r="M18" s="73" t="n"/>
      <c r="N18" s="73" t="n"/>
      <c r="O18" s="19" t="n"/>
      <c r="P18" s="18" t="n"/>
      <c r="Q18" s="18" t="n"/>
      <c r="R18" s="73" t="n"/>
      <c r="S18" s="18" t="n"/>
      <c r="T18" s="18" t="n"/>
      <c r="U18" s="26">
        <f>D18+F18+-(H18+J18+L18+N18+P18+R18+T18)</f>
        <v/>
      </c>
      <c r="V18" t="inlineStr">
        <is>
          <t>VALVE AND PIPE</t>
        </is>
      </c>
    </row>
    <row r="19" ht="15" customHeight="1">
      <c r="A19" s="22">
        <f>A18+1</f>
        <v/>
      </c>
      <c r="B19" s="30" t="inlineStr">
        <is>
          <t>BATTERY ALKALINE AA</t>
        </is>
      </c>
      <c r="C19" s="31" t="inlineStr">
        <is>
          <t>PCS</t>
        </is>
      </c>
      <c r="D19" s="26">
        <f>'Week  (2)'!U19</f>
        <v/>
      </c>
      <c r="E19" s="124" t="n"/>
      <c r="F19" s="62" t="n"/>
      <c r="G19" s="25" t="n"/>
      <c r="H19" s="56" t="n"/>
      <c r="I19" s="68" t="n"/>
      <c r="J19" s="56" t="n"/>
      <c r="K19" s="18" t="n"/>
      <c r="L19" s="73" t="n"/>
      <c r="M19" s="73" t="n"/>
      <c r="N19" s="73" t="n"/>
      <c r="O19" s="19" t="n"/>
      <c r="P19" s="18" t="n"/>
      <c r="Q19" s="19" t="n"/>
      <c r="R19" s="73" t="n"/>
      <c r="S19" s="18" t="n"/>
      <c r="T19" s="18" t="n"/>
      <c r="U19" s="26">
        <f>D19+F19+-(H19+J19+L19+N19+P19+R19+T19)</f>
        <v/>
      </c>
      <c r="V19" t="inlineStr">
        <is>
          <t>CONSUMABLE</t>
        </is>
      </c>
    </row>
    <row r="20" ht="45.75" customHeight="1">
      <c r="A20" s="22">
        <f>A19+1</f>
        <v/>
      </c>
      <c r="B20" s="30" t="inlineStr">
        <is>
          <t>BATTERY ALKALINE AAA</t>
        </is>
      </c>
      <c r="C20" s="123" t="inlineStr">
        <is>
          <t>PCS</t>
        </is>
      </c>
      <c r="D20" s="26">
        <f>'Week  (2)'!U20</f>
        <v/>
      </c>
      <c r="E20" s="124" t="n"/>
      <c r="F20" s="55" t="n"/>
      <c r="G20" s="25" t="n"/>
      <c r="H20" s="55" t="n"/>
      <c r="I20" s="71" t="n"/>
      <c r="J20" s="55" t="n"/>
      <c r="K20" s="18" t="n"/>
      <c r="L20" s="73" t="n"/>
      <c r="M20" s="73" t="n"/>
      <c r="N20" s="73" t="n"/>
      <c r="O20" s="19" t="n"/>
      <c r="P20" s="18" t="n"/>
      <c r="Q20" s="21" t="n"/>
      <c r="R20" s="73" t="n"/>
      <c r="S20" s="18" t="n"/>
      <c r="T20" s="18" t="n"/>
      <c r="U20" s="26">
        <f>D20+F20+-(H20+J20+L20+N20+P20+R20+T20)</f>
        <v/>
      </c>
      <c r="V20" t="inlineStr">
        <is>
          <t>CONSUMABLE</t>
        </is>
      </c>
    </row>
    <row r="21" ht="15" customHeight="1">
      <c r="A21" s="22">
        <f>A20+1</f>
        <v/>
      </c>
      <c r="B21" s="30" t="inlineStr">
        <is>
          <t>BATTERY KERING 6 VOLT</t>
        </is>
      </c>
      <c r="C21" s="123" t="inlineStr">
        <is>
          <t>PCS</t>
        </is>
      </c>
      <c r="D21" s="26">
        <f>'Week  (2)'!U21</f>
        <v/>
      </c>
      <c r="E21" s="124" t="n"/>
      <c r="F21" s="62" t="n"/>
      <c r="G21" s="25" t="n"/>
      <c r="H21" s="56" t="n"/>
      <c r="I21" s="19" t="n"/>
      <c r="J21" s="64" t="n"/>
      <c r="K21" s="18" t="n"/>
      <c r="L21" s="73" t="n"/>
      <c r="M21" s="73" t="n"/>
      <c r="N21" s="73" t="n"/>
      <c r="O21" s="19" t="n"/>
      <c r="P21" s="18" t="n"/>
      <c r="Q21" s="18" t="n"/>
      <c r="R21" s="73" t="n"/>
      <c r="S21" s="18" t="n"/>
      <c r="T21" s="18" t="n"/>
      <c r="U21" s="26">
        <f>D21+F21+-(H21+J21+L21+N21+P21+R21+T21)</f>
        <v/>
      </c>
      <c r="V21" t="inlineStr">
        <is>
          <t>CONSUMABLE</t>
        </is>
      </c>
    </row>
    <row r="22" ht="15" customFormat="1" customHeight="1" s="32">
      <c r="A22" s="22">
        <f>A21+1</f>
        <v/>
      </c>
      <c r="B22" s="122" t="inlineStr">
        <is>
          <t>Battery Kotak 9 Volt</t>
        </is>
      </c>
      <c r="C22" s="123" t="inlineStr">
        <is>
          <t>PCS</t>
        </is>
      </c>
      <c r="D22" s="26">
        <f>'Week  (2)'!U22</f>
        <v/>
      </c>
      <c r="E22" s="125" t="n"/>
      <c r="F22" s="55" t="n"/>
      <c r="G22" s="52" t="n"/>
      <c r="H22" s="55" t="n"/>
      <c r="I22" s="71" t="n"/>
      <c r="J22" s="55" t="n"/>
      <c r="K22" s="19" t="n"/>
      <c r="L22" s="73" t="n"/>
      <c r="M22" s="73" t="n"/>
      <c r="N22" s="73" t="n"/>
      <c r="O22" s="19" t="n"/>
      <c r="P22" s="18" t="n"/>
      <c r="Q22" s="19" t="n"/>
      <c r="R22" s="73" t="n"/>
      <c r="S22" s="18" t="n"/>
      <c r="T22" s="18" t="n"/>
      <c r="U22" s="26">
        <f>D22+F22+-(H22+J22+L22+N22+P22+R22+T22)</f>
        <v/>
      </c>
      <c r="V22" s="51" t="inlineStr">
        <is>
          <t>CONSUMABLE</t>
        </is>
      </c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  <c r="FX22" s="51" t="n"/>
      <c r="FY22" s="51" t="n"/>
      <c r="FZ22" s="51" t="n"/>
      <c r="GA22" s="51" t="n"/>
      <c r="GB22" s="51" t="n"/>
      <c r="GC22" s="51" t="n"/>
      <c r="GD22" s="51" t="n"/>
      <c r="GE22" s="51" t="n"/>
      <c r="GF22" s="51" t="n"/>
      <c r="GG22" s="51" t="n"/>
      <c r="GH22" s="51" t="n"/>
      <c r="GI22" s="51" t="n"/>
      <c r="GJ22" s="51" t="n"/>
      <c r="GK22" s="51" t="n"/>
      <c r="GL22" s="51" t="n"/>
      <c r="GM22" s="51" t="n"/>
      <c r="GN22" s="51" t="n"/>
      <c r="GO22" s="51" t="n"/>
      <c r="GP22" s="51" t="n"/>
      <c r="GQ22" s="51" t="n"/>
      <c r="GR22" s="51" t="n"/>
      <c r="GS22" s="51" t="n"/>
      <c r="GT22" s="51" t="n"/>
      <c r="GU22" s="51" t="n"/>
      <c r="GV22" s="51" t="n"/>
      <c r="GW22" s="51" t="n"/>
      <c r="GX22" s="51" t="n"/>
      <c r="GY22" s="51" t="n"/>
      <c r="GZ22" s="51" t="n"/>
      <c r="HA22" s="51" t="n"/>
      <c r="HB22" s="51" t="n"/>
      <c r="HC22" s="51" t="n"/>
      <c r="HD22" s="51" t="n"/>
      <c r="HE22" s="51" t="n"/>
      <c r="HF22" s="51" t="n"/>
      <c r="HG22" s="51" t="n"/>
      <c r="HH22" s="51" t="n"/>
      <c r="HI22" s="51" t="n"/>
      <c r="HJ22" s="51" t="n"/>
      <c r="HK22" s="51" t="n"/>
      <c r="HL22" s="51" t="n"/>
      <c r="HM22" s="51" t="n"/>
      <c r="HN22" s="51" t="n"/>
      <c r="HO22" s="51" t="n"/>
      <c r="HP22" s="51" t="n"/>
      <c r="HQ22" s="51" t="n"/>
      <c r="HR22" s="51" t="n"/>
      <c r="HS22" s="51" t="n"/>
      <c r="HT22" s="51" t="n"/>
      <c r="HU22" s="51" t="n"/>
      <c r="HV22" s="51" t="n"/>
      <c r="HW22" s="51" t="n"/>
      <c r="HX22" s="51" t="n"/>
      <c r="HY22" s="51" t="n"/>
      <c r="HZ22" s="51" t="n"/>
      <c r="IA22" s="51" t="n"/>
      <c r="IB22" s="51" t="n"/>
      <c r="IC22" s="51" t="n"/>
      <c r="ID22" s="51" t="n"/>
      <c r="IE22" s="51" t="n"/>
      <c r="IF22" s="51" t="n"/>
      <c r="IG22" s="51" t="n"/>
      <c r="IH22" s="51" t="n"/>
      <c r="II22" s="51" t="n"/>
      <c r="IJ22" s="51" t="n"/>
      <c r="IK22" s="51" t="n"/>
      <c r="IL22" s="51" t="n"/>
      <c r="IM22" s="51" t="n"/>
      <c r="IN22" s="51" t="n"/>
      <c r="IO22" s="51" t="n"/>
      <c r="IP22" s="51" t="n"/>
      <c r="IQ22" s="51" t="n"/>
      <c r="IR22" s="51" t="n"/>
      <c r="IS22" s="51" t="n"/>
      <c r="IT22" s="51" t="n"/>
      <c r="IU22" s="51" t="n"/>
      <c r="IV22" s="51" t="n"/>
      <c r="IW22" s="51" t="n"/>
      <c r="IX22" s="51" t="n"/>
      <c r="IY22" s="51" t="n"/>
      <c r="IZ22" s="51" t="n"/>
      <c r="JA22" s="51" t="n"/>
      <c r="JB22" s="51" t="n"/>
      <c r="JC22" s="51" t="n"/>
      <c r="JD22" s="51" t="n"/>
      <c r="JE22" s="51" t="n"/>
      <c r="JF22" s="51" t="n"/>
      <c r="JG22" s="51" t="n"/>
      <c r="JH22" s="51" t="n"/>
      <c r="JI22" s="51" t="n"/>
      <c r="JJ22" s="51" t="n"/>
      <c r="JK22" s="51" t="n"/>
      <c r="JL22" s="51" t="n"/>
      <c r="JM22" s="51" t="n"/>
      <c r="JN22" s="51" t="n"/>
      <c r="JO22" s="51" t="n"/>
      <c r="JP22" s="51" t="n"/>
      <c r="JQ22" s="51" t="n"/>
      <c r="JR22" s="51" t="n"/>
      <c r="JS22" s="51" t="n"/>
      <c r="JT22" s="51" t="n"/>
      <c r="JU22" s="51" t="n"/>
      <c r="JV22" s="51" t="n"/>
      <c r="JW22" s="51" t="n"/>
      <c r="JX22" s="51" t="n"/>
      <c r="JY22" s="51" t="n"/>
      <c r="JZ22" s="51" t="n"/>
      <c r="KA22" s="51" t="n"/>
      <c r="KB22" s="51" t="n"/>
      <c r="KC22" s="51" t="n"/>
      <c r="KD22" s="51" t="n"/>
      <c r="KE22" s="51" t="n"/>
      <c r="KF22" s="51" t="n"/>
      <c r="KG22" s="51" t="n"/>
      <c r="KH22" s="51" t="n"/>
      <c r="KI22" s="51" t="n"/>
      <c r="KJ22" s="51" t="n"/>
      <c r="KK22" s="51" t="n"/>
      <c r="KL22" s="51" t="n"/>
      <c r="KM22" s="51" t="n"/>
      <c r="KN22" s="51" t="n"/>
      <c r="KO22" s="51" t="n"/>
      <c r="KP22" s="51" t="n"/>
      <c r="KQ22" s="51" t="n"/>
      <c r="KR22" s="51" t="n"/>
      <c r="KS22" s="51" t="n"/>
      <c r="KT22" s="51" t="n"/>
      <c r="KU22" s="51" t="n"/>
      <c r="KV22" s="51" t="n"/>
      <c r="KW22" s="51" t="n"/>
      <c r="KX22" s="51" t="n"/>
      <c r="KY22" s="51" t="n"/>
      <c r="KZ22" s="51" t="n"/>
      <c r="LA22" s="51" t="n"/>
      <c r="LB22" s="51" t="n"/>
      <c r="LC22" s="51" t="n"/>
      <c r="LD22" s="51" t="n"/>
      <c r="LE22" s="51" t="n"/>
      <c r="LF22" s="51" t="n"/>
      <c r="LG22" s="51" t="n"/>
      <c r="LH22" s="51" t="n"/>
      <c r="LI22" s="51" t="n"/>
      <c r="LJ22" s="51" t="n"/>
      <c r="LK22" s="51" t="n"/>
      <c r="LL22" s="51" t="n"/>
      <c r="LM22" s="51" t="n"/>
      <c r="LN22" s="51" t="n"/>
      <c r="LO22" s="51" t="n"/>
      <c r="LP22" s="51" t="n"/>
      <c r="LQ22" s="51" t="n"/>
      <c r="LR22" s="51" t="n"/>
      <c r="LS22" s="51" t="n"/>
      <c r="LT22" s="51" t="n"/>
      <c r="LU22" s="51" t="n"/>
      <c r="LV22" s="51" t="n"/>
      <c r="LW22" s="51" t="n"/>
      <c r="LX22" s="51" t="n"/>
      <c r="LY22" s="51" t="n"/>
      <c r="LZ22" s="51" t="n"/>
      <c r="MA22" s="51" t="n"/>
      <c r="MB22" s="51" t="n"/>
      <c r="MC22" s="51" t="n"/>
      <c r="MD22" s="51" t="n"/>
      <c r="ME22" s="51" t="n"/>
      <c r="MF22" s="51" t="n"/>
      <c r="MG22" s="51" t="n"/>
      <c r="MH22" s="51" t="n"/>
      <c r="MI22" s="51" t="n"/>
      <c r="MJ22" s="51" t="n"/>
      <c r="MK22" s="51" t="n"/>
      <c r="ML22" s="51" t="n"/>
      <c r="MM22" s="51" t="n"/>
      <c r="MN22" s="51" t="n"/>
      <c r="MO22" s="51" t="n"/>
      <c r="MP22" s="51" t="n"/>
      <c r="MQ22" s="51" t="n"/>
      <c r="MR22" s="51" t="n"/>
      <c r="MS22" s="51" t="n"/>
      <c r="MT22" s="51" t="n"/>
      <c r="MU22" s="51" t="n"/>
      <c r="MV22" s="51" t="n"/>
      <c r="MW22" s="51" t="n"/>
      <c r="MX22" s="51" t="n"/>
      <c r="MY22" s="51" t="n"/>
      <c r="MZ22" s="51" t="n"/>
      <c r="NA22" s="51" t="n"/>
      <c r="NB22" s="51" t="n"/>
      <c r="NC22" s="51" t="n"/>
      <c r="ND22" s="51" t="n"/>
      <c r="NE22" s="51" t="n"/>
      <c r="NF22" s="51" t="n"/>
      <c r="NG22" s="51" t="n"/>
      <c r="NH22" s="51" t="n"/>
      <c r="NI22" s="51" t="n"/>
      <c r="NJ22" s="51" t="n"/>
      <c r="NK22" s="51" t="n"/>
      <c r="NL22" s="51" t="n"/>
      <c r="NM22" s="51" t="n"/>
      <c r="NN22" s="51" t="n"/>
      <c r="NO22" s="51" t="n"/>
      <c r="NP22" s="51" t="n"/>
      <c r="NQ22" s="51" t="n"/>
      <c r="NR22" s="51" t="n"/>
      <c r="NS22" s="51" t="n"/>
      <c r="NT22" s="51" t="n"/>
      <c r="NU22" s="51" t="n"/>
      <c r="NV22" s="51" t="n"/>
      <c r="NW22" s="51" t="n"/>
      <c r="NX22" s="51" t="n"/>
      <c r="NY22" s="51" t="n"/>
      <c r="NZ22" s="51" t="n"/>
      <c r="OA22" s="51" t="n"/>
      <c r="OB22" s="51" t="n"/>
      <c r="OC22" s="51" t="n"/>
      <c r="OD22" s="51" t="n"/>
      <c r="OE22" s="51" t="n"/>
      <c r="OF22" s="51" t="n"/>
      <c r="OG22" s="51" t="n"/>
      <c r="OH22" s="51" t="n"/>
      <c r="OI22" s="51" t="n"/>
      <c r="OJ22" s="51" t="n"/>
      <c r="OK22" s="51" t="n"/>
      <c r="OL22" s="51" t="n"/>
      <c r="OM22" s="51" t="n"/>
      <c r="ON22" s="51" t="n"/>
      <c r="OO22" s="51" t="n"/>
      <c r="OP22" s="51" t="n"/>
      <c r="OQ22" s="51" t="n"/>
      <c r="OR22" s="51" t="n"/>
      <c r="OS22" s="51" t="n"/>
      <c r="OT22" s="51" t="n"/>
      <c r="OU22" s="51" t="n"/>
      <c r="OV22" s="51" t="n"/>
      <c r="OW22" s="51" t="n"/>
      <c r="OX22" s="51" t="n"/>
      <c r="OY22" s="51" t="n"/>
      <c r="OZ22" s="51" t="n"/>
      <c r="PA22" s="51" t="n"/>
      <c r="PB22" s="51" t="n"/>
      <c r="PC22" s="51" t="n"/>
      <c r="PD22" s="51" t="n"/>
      <c r="PE22" s="51" t="n"/>
      <c r="PF22" s="51" t="n"/>
      <c r="PG22" s="51" t="n"/>
      <c r="PH22" s="51" t="n"/>
      <c r="PI22" s="51" t="n"/>
      <c r="PJ22" s="51" t="n"/>
      <c r="PK22" s="51" t="n"/>
      <c r="PL22" s="51" t="n"/>
      <c r="PM22" s="51" t="n"/>
      <c r="PN22" s="51" t="n"/>
      <c r="PO22" s="51" t="n"/>
      <c r="PP22" s="51" t="n"/>
      <c r="PQ22" s="51" t="n"/>
      <c r="PR22" s="51" t="n"/>
      <c r="PS22" s="51" t="n"/>
      <c r="PT22" s="51" t="n"/>
      <c r="PU22" s="51" t="n"/>
      <c r="PV22" s="51" t="n"/>
      <c r="PW22" s="51" t="n"/>
      <c r="PX22" s="51" t="n"/>
      <c r="PY22" s="51" t="n"/>
      <c r="PZ22" s="51" t="n"/>
      <c r="QA22" s="51" t="n"/>
      <c r="QB22" s="51" t="n"/>
      <c r="QC22" s="51" t="n"/>
      <c r="QD22" s="51" t="n"/>
      <c r="QE22" s="51" t="n"/>
      <c r="QF22" s="51" t="n"/>
      <c r="QG22" s="51" t="n"/>
      <c r="QH22" s="51" t="n"/>
      <c r="QI22" s="51" t="n"/>
      <c r="QJ22" s="51" t="n"/>
      <c r="QK22" s="51" t="n"/>
      <c r="QL22" s="51" t="n"/>
      <c r="QM22" s="51" t="n"/>
      <c r="QN22" s="51" t="n"/>
      <c r="QO22" s="51" t="n"/>
      <c r="QP22" s="51" t="n"/>
      <c r="QQ22" s="51" t="n"/>
      <c r="QR22" s="51" t="n"/>
      <c r="QS22" s="51" t="n"/>
      <c r="QT22" s="51" t="n"/>
      <c r="QU22" s="51" t="n"/>
      <c r="QV22" s="51" t="n"/>
      <c r="QW22" s="51" t="n"/>
      <c r="QX22" s="51" t="n"/>
      <c r="QY22" s="51" t="n"/>
      <c r="QZ22" s="51" t="n"/>
      <c r="RA22" s="51" t="n"/>
      <c r="RB22" s="51" t="n"/>
      <c r="RC22" s="51" t="n"/>
      <c r="RD22" s="51" t="n"/>
      <c r="RE22" s="51" t="n"/>
      <c r="RF22" s="51" t="n"/>
      <c r="RG22" s="51" t="n"/>
      <c r="RH22" s="51" t="n"/>
      <c r="RI22" s="51" t="n"/>
      <c r="RJ22" s="51" t="n"/>
      <c r="RK22" s="51" t="n"/>
      <c r="RL22" s="51" t="n"/>
      <c r="RM22" s="51" t="n"/>
      <c r="RN22" s="51" t="n"/>
      <c r="RO22" s="51" t="n"/>
      <c r="RP22" s="51" t="n"/>
      <c r="RQ22" s="51" t="n"/>
      <c r="RR22" s="51" t="n"/>
      <c r="RS22" s="51" t="n"/>
      <c r="RT22" s="51" t="n"/>
      <c r="RU22" s="51" t="n"/>
      <c r="RV22" s="51" t="n"/>
      <c r="RW22" s="51" t="n"/>
      <c r="RX22" s="51" t="n"/>
      <c r="RY22" s="51" t="n"/>
      <c r="RZ22" s="51" t="n"/>
      <c r="SA22" s="51" t="n"/>
      <c r="SB22" s="51" t="n"/>
      <c r="SC22" s="51" t="n"/>
      <c r="SD22" s="51" t="n"/>
      <c r="SE22" s="51" t="n"/>
      <c r="SF22" s="51" t="n"/>
      <c r="SG22" s="51" t="n"/>
      <c r="SH22" s="51" t="n"/>
      <c r="SI22" s="51" t="n"/>
      <c r="SJ22" s="51" t="n"/>
      <c r="SK22" s="51" t="n"/>
      <c r="SL22" s="51" t="n"/>
      <c r="SM22" s="51" t="n"/>
      <c r="SN22" s="51" t="n"/>
      <c r="SO22" s="51" t="n"/>
      <c r="SP22" s="51" t="n"/>
      <c r="SQ22" s="51" t="n"/>
      <c r="SR22" s="51" t="n"/>
      <c r="SS22" s="51" t="n"/>
      <c r="ST22" s="51" t="n"/>
      <c r="SU22" s="51" t="n"/>
      <c r="SV22" s="51" t="n"/>
      <c r="SW22" s="51" t="n"/>
      <c r="SX22" s="51" t="n"/>
      <c r="SY22" s="51" t="n"/>
      <c r="SZ22" s="51" t="n"/>
      <c r="TA22" s="51" t="n"/>
      <c r="TB22" s="51" t="n"/>
      <c r="TC22" s="51" t="n"/>
      <c r="TD22" s="51" t="n"/>
      <c r="TE22" s="51" t="n"/>
      <c r="TF22" s="51" t="n"/>
      <c r="TG22" s="51" t="n"/>
      <c r="TH22" s="51" t="n"/>
      <c r="TI22" s="51" t="n"/>
      <c r="TJ22" s="51" t="n"/>
      <c r="TK22" s="51" t="n"/>
      <c r="TL22" s="51" t="n"/>
      <c r="TM22" s="51" t="n"/>
      <c r="TN22" s="51" t="n"/>
      <c r="TO22" s="51" t="n"/>
      <c r="TP22" s="51" t="n"/>
      <c r="TQ22" s="51" t="n"/>
      <c r="TR22" s="51" t="n"/>
      <c r="TS22" s="51" t="n"/>
      <c r="TT22" s="51" t="n"/>
      <c r="TU22" s="51" t="n"/>
      <c r="TV22" s="51" t="n"/>
      <c r="TW22" s="51" t="n"/>
      <c r="TX22" s="51" t="n"/>
      <c r="TY22" s="51" t="n"/>
      <c r="TZ22" s="51" t="n"/>
      <c r="UA22" s="51" t="n"/>
      <c r="UB22" s="51" t="n"/>
      <c r="UC22" s="51" t="n"/>
      <c r="UD22" s="51" t="n"/>
      <c r="UE22" s="51" t="n"/>
      <c r="UF22" s="51" t="n"/>
      <c r="UG22" s="51" t="n"/>
      <c r="UH22" s="51" t="n"/>
      <c r="UI22" s="51" t="n"/>
      <c r="UJ22" s="51" t="n"/>
      <c r="UK22" s="51" t="n"/>
      <c r="UL22" s="51" t="n"/>
      <c r="UM22" s="51" t="n"/>
      <c r="UN22" s="51" t="n"/>
      <c r="UO22" s="51" t="n"/>
      <c r="UP22" s="51" t="n"/>
      <c r="UQ22" s="51" t="n"/>
      <c r="UR22" s="51" t="n"/>
      <c r="US22" s="51" t="n"/>
      <c r="UT22" s="51" t="n"/>
      <c r="UU22" s="51" t="n"/>
      <c r="UV22" s="51" t="n"/>
      <c r="UW22" s="51" t="n"/>
      <c r="UX22" s="51" t="n"/>
      <c r="UY22" s="51" t="n"/>
      <c r="UZ22" s="51" t="n"/>
      <c r="VA22" s="51" t="n"/>
      <c r="VB22" s="51" t="n"/>
      <c r="VC22" s="51" t="n"/>
      <c r="VD22" s="51" t="n"/>
      <c r="VE22" s="51" t="n"/>
      <c r="VF22" s="51" t="n"/>
      <c r="VG22" s="51" t="n"/>
      <c r="VH22" s="51" t="n"/>
      <c r="VI22" s="51" t="n"/>
      <c r="VJ22" s="51" t="n"/>
      <c r="VK22" s="51" t="n"/>
      <c r="VL22" s="51" t="n"/>
      <c r="VM22" s="51" t="n"/>
      <c r="VN22" s="51" t="n"/>
      <c r="VO22" s="51" t="n"/>
      <c r="VP22" s="51" t="n"/>
      <c r="VQ22" s="51" t="n"/>
      <c r="VR22" s="51" t="n"/>
      <c r="VS22" s="51" t="n"/>
      <c r="VT22" s="51" t="n"/>
      <c r="VU22" s="51" t="n"/>
      <c r="VV22" s="51" t="n"/>
      <c r="VW22" s="51" t="n"/>
      <c r="VX22" s="51" t="n"/>
      <c r="VY22" s="51" t="n"/>
      <c r="VZ22" s="51" t="n"/>
      <c r="WA22" s="51" t="n"/>
      <c r="WB22" s="51" t="n"/>
      <c r="WC22" s="51" t="n"/>
      <c r="WD22" s="51" t="n"/>
      <c r="WE22" s="51" t="n"/>
      <c r="WF22" s="51" t="n"/>
      <c r="WG22" s="51" t="n"/>
      <c r="WH22" s="51" t="n"/>
      <c r="WI22" s="51" t="n"/>
      <c r="WJ22" s="51" t="n"/>
      <c r="WK22" s="51" t="n"/>
      <c r="WL22" s="51" t="n"/>
      <c r="WM22" s="51" t="n"/>
      <c r="WN22" s="51" t="n"/>
      <c r="WO22" s="51" t="n"/>
      <c r="WP22" s="51" t="n"/>
      <c r="WQ22" s="51" t="n"/>
      <c r="WR22" s="51" t="n"/>
      <c r="WS22" s="51" t="n"/>
      <c r="WT22" s="51" t="n"/>
      <c r="WU22" s="51" t="n"/>
      <c r="WV22" s="51" t="n"/>
      <c r="WW22" s="51" t="n"/>
      <c r="WX22" s="51" t="n"/>
      <c r="WY22" s="51" t="n"/>
      <c r="WZ22" s="51" t="n"/>
      <c r="XA22" s="51" t="n"/>
      <c r="XB22" s="51" t="n"/>
      <c r="XC22" s="51" t="n"/>
      <c r="XD22" s="51" t="n"/>
      <c r="XE22" s="51" t="n"/>
      <c r="XF22" s="51" t="n"/>
      <c r="XG22" s="51" t="n"/>
      <c r="XH22" s="51" t="n"/>
      <c r="XI22" s="51" t="n"/>
      <c r="XJ22" s="51" t="n"/>
      <c r="XK22" s="51" t="n"/>
      <c r="XL22" s="51" t="n"/>
      <c r="XM22" s="51" t="n"/>
      <c r="XN22" s="51" t="n"/>
      <c r="XO22" s="51" t="n"/>
      <c r="XP22" s="51" t="n"/>
      <c r="XQ22" s="51" t="n"/>
      <c r="XR22" s="51" t="n"/>
      <c r="XS22" s="51" t="n"/>
      <c r="XT22" s="51" t="n"/>
      <c r="XU22" s="51" t="n"/>
      <c r="XV22" s="51" t="n"/>
      <c r="XW22" s="51" t="n"/>
      <c r="XX22" s="51" t="n"/>
      <c r="XY22" s="51" t="n"/>
      <c r="XZ22" s="51" t="n"/>
      <c r="YA22" s="51" t="n"/>
      <c r="YB22" s="51" t="n"/>
      <c r="YC22" s="51" t="n"/>
      <c r="YD22" s="51" t="n"/>
      <c r="YE22" s="51" t="n"/>
      <c r="YF22" s="51" t="n"/>
      <c r="YG22" s="51" t="n"/>
      <c r="YH22" s="51" t="n"/>
      <c r="YI22" s="51" t="n"/>
      <c r="YJ22" s="51" t="n"/>
      <c r="YK22" s="51" t="n"/>
      <c r="YL22" s="51" t="n"/>
      <c r="YM22" s="51" t="n"/>
      <c r="YN22" s="51" t="n"/>
      <c r="YO22" s="51" t="n"/>
      <c r="YP22" s="51" t="n"/>
      <c r="YQ22" s="51" t="n"/>
      <c r="YR22" s="51" t="n"/>
      <c r="YS22" s="51" t="n"/>
      <c r="YT22" s="51" t="n"/>
      <c r="YU22" s="51" t="n"/>
      <c r="YV22" s="51" t="n"/>
      <c r="YW22" s="51" t="n"/>
      <c r="YX22" s="51" t="n"/>
      <c r="YY22" s="51" t="n"/>
      <c r="YZ22" s="51" t="n"/>
      <c r="ZA22" s="51" t="n"/>
      <c r="ZB22" s="51" t="n"/>
      <c r="ZC22" s="51" t="n"/>
      <c r="ZD22" s="51" t="n"/>
      <c r="ZE22" s="51" t="n"/>
      <c r="ZF22" s="51" t="n"/>
      <c r="ZG22" s="51" t="n"/>
      <c r="ZH22" s="51" t="n"/>
      <c r="ZI22" s="51" t="n"/>
      <c r="ZJ22" s="51" t="n"/>
      <c r="ZK22" s="51" t="n"/>
      <c r="ZL22" s="51" t="n"/>
      <c r="ZM22" s="51" t="n"/>
      <c r="ZN22" s="51" t="n"/>
      <c r="ZO22" s="51" t="n"/>
      <c r="ZP22" s="51" t="n"/>
      <c r="ZQ22" s="51" t="n"/>
      <c r="ZR22" s="51" t="n"/>
      <c r="ZS22" s="51" t="n"/>
      <c r="ZT22" s="51" t="n"/>
      <c r="ZU22" s="51" t="n"/>
      <c r="ZV22" s="51" t="n"/>
      <c r="ZW22" s="51" t="n"/>
      <c r="ZX22" s="51" t="n"/>
      <c r="ZY22" s="51" t="n"/>
      <c r="ZZ22" s="51" t="n"/>
      <c r="AAA22" s="51" t="n"/>
      <c r="AAB22" s="51" t="n"/>
      <c r="AAC22" s="51" t="n"/>
      <c r="AAD22" s="51" t="n"/>
      <c r="AAE22" s="51" t="n"/>
      <c r="AAF22" s="51" t="n"/>
      <c r="AAG22" s="51" t="n"/>
      <c r="AAH22" s="51" t="n"/>
      <c r="AAI22" s="51" t="n"/>
      <c r="AAJ22" s="51" t="n"/>
      <c r="AAK22" s="51" t="n"/>
      <c r="AAL22" s="51" t="n"/>
      <c r="AAM22" s="51" t="n"/>
      <c r="AAN22" s="51" t="n"/>
      <c r="AAO22" s="51" t="n"/>
      <c r="AAP22" s="51" t="n"/>
      <c r="AAQ22" s="51" t="n"/>
      <c r="AAR22" s="51" t="n"/>
      <c r="AAS22" s="51" t="n"/>
      <c r="AAT22" s="51" t="n"/>
      <c r="AAU22" s="51" t="n"/>
      <c r="AAV22" s="51" t="n"/>
      <c r="AAW22" s="51" t="n"/>
      <c r="AAX22" s="51" t="n"/>
      <c r="AAY22" s="51" t="n"/>
      <c r="AAZ22" s="51" t="n"/>
      <c r="ABA22" s="51" t="n"/>
      <c r="ABB22" s="51" t="n"/>
      <c r="ABC22" s="51" t="n"/>
      <c r="ABD22" s="51" t="n"/>
      <c r="ABE22" s="51" t="n"/>
      <c r="ABF22" s="51" t="n"/>
      <c r="ABG22" s="51" t="n"/>
      <c r="ABH22" s="51" t="n"/>
      <c r="ABI22" s="51" t="n"/>
      <c r="ABJ22" s="51" t="n"/>
      <c r="ABK22" s="51" t="n"/>
      <c r="ABL22" s="51" t="n"/>
      <c r="ABM22" s="51" t="n"/>
      <c r="ABN22" s="51" t="n"/>
      <c r="ABO22" s="51" t="n"/>
      <c r="ABP22" s="51" t="n"/>
      <c r="ABQ22" s="51" t="n"/>
      <c r="ABR22" s="51" t="n"/>
      <c r="ABS22" s="51" t="n"/>
      <c r="ABT22" s="51" t="n"/>
      <c r="ABU22" s="51" t="n"/>
      <c r="ABV22" s="51" t="n"/>
      <c r="ABW22" s="51" t="n"/>
      <c r="ABX22" s="51" t="n"/>
      <c r="ABY22" s="51" t="n"/>
      <c r="ABZ22" s="51" t="n"/>
      <c r="ACA22" s="51" t="n"/>
      <c r="ACB22" s="51" t="n"/>
      <c r="ACC22" s="51" t="n"/>
      <c r="ACD22" s="51" t="n"/>
      <c r="ACE22" s="51" t="n"/>
      <c r="ACF22" s="51" t="n"/>
      <c r="ACG22" s="51" t="n"/>
      <c r="ACH22" s="51" t="n"/>
      <c r="ACI22" s="51" t="n"/>
      <c r="ACJ22" s="51" t="n"/>
      <c r="ACK22" s="51" t="n"/>
      <c r="ACL22" s="51" t="n"/>
      <c r="ACM22" s="51" t="n"/>
      <c r="ACN22" s="51" t="n"/>
      <c r="ACO22" s="51" t="n"/>
      <c r="ACP22" s="51" t="n"/>
      <c r="ACQ22" s="51" t="n"/>
      <c r="ACR22" s="51" t="n"/>
      <c r="ACS22" s="51" t="n"/>
      <c r="ACT22" s="51" t="n"/>
      <c r="ACU22" s="51" t="n"/>
      <c r="ACV22" s="51" t="n"/>
      <c r="ACW22" s="51" t="n"/>
      <c r="ACX22" s="51" t="n"/>
      <c r="ACY22" s="51" t="n"/>
      <c r="ACZ22" s="51" t="n"/>
      <c r="ADA22" s="51" t="n"/>
      <c r="ADB22" s="51" t="n"/>
      <c r="ADC22" s="51" t="n"/>
      <c r="ADD22" s="51" t="n"/>
      <c r="ADE22" s="51" t="n"/>
      <c r="ADF22" s="51" t="n"/>
      <c r="ADG22" s="51" t="n"/>
      <c r="ADH22" s="51" t="n"/>
      <c r="ADI22" s="51" t="n"/>
      <c r="ADJ22" s="51" t="n"/>
      <c r="ADK22" s="51" t="n"/>
      <c r="ADL22" s="51" t="n"/>
      <c r="ADM22" s="51" t="n"/>
      <c r="ADN22" s="51" t="n"/>
      <c r="ADO22" s="51" t="n"/>
      <c r="ADP22" s="51" t="n"/>
      <c r="ADQ22" s="51" t="n"/>
      <c r="ADR22" s="51" t="n"/>
      <c r="ADS22" s="51" t="n"/>
      <c r="ADT22" s="51" t="n"/>
      <c r="ADU22" s="51" t="n"/>
      <c r="ADV22" s="51" t="n"/>
      <c r="ADW22" s="51" t="n"/>
      <c r="ADX22" s="51" t="n"/>
      <c r="ADY22" s="51" t="n"/>
      <c r="ADZ22" s="51" t="n"/>
      <c r="AEA22" s="51" t="n"/>
      <c r="AEB22" s="51" t="n"/>
      <c r="AEC22" s="51" t="n"/>
      <c r="AED22" s="51" t="n"/>
      <c r="AEE22" s="51" t="n"/>
      <c r="AEF22" s="51" t="n"/>
      <c r="AEG22" s="51" t="n"/>
      <c r="AEH22" s="51" t="n"/>
      <c r="AEI22" s="51" t="n"/>
      <c r="AEJ22" s="51" t="n"/>
      <c r="AEK22" s="51" t="n"/>
      <c r="AEL22" s="51" t="n"/>
      <c r="AEM22" s="51" t="n"/>
      <c r="AEN22" s="51" t="n"/>
      <c r="AEO22" s="51" t="n"/>
      <c r="AEP22" s="51" t="n"/>
      <c r="AEQ22" s="51" t="n"/>
      <c r="AER22" s="51" t="n"/>
      <c r="AES22" s="51" t="n"/>
      <c r="AET22" s="51" t="n"/>
      <c r="AEU22" s="51" t="n"/>
      <c r="AEV22" s="51" t="n"/>
      <c r="AEW22" s="51" t="n"/>
      <c r="AEX22" s="51" t="n"/>
      <c r="AEY22" s="51" t="n"/>
      <c r="AEZ22" s="51" t="n"/>
      <c r="AFA22" s="51" t="n"/>
      <c r="AFB22" s="51" t="n"/>
      <c r="AFC22" s="51" t="n"/>
      <c r="AFD22" s="51" t="n"/>
      <c r="AFE22" s="51" t="n"/>
      <c r="AFF22" s="51" t="n"/>
      <c r="AFG22" s="51" t="n"/>
      <c r="AFH22" s="51" t="n"/>
      <c r="AFI22" s="51" t="n"/>
      <c r="AFJ22" s="51" t="n"/>
      <c r="AFK22" s="51" t="n"/>
      <c r="AFL22" s="51" t="n"/>
      <c r="AFM22" s="51" t="n"/>
      <c r="AFN22" s="51" t="n"/>
      <c r="AFO22" s="51" t="n"/>
      <c r="AFP22" s="51" t="n"/>
      <c r="AFQ22" s="51" t="n"/>
      <c r="AFR22" s="51" t="n"/>
      <c r="AFS22" s="51" t="n"/>
      <c r="AFT22" s="51" t="n"/>
      <c r="AFU22" s="51" t="n"/>
      <c r="AFV22" s="51" t="n"/>
      <c r="AFW22" s="51" t="n"/>
      <c r="AFX22" s="51" t="n"/>
      <c r="AFY22" s="51" t="n"/>
      <c r="AFZ22" s="51" t="n"/>
      <c r="AGA22" s="51" t="n"/>
      <c r="AGB22" s="51" t="n"/>
      <c r="AGC22" s="51" t="n"/>
      <c r="AGD22" s="51" t="n"/>
      <c r="AGE22" s="51" t="n"/>
      <c r="AGF22" s="51" t="n"/>
      <c r="AGG22" s="51" t="n"/>
      <c r="AGH22" s="51" t="n"/>
      <c r="AGI22" s="51" t="n"/>
      <c r="AGJ22" s="51" t="n"/>
      <c r="AGK22" s="51" t="n"/>
      <c r="AGL22" s="51" t="n"/>
      <c r="AGM22" s="51" t="n"/>
      <c r="AGN22" s="51" t="n"/>
      <c r="AGO22" s="51" t="n"/>
      <c r="AGP22" s="51" t="n"/>
      <c r="AGQ22" s="51" t="n"/>
      <c r="AGR22" s="51" t="n"/>
      <c r="AGS22" s="51" t="n"/>
      <c r="AGT22" s="51" t="n"/>
      <c r="AGU22" s="51" t="n"/>
      <c r="AGV22" s="51" t="n"/>
      <c r="AGW22" s="51" t="n"/>
      <c r="AGX22" s="51" t="n"/>
      <c r="AGY22" s="51" t="n"/>
      <c r="AGZ22" s="51" t="n"/>
      <c r="AHA22" s="51" t="n"/>
      <c r="AHB22" s="51" t="n"/>
      <c r="AHC22" s="51" t="n"/>
      <c r="AHD22" s="51" t="n"/>
      <c r="AHE22" s="51" t="n"/>
      <c r="AHF22" s="51" t="n"/>
      <c r="AHG22" s="51" t="n"/>
      <c r="AHH22" s="51" t="n"/>
      <c r="AHI22" s="51" t="n"/>
      <c r="AHJ22" s="51" t="n"/>
      <c r="AHK22" s="51" t="n"/>
      <c r="AHL22" s="51" t="n"/>
      <c r="AHM22" s="51" t="n"/>
      <c r="AHN22" s="51" t="n"/>
      <c r="AHO22" s="51" t="n"/>
      <c r="AHP22" s="51" t="n"/>
      <c r="AHQ22" s="51" t="n"/>
      <c r="AHR22" s="51" t="n"/>
      <c r="AHS22" s="51" t="n"/>
      <c r="AHT22" s="51" t="n"/>
      <c r="AHU22" s="51" t="n"/>
      <c r="AHV22" s="51" t="n"/>
      <c r="AHW22" s="51" t="n"/>
      <c r="AHX22" s="51" t="n"/>
      <c r="AHY22" s="51" t="n"/>
      <c r="AHZ22" s="51" t="n"/>
      <c r="AIA22" s="51" t="n"/>
      <c r="AIB22" s="51" t="n"/>
      <c r="AIC22" s="51" t="n"/>
      <c r="AID22" s="51" t="n"/>
      <c r="AIE22" s="51" t="n"/>
      <c r="AIF22" s="51" t="n"/>
      <c r="AIG22" s="51" t="n"/>
      <c r="AIH22" s="51" t="n"/>
      <c r="AII22" s="51" t="n"/>
      <c r="AIJ22" s="51" t="n"/>
      <c r="AIK22" s="51" t="n"/>
      <c r="AIL22" s="51" t="n"/>
      <c r="AIM22" s="51" t="n"/>
      <c r="AIN22" s="51" t="n"/>
      <c r="AIO22" s="51" t="n"/>
      <c r="AIP22" s="51" t="n"/>
      <c r="AIQ22" s="51" t="n"/>
      <c r="AIR22" s="51" t="n"/>
      <c r="AIS22" s="51" t="n"/>
      <c r="AIT22" s="51" t="n"/>
      <c r="AIU22" s="51" t="n"/>
      <c r="AIV22" s="51" t="n"/>
      <c r="AIW22" s="51" t="n"/>
      <c r="AIX22" s="51" t="n"/>
      <c r="AIY22" s="51" t="n"/>
      <c r="AIZ22" s="51" t="n"/>
      <c r="AJA22" s="51" t="n"/>
      <c r="AJB22" s="51" t="n"/>
      <c r="AJC22" s="51" t="n"/>
      <c r="AJD22" s="51" t="n"/>
      <c r="AJE22" s="51" t="n"/>
      <c r="AJF22" s="51" t="n"/>
      <c r="AJG22" s="51" t="n"/>
      <c r="AJH22" s="51" t="n"/>
      <c r="AJI22" s="51" t="n"/>
      <c r="AJJ22" s="51" t="n"/>
      <c r="AJK22" s="51" t="n"/>
      <c r="AJL22" s="51" t="n"/>
      <c r="AJM22" s="51" t="n"/>
      <c r="AJN22" s="51" t="n"/>
      <c r="AJO22" s="51" t="n"/>
      <c r="AJP22" s="51" t="n"/>
      <c r="AJQ22" s="51" t="n"/>
      <c r="AJR22" s="51" t="n"/>
      <c r="AJS22" s="51" t="n"/>
      <c r="AJT22" s="51" t="n"/>
      <c r="AJU22" s="51" t="n"/>
      <c r="AJV22" s="51" t="n"/>
      <c r="AJW22" s="51" t="n"/>
      <c r="AJX22" s="51" t="n"/>
      <c r="AJY22" s="51" t="n"/>
      <c r="AJZ22" s="51" t="n"/>
      <c r="AKA22" s="51" t="n"/>
      <c r="AKB22" s="51" t="n"/>
      <c r="AKC22" s="51" t="n"/>
      <c r="AKD22" s="51" t="n"/>
      <c r="AKE22" s="51" t="n"/>
      <c r="AKF22" s="51" t="n"/>
      <c r="AKG22" s="51" t="n"/>
      <c r="AKH22" s="51" t="n"/>
      <c r="AKI22" s="51" t="n"/>
      <c r="AKJ22" s="51" t="n"/>
      <c r="AKK22" s="51" t="n"/>
      <c r="AKL22" s="51" t="n"/>
      <c r="AKM22" s="51" t="n"/>
      <c r="AKN22" s="51" t="n"/>
      <c r="AKO22" s="51" t="n"/>
      <c r="AKP22" s="51" t="n"/>
      <c r="AKQ22" s="51" t="n"/>
      <c r="AKR22" s="51" t="n"/>
      <c r="AKS22" s="51" t="n"/>
      <c r="AKT22" s="51" t="n"/>
      <c r="AKU22" s="51" t="n"/>
      <c r="AKV22" s="51" t="n"/>
      <c r="AKW22" s="51" t="n"/>
      <c r="AKX22" s="51" t="n"/>
      <c r="AKY22" s="51" t="n"/>
      <c r="AKZ22" s="51" t="n"/>
      <c r="ALA22" s="51" t="n"/>
      <c r="ALB22" s="51" t="n"/>
      <c r="ALC22" s="51" t="n"/>
      <c r="ALD22" s="51" t="n"/>
      <c r="ALE22" s="51" t="n"/>
      <c r="ALF22" s="51" t="n"/>
      <c r="ALG22" s="51" t="n"/>
      <c r="ALH22" s="51" t="n"/>
      <c r="ALI22" s="51" t="n"/>
      <c r="ALJ22" s="51" t="n"/>
      <c r="ALK22" s="51" t="n"/>
      <c r="ALL22" s="51" t="n"/>
      <c r="ALM22" s="51" t="n"/>
      <c r="ALN22" s="51" t="n"/>
      <c r="ALO22" s="51" t="n"/>
      <c r="ALP22" s="51" t="n"/>
      <c r="ALQ22" s="51" t="n"/>
      <c r="ALR22" s="51" t="n"/>
      <c r="ALS22" s="51" t="n"/>
      <c r="ALT22" s="51" t="n"/>
      <c r="ALU22" s="51" t="n"/>
      <c r="ALV22" s="51" t="n"/>
      <c r="ALW22" s="51" t="n"/>
      <c r="ALX22" s="51" t="n"/>
      <c r="ALY22" s="51" t="n"/>
      <c r="ALZ22" s="51" t="n"/>
      <c r="AMA22" s="51" t="n"/>
      <c r="AMB22" s="51" t="n"/>
      <c r="AMC22" s="51" t="n"/>
      <c r="AMD22" s="51" t="n"/>
      <c r="AME22" s="51" t="n"/>
      <c r="AMF22" s="51" t="n"/>
      <c r="AMG22" s="51" t="n"/>
      <c r="AMH22" s="51" t="n"/>
      <c r="AMI22" s="51" t="n"/>
      <c r="AMJ22" s="51" t="n"/>
      <c r="AMK22" s="51" t="n"/>
      <c r="AML22" s="51" t="n"/>
      <c r="AMM22" s="51" t="n"/>
      <c r="AMN22" s="51" t="n"/>
      <c r="AMO22" s="51" t="n"/>
      <c r="AMP22" s="51" t="n"/>
      <c r="AMQ22" s="51" t="n"/>
      <c r="AMR22" s="51" t="n"/>
      <c r="AMS22" s="51" t="n"/>
      <c r="AMT22" s="51" t="n"/>
      <c r="AMU22" s="51" t="n"/>
      <c r="AMV22" s="51" t="n"/>
      <c r="AMW22" s="51" t="n"/>
      <c r="AMX22" s="51" t="n"/>
      <c r="AMY22" s="51" t="n"/>
      <c r="AMZ22" s="51" t="n"/>
      <c r="ANA22" s="51" t="n"/>
      <c r="ANB22" s="51" t="n"/>
      <c r="ANC22" s="51" t="n"/>
      <c r="AND22" s="51" t="n"/>
      <c r="ANE22" s="51" t="n"/>
      <c r="ANF22" s="51" t="n"/>
      <c r="ANG22" s="51" t="n"/>
      <c r="ANH22" s="51" t="n"/>
      <c r="ANI22" s="51" t="n"/>
      <c r="ANJ22" s="51" t="n"/>
      <c r="ANK22" s="51" t="n"/>
      <c r="ANL22" s="51" t="n"/>
      <c r="ANM22" s="51" t="n"/>
      <c r="ANN22" s="51" t="n"/>
      <c r="ANO22" s="51" t="n"/>
      <c r="ANP22" s="51" t="n"/>
      <c r="ANQ22" s="51" t="n"/>
      <c r="ANR22" s="51" t="n"/>
      <c r="ANS22" s="51" t="n"/>
      <c r="ANT22" s="51" t="n"/>
      <c r="ANU22" s="51" t="n"/>
      <c r="ANV22" s="51" t="n"/>
      <c r="ANW22" s="51" t="n"/>
      <c r="ANX22" s="51" t="n"/>
      <c r="ANY22" s="51" t="n"/>
      <c r="ANZ22" s="51" t="n"/>
      <c r="AOA22" s="51" t="n"/>
      <c r="AOB22" s="51" t="n"/>
      <c r="AOC22" s="51" t="n"/>
      <c r="AOD22" s="51" t="n"/>
      <c r="AOE22" s="51" t="n"/>
      <c r="AOF22" s="51" t="n"/>
      <c r="AOG22" s="51" t="n"/>
      <c r="AOH22" s="51" t="n"/>
      <c r="AOI22" s="51" t="n"/>
      <c r="AOJ22" s="51" t="n"/>
      <c r="AOK22" s="51" t="n"/>
      <c r="AOL22" s="51" t="n"/>
      <c r="AOM22" s="51" t="n"/>
      <c r="AON22" s="51" t="n"/>
      <c r="AOO22" s="51" t="n"/>
      <c r="AOP22" s="51" t="n"/>
      <c r="AOQ22" s="51" t="n"/>
      <c r="AOR22" s="51" t="n"/>
      <c r="AOS22" s="51" t="n"/>
      <c r="AOT22" s="51" t="n"/>
      <c r="AOU22" s="51" t="n"/>
      <c r="AOV22" s="51" t="n"/>
      <c r="AOW22" s="51" t="n"/>
      <c r="AOX22" s="51" t="n"/>
      <c r="AOY22" s="51" t="n"/>
      <c r="AOZ22" s="51" t="n"/>
      <c r="APA22" s="51" t="n"/>
      <c r="APB22" s="51" t="n"/>
      <c r="APC22" s="51" t="n"/>
      <c r="APD22" s="51" t="n"/>
      <c r="APE22" s="51" t="n"/>
      <c r="APF22" s="51" t="n"/>
      <c r="APG22" s="51" t="n"/>
      <c r="APH22" s="51" t="n"/>
      <c r="API22" s="51" t="n"/>
      <c r="APJ22" s="51" t="n"/>
      <c r="APK22" s="51" t="n"/>
      <c r="APL22" s="51" t="n"/>
      <c r="APM22" s="51" t="n"/>
      <c r="APN22" s="51" t="n"/>
      <c r="APO22" s="51" t="n"/>
      <c r="APP22" s="51" t="n"/>
      <c r="APQ22" s="51" t="n"/>
      <c r="APR22" s="51" t="n"/>
      <c r="APS22" s="51" t="n"/>
      <c r="APT22" s="51" t="n"/>
      <c r="APU22" s="51" t="n"/>
      <c r="APV22" s="51" t="n"/>
      <c r="APW22" s="51" t="n"/>
      <c r="APX22" s="51" t="n"/>
      <c r="APY22" s="51" t="n"/>
      <c r="APZ22" s="51" t="n"/>
      <c r="AQA22" s="51" t="n"/>
      <c r="AQB22" s="51" t="n"/>
      <c r="AQC22" s="51" t="n"/>
      <c r="AQD22" s="51" t="n"/>
      <c r="AQE22" s="51" t="n"/>
      <c r="AQF22" s="51" t="n"/>
      <c r="AQG22" s="51" t="n"/>
      <c r="AQH22" s="51" t="n"/>
      <c r="AQI22" s="51" t="n"/>
      <c r="AQJ22" s="51" t="n"/>
      <c r="AQK22" s="51" t="n"/>
      <c r="AQL22" s="51" t="n"/>
      <c r="AQM22" s="51" t="n"/>
      <c r="AQN22" s="51" t="n"/>
      <c r="AQO22" s="51" t="n"/>
      <c r="AQP22" s="51" t="n"/>
      <c r="AQQ22" s="51" t="n"/>
      <c r="AQR22" s="51" t="n"/>
      <c r="AQS22" s="51" t="n"/>
      <c r="AQT22" s="51" t="n"/>
      <c r="AQU22" s="51" t="n"/>
      <c r="AQV22" s="51" t="n"/>
      <c r="AQW22" s="51" t="n"/>
      <c r="AQX22" s="51" t="n"/>
      <c r="AQY22" s="51" t="n"/>
      <c r="AQZ22" s="51" t="n"/>
      <c r="ARA22" s="51" t="n"/>
      <c r="ARB22" s="51" t="n"/>
      <c r="ARC22" s="51" t="n"/>
      <c r="ARD22" s="51" t="n"/>
      <c r="ARE22" s="51" t="n"/>
      <c r="ARF22" s="51" t="n"/>
      <c r="ARG22" s="51" t="n"/>
      <c r="ARH22" s="51" t="n"/>
      <c r="ARI22" s="51" t="n"/>
      <c r="ARJ22" s="51" t="n"/>
      <c r="ARK22" s="51" t="n"/>
      <c r="ARL22" s="51" t="n"/>
      <c r="ARM22" s="51" t="n"/>
      <c r="ARN22" s="51" t="n"/>
      <c r="ARO22" s="51" t="n"/>
      <c r="ARP22" s="51" t="n"/>
      <c r="ARQ22" s="51" t="n"/>
      <c r="ARR22" s="51" t="n"/>
      <c r="ARS22" s="51" t="n"/>
      <c r="ART22" s="51" t="n"/>
      <c r="ARU22" s="51" t="n"/>
      <c r="ARV22" s="51" t="n"/>
      <c r="ARW22" s="51" t="n"/>
      <c r="ARX22" s="51" t="n"/>
      <c r="ARY22" s="51" t="n"/>
      <c r="ARZ22" s="51" t="n"/>
      <c r="ASA22" s="51" t="n"/>
      <c r="ASB22" s="51" t="n"/>
      <c r="ASC22" s="51" t="n"/>
      <c r="ASD22" s="51" t="n"/>
      <c r="ASE22" s="51" t="n"/>
      <c r="ASF22" s="51" t="n"/>
      <c r="ASG22" s="51" t="n"/>
      <c r="ASH22" s="51" t="n"/>
      <c r="ASI22" s="51" t="n"/>
      <c r="ASJ22" s="51" t="n"/>
      <c r="ASK22" s="51" t="n"/>
      <c r="ASL22" s="51" t="n"/>
      <c r="ASM22" s="51" t="n"/>
      <c r="ASN22" s="51" t="n"/>
      <c r="ASO22" s="51" t="n"/>
      <c r="ASP22" s="51" t="n"/>
      <c r="ASQ22" s="51" t="n"/>
      <c r="ASR22" s="51" t="n"/>
      <c r="ASS22" s="51" t="n"/>
      <c r="AST22" s="51" t="n"/>
      <c r="ASU22" s="51" t="n"/>
      <c r="ASV22" s="51" t="n"/>
      <c r="ASW22" s="51" t="n"/>
      <c r="ASX22" s="51" t="n"/>
      <c r="ASY22" s="51" t="n"/>
      <c r="ASZ22" s="51" t="n"/>
      <c r="ATA22" s="51" t="n"/>
      <c r="ATB22" s="51" t="n"/>
      <c r="ATC22" s="51" t="n"/>
      <c r="ATD22" s="51" t="n"/>
      <c r="ATE22" s="51" t="n"/>
      <c r="ATF22" s="51" t="n"/>
      <c r="ATG22" s="51" t="n"/>
      <c r="ATH22" s="51" t="n"/>
      <c r="ATI22" s="51" t="n"/>
      <c r="ATJ22" s="51" t="n"/>
      <c r="ATK22" s="51" t="n"/>
      <c r="ATL22" s="51" t="n"/>
      <c r="ATM22" s="51" t="n"/>
      <c r="ATN22" s="51" t="n"/>
      <c r="ATO22" s="51" t="n"/>
      <c r="ATP22" s="51" t="n"/>
      <c r="ATQ22" s="51" t="n"/>
      <c r="ATR22" s="51" t="n"/>
      <c r="ATS22" s="51" t="n"/>
      <c r="ATT22" s="51" t="n"/>
      <c r="ATU22" s="51" t="n"/>
      <c r="ATV22" s="51" t="n"/>
      <c r="ATW22" s="51" t="n"/>
      <c r="ATX22" s="51" t="n"/>
      <c r="ATY22" s="51" t="n"/>
      <c r="ATZ22" s="51" t="n"/>
      <c r="AUA22" s="51" t="n"/>
      <c r="AUB22" s="51" t="n"/>
      <c r="AUC22" s="51" t="n"/>
      <c r="AUD22" s="51" t="n"/>
      <c r="AUE22" s="51" t="n"/>
      <c r="AUF22" s="51" t="n"/>
      <c r="AUG22" s="51" t="n"/>
      <c r="AUH22" s="51" t="n"/>
      <c r="AUI22" s="51" t="n"/>
      <c r="AUJ22" s="51" t="n"/>
      <c r="AUK22" s="51" t="n"/>
      <c r="AUL22" s="51" t="n"/>
      <c r="AUM22" s="51" t="n"/>
      <c r="AUN22" s="51" t="n"/>
      <c r="AUO22" s="51" t="n"/>
      <c r="AUP22" s="51" t="n"/>
      <c r="AUQ22" s="51" t="n"/>
      <c r="AUR22" s="51" t="n"/>
      <c r="AUS22" s="51" t="n"/>
      <c r="AUT22" s="51" t="n"/>
      <c r="AUU22" s="51" t="n"/>
      <c r="AUV22" s="51" t="n"/>
      <c r="AUW22" s="51" t="n"/>
      <c r="AUX22" s="51" t="n"/>
      <c r="AUY22" s="51" t="n"/>
      <c r="AUZ22" s="51" t="n"/>
      <c r="AVA22" s="51" t="n"/>
      <c r="AVB22" s="51" t="n"/>
      <c r="AVC22" s="51" t="n"/>
      <c r="AVD22" s="51" t="n"/>
      <c r="AVE22" s="51" t="n"/>
      <c r="AVF22" s="51" t="n"/>
      <c r="AVG22" s="51" t="n"/>
      <c r="AVH22" s="51" t="n"/>
      <c r="AVI22" s="51" t="n"/>
      <c r="AVJ22" s="51" t="n"/>
      <c r="AVK22" s="51" t="n"/>
      <c r="AVL22" s="51" t="n"/>
      <c r="AVM22" s="51" t="n"/>
      <c r="AVN22" s="51" t="n"/>
      <c r="AVO22" s="51" t="n"/>
      <c r="AVP22" s="51" t="n"/>
      <c r="AVQ22" s="51" t="n"/>
      <c r="AVR22" s="51" t="n"/>
      <c r="AVS22" s="51" t="n"/>
      <c r="AVT22" s="51" t="n"/>
      <c r="AVU22" s="51" t="n"/>
      <c r="AVV22" s="51" t="n"/>
      <c r="AVW22" s="51" t="n"/>
      <c r="AVX22" s="51" t="n"/>
      <c r="AVY22" s="51" t="n"/>
      <c r="AVZ22" s="51" t="n"/>
      <c r="AWA22" s="51" t="n"/>
      <c r="AWB22" s="51" t="n"/>
      <c r="AWC22" s="51" t="n"/>
      <c r="AWD22" s="51" t="n"/>
      <c r="AWE22" s="51" t="n"/>
      <c r="AWF22" s="51" t="n"/>
      <c r="AWG22" s="51" t="n"/>
      <c r="AWH22" s="51" t="n"/>
      <c r="AWI22" s="51" t="n"/>
      <c r="AWJ22" s="51" t="n"/>
      <c r="AWK22" s="51" t="n"/>
      <c r="AWL22" s="51" t="n"/>
      <c r="AWM22" s="51" t="n"/>
      <c r="AWN22" s="51" t="n"/>
      <c r="AWO22" s="51" t="n"/>
      <c r="AWP22" s="51" t="n"/>
      <c r="AWQ22" s="51" t="n"/>
      <c r="AWR22" s="51" t="n"/>
      <c r="AWS22" s="51" t="n"/>
      <c r="AWT22" s="51" t="n"/>
      <c r="AWU22" s="51" t="n"/>
      <c r="AWV22" s="51" t="n"/>
      <c r="AWW22" s="51" t="n"/>
      <c r="AWX22" s="51" t="n"/>
      <c r="AWY22" s="51" t="n"/>
      <c r="AWZ22" s="51" t="n"/>
      <c r="AXA22" s="51" t="n"/>
      <c r="AXB22" s="51" t="n"/>
      <c r="AXC22" s="51" t="n"/>
      <c r="AXD22" s="51" t="n"/>
      <c r="AXE22" s="51" t="n"/>
      <c r="AXF22" s="51" t="n"/>
      <c r="AXG22" s="51" t="n"/>
      <c r="AXH22" s="51" t="n"/>
      <c r="AXI22" s="51" t="n"/>
      <c r="AXJ22" s="51" t="n"/>
      <c r="AXK22" s="51" t="n"/>
      <c r="AXL22" s="51" t="n"/>
      <c r="AXM22" s="51" t="n"/>
      <c r="AXN22" s="51" t="n"/>
      <c r="AXO22" s="51" t="n"/>
      <c r="AXP22" s="51" t="n"/>
      <c r="AXQ22" s="51" t="n"/>
      <c r="AXR22" s="51" t="n"/>
      <c r="AXS22" s="51" t="n"/>
      <c r="AXT22" s="51" t="n"/>
      <c r="AXU22" s="51" t="n"/>
      <c r="AXV22" s="51" t="n"/>
      <c r="AXW22" s="51" t="n"/>
      <c r="AXX22" s="51" t="n"/>
      <c r="AXY22" s="51" t="n"/>
      <c r="AXZ22" s="51" t="n"/>
      <c r="AYA22" s="51" t="n"/>
      <c r="AYB22" s="51" t="n"/>
      <c r="AYC22" s="51" t="n"/>
      <c r="AYD22" s="51" t="n"/>
      <c r="AYE22" s="51" t="n"/>
      <c r="AYF22" s="51" t="n"/>
      <c r="AYG22" s="51" t="n"/>
      <c r="AYH22" s="51" t="n"/>
      <c r="AYI22" s="51" t="n"/>
      <c r="AYJ22" s="51" t="n"/>
      <c r="AYK22" s="51" t="n"/>
      <c r="AYL22" s="51" t="n"/>
      <c r="AYM22" s="51" t="n"/>
      <c r="AYN22" s="51" t="n"/>
      <c r="AYO22" s="51" t="n"/>
      <c r="AYP22" s="51" t="n"/>
      <c r="AYQ22" s="51" t="n"/>
      <c r="AYR22" s="51" t="n"/>
      <c r="AYS22" s="51" t="n"/>
      <c r="AYT22" s="51" t="n"/>
      <c r="AYU22" s="51" t="n"/>
      <c r="AYV22" s="51" t="n"/>
      <c r="AYW22" s="51" t="n"/>
      <c r="AYX22" s="51" t="n"/>
      <c r="AYY22" s="51" t="n"/>
      <c r="AYZ22" s="51" t="n"/>
      <c r="AZA22" s="51" t="n"/>
      <c r="AZB22" s="51" t="n"/>
      <c r="AZC22" s="51" t="n"/>
      <c r="AZD22" s="51" t="n"/>
      <c r="AZE22" s="51" t="n"/>
      <c r="AZF22" s="51" t="n"/>
      <c r="AZG22" s="51" t="n"/>
      <c r="AZH22" s="51" t="n"/>
      <c r="AZI22" s="51" t="n"/>
      <c r="AZJ22" s="51" t="n"/>
      <c r="AZK22" s="51" t="n"/>
      <c r="AZL22" s="51" t="n"/>
      <c r="AZM22" s="51" t="n"/>
      <c r="AZN22" s="51" t="n"/>
      <c r="AZO22" s="51" t="n"/>
      <c r="AZP22" s="51" t="n"/>
      <c r="AZQ22" s="51" t="n"/>
      <c r="AZR22" s="51" t="n"/>
      <c r="AZS22" s="51" t="n"/>
      <c r="AZT22" s="51" t="n"/>
      <c r="AZU22" s="51" t="n"/>
      <c r="AZV22" s="51" t="n"/>
      <c r="AZW22" s="51" t="n"/>
      <c r="AZX22" s="51" t="n"/>
      <c r="AZY22" s="51" t="n"/>
      <c r="AZZ22" s="51" t="n"/>
      <c r="BAA22" s="51" t="n"/>
      <c r="BAB22" s="51" t="n"/>
      <c r="BAC22" s="51" t="n"/>
      <c r="BAD22" s="51" t="n"/>
      <c r="BAE22" s="51" t="n"/>
      <c r="BAF22" s="51" t="n"/>
      <c r="BAG22" s="51" t="n"/>
      <c r="BAH22" s="51" t="n"/>
      <c r="BAI22" s="51" t="n"/>
      <c r="BAJ22" s="51" t="n"/>
      <c r="BAK22" s="51" t="n"/>
      <c r="BAL22" s="51" t="n"/>
      <c r="BAM22" s="51" t="n"/>
      <c r="BAN22" s="51" t="n"/>
      <c r="BAO22" s="51" t="n"/>
      <c r="BAP22" s="51" t="n"/>
      <c r="BAQ22" s="51" t="n"/>
      <c r="BAR22" s="51" t="n"/>
      <c r="BAS22" s="51" t="n"/>
      <c r="BAT22" s="51" t="n"/>
      <c r="BAU22" s="51" t="n"/>
      <c r="BAV22" s="51" t="n"/>
      <c r="BAW22" s="51" t="n"/>
      <c r="BAX22" s="51" t="n"/>
      <c r="BAY22" s="51" t="n"/>
      <c r="BAZ22" s="51" t="n"/>
      <c r="BBA22" s="51" t="n"/>
      <c r="BBB22" s="51" t="n"/>
      <c r="BBC22" s="51" t="n"/>
      <c r="BBD22" s="51" t="n"/>
      <c r="BBE22" s="51" t="n"/>
      <c r="BBF22" s="51" t="n"/>
      <c r="BBG22" s="51" t="n"/>
      <c r="BBH22" s="51" t="n"/>
      <c r="BBI22" s="51" t="n"/>
      <c r="BBJ22" s="51" t="n"/>
      <c r="BBK22" s="51" t="n"/>
      <c r="BBL22" s="51" t="n"/>
      <c r="BBM22" s="51" t="n"/>
      <c r="BBN22" s="51" t="n"/>
      <c r="BBO22" s="51" t="n"/>
      <c r="BBP22" s="51" t="n"/>
    </row>
    <row r="23" ht="13.5" customFormat="1" customHeight="1" s="32">
      <c r="A23" s="22">
        <f>A22+1</f>
        <v/>
      </c>
      <c r="B23" s="122" t="inlineStr">
        <is>
          <t>Baut Dipan</t>
        </is>
      </c>
      <c r="C23" s="123" t="inlineStr">
        <is>
          <t>PCS</t>
        </is>
      </c>
      <c r="D23" s="26">
        <f>'Week  (2)'!U23</f>
        <v/>
      </c>
      <c r="E23" s="124" t="n"/>
      <c r="F23" s="62" t="n"/>
      <c r="G23" s="25" t="n"/>
      <c r="H23" s="56" t="n"/>
      <c r="I23" s="19" t="n"/>
      <c r="J23" s="64" t="n"/>
      <c r="K23" s="25" t="n"/>
      <c r="L23" s="56" t="n"/>
      <c r="M23" s="73" t="n"/>
      <c r="N23" s="73" t="n"/>
      <c r="O23" s="19" t="n"/>
      <c r="P23" s="18" t="n"/>
      <c r="Q23" s="18" t="n"/>
      <c r="R23" s="73" t="n"/>
      <c r="S23" s="18" t="n"/>
      <c r="T23" s="18" t="n"/>
      <c r="U23" s="26">
        <f>D23+F23+-(H23+J23+L23+N23+P23+R23+T23)</f>
        <v/>
      </c>
      <c r="V23" s="51" t="inlineStr">
        <is>
          <t>CIVIL</t>
        </is>
      </c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  <c r="FX23" s="51" t="n"/>
      <c r="FY23" s="51" t="n"/>
      <c r="FZ23" s="51" t="n"/>
      <c r="GA23" s="51" t="n"/>
      <c r="GB23" s="51" t="n"/>
      <c r="GC23" s="51" t="n"/>
      <c r="GD23" s="51" t="n"/>
      <c r="GE23" s="51" t="n"/>
      <c r="GF23" s="51" t="n"/>
      <c r="GG23" s="51" t="n"/>
      <c r="GH23" s="51" t="n"/>
      <c r="GI23" s="51" t="n"/>
      <c r="GJ23" s="51" t="n"/>
      <c r="GK23" s="51" t="n"/>
      <c r="GL23" s="51" t="n"/>
      <c r="GM23" s="51" t="n"/>
      <c r="GN23" s="51" t="n"/>
      <c r="GO23" s="51" t="n"/>
      <c r="GP23" s="51" t="n"/>
      <c r="GQ23" s="51" t="n"/>
      <c r="GR23" s="51" t="n"/>
      <c r="GS23" s="51" t="n"/>
      <c r="GT23" s="51" t="n"/>
      <c r="GU23" s="51" t="n"/>
      <c r="GV23" s="51" t="n"/>
      <c r="GW23" s="51" t="n"/>
      <c r="GX23" s="51" t="n"/>
      <c r="GY23" s="51" t="n"/>
      <c r="GZ23" s="51" t="n"/>
      <c r="HA23" s="51" t="n"/>
      <c r="HB23" s="51" t="n"/>
      <c r="HC23" s="51" t="n"/>
      <c r="HD23" s="51" t="n"/>
      <c r="HE23" s="51" t="n"/>
      <c r="HF23" s="51" t="n"/>
      <c r="HG23" s="51" t="n"/>
      <c r="HH23" s="51" t="n"/>
      <c r="HI23" s="51" t="n"/>
      <c r="HJ23" s="51" t="n"/>
      <c r="HK23" s="51" t="n"/>
      <c r="HL23" s="51" t="n"/>
      <c r="HM23" s="51" t="n"/>
      <c r="HN23" s="51" t="n"/>
      <c r="HO23" s="51" t="n"/>
      <c r="HP23" s="51" t="n"/>
      <c r="HQ23" s="51" t="n"/>
      <c r="HR23" s="51" t="n"/>
      <c r="HS23" s="51" t="n"/>
      <c r="HT23" s="51" t="n"/>
      <c r="HU23" s="51" t="n"/>
      <c r="HV23" s="51" t="n"/>
      <c r="HW23" s="51" t="n"/>
      <c r="HX23" s="51" t="n"/>
      <c r="HY23" s="51" t="n"/>
      <c r="HZ23" s="51" t="n"/>
      <c r="IA23" s="51" t="n"/>
      <c r="IB23" s="51" t="n"/>
      <c r="IC23" s="51" t="n"/>
      <c r="ID23" s="51" t="n"/>
      <c r="IE23" s="51" t="n"/>
      <c r="IF23" s="51" t="n"/>
      <c r="IG23" s="51" t="n"/>
      <c r="IH23" s="51" t="n"/>
      <c r="II23" s="51" t="n"/>
      <c r="IJ23" s="51" t="n"/>
      <c r="IK23" s="51" t="n"/>
      <c r="IL23" s="51" t="n"/>
      <c r="IM23" s="51" t="n"/>
      <c r="IN23" s="51" t="n"/>
      <c r="IO23" s="51" t="n"/>
      <c r="IP23" s="51" t="n"/>
      <c r="IQ23" s="51" t="n"/>
      <c r="IR23" s="51" t="n"/>
      <c r="IS23" s="51" t="n"/>
      <c r="IT23" s="51" t="n"/>
      <c r="IU23" s="51" t="n"/>
      <c r="IV23" s="51" t="n"/>
      <c r="IW23" s="51" t="n"/>
      <c r="IX23" s="51" t="n"/>
      <c r="IY23" s="51" t="n"/>
      <c r="IZ23" s="51" t="n"/>
      <c r="JA23" s="51" t="n"/>
      <c r="JB23" s="51" t="n"/>
      <c r="JC23" s="51" t="n"/>
      <c r="JD23" s="51" t="n"/>
      <c r="JE23" s="51" t="n"/>
      <c r="JF23" s="51" t="n"/>
      <c r="JG23" s="51" t="n"/>
      <c r="JH23" s="51" t="n"/>
      <c r="JI23" s="51" t="n"/>
      <c r="JJ23" s="51" t="n"/>
      <c r="JK23" s="51" t="n"/>
      <c r="JL23" s="51" t="n"/>
      <c r="JM23" s="51" t="n"/>
      <c r="JN23" s="51" t="n"/>
      <c r="JO23" s="51" t="n"/>
      <c r="JP23" s="51" t="n"/>
      <c r="JQ23" s="51" t="n"/>
      <c r="JR23" s="51" t="n"/>
      <c r="JS23" s="51" t="n"/>
      <c r="JT23" s="51" t="n"/>
      <c r="JU23" s="51" t="n"/>
      <c r="JV23" s="51" t="n"/>
      <c r="JW23" s="51" t="n"/>
      <c r="JX23" s="51" t="n"/>
      <c r="JY23" s="51" t="n"/>
      <c r="JZ23" s="51" t="n"/>
      <c r="KA23" s="51" t="n"/>
      <c r="KB23" s="51" t="n"/>
      <c r="KC23" s="51" t="n"/>
      <c r="KD23" s="51" t="n"/>
      <c r="KE23" s="51" t="n"/>
      <c r="KF23" s="51" t="n"/>
      <c r="KG23" s="51" t="n"/>
      <c r="KH23" s="51" t="n"/>
      <c r="KI23" s="51" t="n"/>
      <c r="KJ23" s="51" t="n"/>
      <c r="KK23" s="51" t="n"/>
      <c r="KL23" s="51" t="n"/>
      <c r="KM23" s="51" t="n"/>
      <c r="KN23" s="51" t="n"/>
      <c r="KO23" s="51" t="n"/>
      <c r="KP23" s="51" t="n"/>
      <c r="KQ23" s="51" t="n"/>
      <c r="KR23" s="51" t="n"/>
      <c r="KS23" s="51" t="n"/>
      <c r="KT23" s="51" t="n"/>
      <c r="KU23" s="51" t="n"/>
      <c r="KV23" s="51" t="n"/>
      <c r="KW23" s="51" t="n"/>
      <c r="KX23" s="51" t="n"/>
      <c r="KY23" s="51" t="n"/>
      <c r="KZ23" s="51" t="n"/>
      <c r="LA23" s="51" t="n"/>
      <c r="LB23" s="51" t="n"/>
      <c r="LC23" s="51" t="n"/>
      <c r="LD23" s="51" t="n"/>
      <c r="LE23" s="51" t="n"/>
      <c r="LF23" s="51" t="n"/>
      <c r="LG23" s="51" t="n"/>
      <c r="LH23" s="51" t="n"/>
      <c r="LI23" s="51" t="n"/>
      <c r="LJ23" s="51" t="n"/>
      <c r="LK23" s="51" t="n"/>
      <c r="LL23" s="51" t="n"/>
      <c r="LM23" s="51" t="n"/>
      <c r="LN23" s="51" t="n"/>
      <c r="LO23" s="51" t="n"/>
      <c r="LP23" s="51" t="n"/>
      <c r="LQ23" s="51" t="n"/>
      <c r="LR23" s="51" t="n"/>
      <c r="LS23" s="51" t="n"/>
      <c r="LT23" s="51" t="n"/>
      <c r="LU23" s="51" t="n"/>
      <c r="LV23" s="51" t="n"/>
      <c r="LW23" s="51" t="n"/>
      <c r="LX23" s="51" t="n"/>
      <c r="LY23" s="51" t="n"/>
      <c r="LZ23" s="51" t="n"/>
      <c r="MA23" s="51" t="n"/>
      <c r="MB23" s="51" t="n"/>
      <c r="MC23" s="51" t="n"/>
      <c r="MD23" s="51" t="n"/>
      <c r="ME23" s="51" t="n"/>
      <c r="MF23" s="51" t="n"/>
      <c r="MG23" s="51" t="n"/>
      <c r="MH23" s="51" t="n"/>
      <c r="MI23" s="51" t="n"/>
      <c r="MJ23" s="51" t="n"/>
      <c r="MK23" s="51" t="n"/>
      <c r="ML23" s="51" t="n"/>
      <c r="MM23" s="51" t="n"/>
      <c r="MN23" s="51" t="n"/>
      <c r="MO23" s="51" t="n"/>
      <c r="MP23" s="51" t="n"/>
      <c r="MQ23" s="51" t="n"/>
      <c r="MR23" s="51" t="n"/>
      <c r="MS23" s="51" t="n"/>
      <c r="MT23" s="51" t="n"/>
      <c r="MU23" s="51" t="n"/>
      <c r="MV23" s="51" t="n"/>
      <c r="MW23" s="51" t="n"/>
      <c r="MX23" s="51" t="n"/>
      <c r="MY23" s="51" t="n"/>
      <c r="MZ23" s="51" t="n"/>
      <c r="NA23" s="51" t="n"/>
      <c r="NB23" s="51" t="n"/>
      <c r="NC23" s="51" t="n"/>
      <c r="ND23" s="51" t="n"/>
      <c r="NE23" s="51" t="n"/>
      <c r="NF23" s="51" t="n"/>
      <c r="NG23" s="51" t="n"/>
      <c r="NH23" s="51" t="n"/>
      <c r="NI23" s="51" t="n"/>
      <c r="NJ23" s="51" t="n"/>
      <c r="NK23" s="51" t="n"/>
      <c r="NL23" s="51" t="n"/>
      <c r="NM23" s="51" t="n"/>
      <c r="NN23" s="51" t="n"/>
      <c r="NO23" s="51" t="n"/>
      <c r="NP23" s="51" t="n"/>
      <c r="NQ23" s="51" t="n"/>
      <c r="NR23" s="51" t="n"/>
      <c r="NS23" s="51" t="n"/>
      <c r="NT23" s="51" t="n"/>
      <c r="NU23" s="51" t="n"/>
      <c r="NV23" s="51" t="n"/>
      <c r="NW23" s="51" t="n"/>
      <c r="NX23" s="51" t="n"/>
      <c r="NY23" s="51" t="n"/>
      <c r="NZ23" s="51" t="n"/>
      <c r="OA23" s="51" t="n"/>
      <c r="OB23" s="51" t="n"/>
      <c r="OC23" s="51" t="n"/>
      <c r="OD23" s="51" t="n"/>
      <c r="OE23" s="51" t="n"/>
      <c r="OF23" s="51" t="n"/>
      <c r="OG23" s="51" t="n"/>
      <c r="OH23" s="51" t="n"/>
      <c r="OI23" s="51" t="n"/>
      <c r="OJ23" s="51" t="n"/>
      <c r="OK23" s="51" t="n"/>
      <c r="OL23" s="51" t="n"/>
      <c r="OM23" s="51" t="n"/>
      <c r="ON23" s="51" t="n"/>
      <c r="OO23" s="51" t="n"/>
      <c r="OP23" s="51" t="n"/>
      <c r="OQ23" s="51" t="n"/>
      <c r="OR23" s="51" t="n"/>
      <c r="OS23" s="51" t="n"/>
      <c r="OT23" s="51" t="n"/>
      <c r="OU23" s="51" t="n"/>
      <c r="OV23" s="51" t="n"/>
      <c r="OW23" s="51" t="n"/>
      <c r="OX23" s="51" t="n"/>
      <c r="OY23" s="51" t="n"/>
      <c r="OZ23" s="51" t="n"/>
      <c r="PA23" s="51" t="n"/>
      <c r="PB23" s="51" t="n"/>
      <c r="PC23" s="51" t="n"/>
      <c r="PD23" s="51" t="n"/>
      <c r="PE23" s="51" t="n"/>
      <c r="PF23" s="51" t="n"/>
      <c r="PG23" s="51" t="n"/>
      <c r="PH23" s="51" t="n"/>
      <c r="PI23" s="51" t="n"/>
      <c r="PJ23" s="51" t="n"/>
      <c r="PK23" s="51" t="n"/>
      <c r="PL23" s="51" t="n"/>
      <c r="PM23" s="51" t="n"/>
      <c r="PN23" s="51" t="n"/>
      <c r="PO23" s="51" t="n"/>
      <c r="PP23" s="51" t="n"/>
      <c r="PQ23" s="51" t="n"/>
      <c r="PR23" s="51" t="n"/>
      <c r="PS23" s="51" t="n"/>
      <c r="PT23" s="51" t="n"/>
      <c r="PU23" s="51" t="n"/>
      <c r="PV23" s="51" t="n"/>
      <c r="PW23" s="51" t="n"/>
      <c r="PX23" s="51" t="n"/>
      <c r="PY23" s="51" t="n"/>
      <c r="PZ23" s="51" t="n"/>
      <c r="QA23" s="51" t="n"/>
      <c r="QB23" s="51" t="n"/>
      <c r="QC23" s="51" t="n"/>
      <c r="QD23" s="51" t="n"/>
      <c r="QE23" s="51" t="n"/>
      <c r="QF23" s="51" t="n"/>
      <c r="QG23" s="51" t="n"/>
      <c r="QH23" s="51" t="n"/>
      <c r="QI23" s="51" t="n"/>
      <c r="QJ23" s="51" t="n"/>
      <c r="QK23" s="51" t="n"/>
      <c r="QL23" s="51" t="n"/>
      <c r="QM23" s="51" t="n"/>
      <c r="QN23" s="51" t="n"/>
      <c r="QO23" s="51" t="n"/>
      <c r="QP23" s="51" t="n"/>
      <c r="QQ23" s="51" t="n"/>
      <c r="QR23" s="51" t="n"/>
      <c r="QS23" s="51" t="n"/>
      <c r="QT23" s="51" t="n"/>
      <c r="QU23" s="51" t="n"/>
      <c r="QV23" s="51" t="n"/>
      <c r="QW23" s="51" t="n"/>
      <c r="QX23" s="51" t="n"/>
      <c r="QY23" s="51" t="n"/>
      <c r="QZ23" s="51" t="n"/>
      <c r="RA23" s="51" t="n"/>
      <c r="RB23" s="51" t="n"/>
      <c r="RC23" s="51" t="n"/>
      <c r="RD23" s="51" t="n"/>
      <c r="RE23" s="51" t="n"/>
      <c r="RF23" s="51" t="n"/>
      <c r="RG23" s="51" t="n"/>
      <c r="RH23" s="51" t="n"/>
      <c r="RI23" s="51" t="n"/>
      <c r="RJ23" s="51" t="n"/>
      <c r="RK23" s="51" t="n"/>
      <c r="RL23" s="51" t="n"/>
      <c r="RM23" s="51" t="n"/>
      <c r="RN23" s="51" t="n"/>
      <c r="RO23" s="51" t="n"/>
      <c r="RP23" s="51" t="n"/>
      <c r="RQ23" s="51" t="n"/>
      <c r="RR23" s="51" t="n"/>
      <c r="RS23" s="51" t="n"/>
      <c r="RT23" s="51" t="n"/>
      <c r="RU23" s="51" t="n"/>
      <c r="RV23" s="51" t="n"/>
      <c r="RW23" s="51" t="n"/>
      <c r="RX23" s="51" t="n"/>
      <c r="RY23" s="51" t="n"/>
      <c r="RZ23" s="51" t="n"/>
      <c r="SA23" s="51" t="n"/>
      <c r="SB23" s="51" t="n"/>
      <c r="SC23" s="51" t="n"/>
      <c r="SD23" s="51" t="n"/>
      <c r="SE23" s="51" t="n"/>
      <c r="SF23" s="51" t="n"/>
      <c r="SG23" s="51" t="n"/>
      <c r="SH23" s="51" t="n"/>
      <c r="SI23" s="51" t="n"/>
      <c r="SJ23" s="51" t="n"/>
      <c r="SK23" s="51" t="n"/>
      <c r="SL23" s="51" t="n"/>
      <c r="SM23" s="51" t="n"/>
      <c r="SN23" s="51" t="n"/>
      <c r="SO23" s="51" t="n"/>
      <c r="SP23" s="51" t="n"/>
      <c r="SQ23" s="51" t="n"/>
      <c r="SR23" s="51" t="n"/>
      <c r="SS23" s="51" t="n"/>
      <c r="ST23" s="51" t="n"/>
      <c r="SU23" s="51" t="n"/>
      <c r="SV23" s="51" t="n"/>
      <c r="SW23" s="51" t="n"/>
      <c r="SX23" s="51" t="n"/>
      <c r="SY23" s="51" t="n"/>
      <c r="SZ23" s="51" t="n"/>
      <c r="TA23" s="51" t="n"/>
      <c r="TB23" s="51" t="n"/>
      <c r="TC23" s="51" t="n"/>
      <c r="TD23" s="51" t="n"/>
      <c r="TE23" s="51" t="n"/>
      <c r="TF23" s="51" t="n"/>
      <c r="TG23" s="51" t="n"/>
      <c r="TH23" s="51" t="n"/>
      <c r="TI23" s="51" t="n"/>
      <c r="TJ23" s="51" t="n"/>
      <c r="TK23" s="51" t="n"/>
      <c r="TL23" s="51" t="n"/>
      <c r="TM23" s="51" t="n"/>
      <c r="TN23" s="51" t="n"/>
      <c r="TO23" s="51" t="n"/>
      <c r="TP23" s="51" t="n"/>
      <c r="TQ23" s="51" t="n"/>
      <c r="TR23" s="51" t="n"/>
      <c r="TS23" s="51" t="n"/>
      <c r="TT23" s="51" t="n"/>
      <c r="TU23" s="51" t="n"/>
      <c r="TV23" s="51" t="n"/>
      <c r="TW23" s="51" t="n"/>
      <c r="TX23" s="51" t="n"/>
      <c r="TY23" s="51" t="n"/>
      <c r="TZ23" s="51" t="n"/>
      <c r="UA23" s="51" t="n"/>
      <c r="UB23" s="51" t="n"/>
      <c r="UC23" s="51" t="n"/>
      <c r="UD23" s="51" t="n"/>
      <c r="UE23" s="51" t="n"/>
      <c r="UF23" s="51" t="n"/>
      <c r="UG23" s="51" t="n"/>
      <c r="UH23" s="51" t="n"/>
      <c r="UI23" s="51" t="n"/>
      <c r="UJ23" s="51" t="n"/>
      <c r="UK23" s="51" t="n"/>
      <c r="UL23" s="51" t="n"/>
      <c r="UM23" s="51" t="n"/>
      <c r="UN23" s="51" t="n"/>
      <c r="UO23" s="51" t="n"/>
      <c r="UP23" s="51" t="n"/>
      <c r="UQ23" s="51" t="n"/>
      <c r="UR23" s="51" t="n"/>
      <c r="US23" s="51" t="n"/>
      <c r="UT23" s="51" t="n"/>
      <c r="UU23" s="51" t="n"/>
      <c r="UV23" s="51" t="n"/>
      <c r="UW23" s="51" t="n"/>
      <c r="UX23" s="51" t="n"/>
      <c r="UY23" s="51" t="n"/>
      <c r="UZ23" s="51" t="n"/>
      <c r="VA23" s="51" t="n"/>
      <c r="VB23" s="51" t="n"/>
      <c r="VC23" s="51" t="n"/>
      <c r="VD23" s="51" t="n"/>
      <c r="VE23" s="51" t="n"/>
      <c r="VF23" s="51" t="n"/>
      <c r="VG23" s="51" t="n"/>
      <c r="VH23" s="51" t="n"/>
      <c r="VI23" s="51" t="n"/>
      <c r="VJ23" s="51" t="n"/>
      <c r="VK23" s="51" t="n"/>
      <c r="VL23" s="51" t="n"/>
      <c r="VM23" s="51" t="n"/>
      <c r="VN23" s="51" t="n"/>
      <c r="VO23" s="51" t="n"/>
      <c r="VP23" s="51" t="n"/>
      <c r="VQ23" s="51" t="n"/>
      <c r="VR23" s="51" t="n"/>
      <c r="VS23" s="51" t="n"/>
      <c r="VT23" s="51" t="n"/>
      <c r="VU23" s="51" t="n"/>
      <c r="VV23" s="51" t="n"/>
      <c r="VW23" s="51" t="n"/>
      <c r="VX23" s="51" t="n"/>
      <c r="VY23" s="51" t="n"/>
      <c r="VZ23" s="51" t="n"/>
      <c r="WA23" s="51" t="n"/>
      <c r="WB23" s="51" t="n"/>
      <c r="WC23" s="51" t="n"/>
      <c r="WD23" s="51" t="n"/>
      <c r="WE23" s="51" t="n"/>
      <c r="WF23" s="51" t="n"/>
      <c r="WG23" s="51" t="n"/>
      <c r="WH23" s="51" t="n"/>
      <c r="WI23" s="51" t="n"/>
      <c r="WJ23" s="51" t="n"/>
      <c r="WK23" s="51" t="n"/>
      <c r="WL23" s="51" t="n"/>
      <c r="WM23" s="51" t="n"/>
      <c r="WN23" s="51" t="n"/>
      <c r="WO23" s="51" t="n"/>
      <c r="WP23" s="51" t="n"/>
      <c r="WQ23" s="51" t="n"/>
      <c r="WR23" s="51" t="n"/>
      <c r="WS23" s="51" t="n"/>
      <c r="WT23" s="51" t="n"/>
      <c r="WU23" s="51" t="n"/>
      <c r="WV23" s="51" t="n"/>
      <c r="WW23" s="51" t="n"/>
      <c r="WX23" s="51" t="n"/>
      <c r="WY23" s="51" t="n"/>
      <c r="WZ23" s="51" t="n"/>
      <c r="XA23" s="51" t="n"/>
      <c r="XB23" s="51" t="n"/>
      <c r="XC23" s="51" t="n"/>
      <c r="XD23" s="51" t="n"/>
      <c r="XE23" s="51" t="n"/>
      <c r="XF23" s="51" t="n"/>
      <c r="XG23" s="51" t="n"/>
      <c r="XH23" s="51" t="n"/>
      <c r="XI23" s="51" t="n"/>
      <c r="XJ23" s="51" t="n"/>
      <c r="XK23" s="51" t="n"/>
      <c r="XL23" s="51" t="n"/>
      <c r="XM23" s="51" t="n"/>
      <c r="XN23" s="51" t="n"/>
      <c r="XO23" s="51" t="n"/>
      <c r="XP23" s="51" t="n"/>
      <c r="XQ23" s="51" t="n"/>
      <c r="XR23" s="51" t="n"/>
      <c r="XS23" s="51" t="n"/>
      <c r="XT23" s="51" t="n"/>
      <c r="XU23" s="51" t="n"/>
      <c r="XV23" s="51" t="n"/>
      <c r="XW23" s="51" t="n"/>
      <c r="XX23" s="51" t="n"/>
      <c r="XY23" s="51" t="n"/>
      <c r="XZ23" s="51" t="n"/>
      <c r="YA23" s="51" t="n"/>
      <c r="YB23" s="51" t="n"/>
      <c r="YC23" s="51" t="n"/>
      <c r="YD23" s="51" t="n"/>
      <c r="YE23" s="51" t="n"/>
      <c r="YF23" s="51" t="n"/>
      <c r="YG23" s="51" t="n"/>
      <c r="YH23" s="51" t="n"/>
      <c r="YI23" s="51" t="n"/>
      <c r="YJ23" s="51" t="n"/>
      <c r="YK23" s="51" t="n"/>
      <c r="YL23" s="51" t="n"/>
      <c r="YM23" s="51" t="n"/>
      <c r="YN23" s="51" t="n"/>
      <c r="YO23" s="51" t="n"/>
      <c r="YP23" s="51" t="n"/>
      <c r="YQ23" s="51" t="n"/>
      <c r="YR23" s="51" t="n"/>
      <c r="YS23" s="51" t="n"/>
      <c r="YT23" s="51" t="n"/>
      <c r="YU23" s="51" t="n"/>
      <c r="YV23" s="51" t="n"/>
      <c r="YW23" s="51" t="n"/>
      <c r="YX23" s="51" t="n"/>
      <c r="YY23" s="51" t="n"/>
      <c r="YZ23" s="51" t="n"/>
      <c r="ZA23" s="51" t="n"/>
      <c r="ZB23" s="51" t="n"/>
      <c r="ZC23" s="51" t="n"/>
      <c r="ZD23" s="51" t="n"/>
      <c r="ZE23" s="51" t="n"/>
      <c r="ZF23" s="51" t="n"/>
      <c r="ZG23" s="51" t="n"/>
      <c r="ZH23" s="51" t="n"/>
      <c r="ZI23" s="51" t="n"/>
      <c r="ZJ23" s="51" t="n"/>
      <c r="ZK23" s="51" t="n"/>
      <c r="ZL23" s="51" t="n"/>
      <c r="ZM23" s="51" t="n"/>
      <c r="ZN23" s="51" t="n"/>
      <c r="ZO23" s="51" t="n"/>
      <c r="ZP23" s="51" t="n"/>
      <c r="ZQ23" s="51" t="n"/>
      <c r="ZR23" s="51" t="n"/>
      <c r="ZS23" s="51" t="n"/>
      <c r="ZT23" s="51" t="n"/>
      <c r="ZU23" s="51" t="n"/>
      <c r="ZV23" s="51" t="n"/>
      <c r="ZW23" s="51" t="n"/>
      <c r="ZX23" s="51" t="n"/>
      <c r="ZY23" s="51" t="n"/>
      <c r="ZZ23" s="51" t="n"/>
      <c r="AAA23" s="51" t="n"/>
      <c r="AAB23" s="51" t="n"/>
      <c r="AAC23" s="51" t="n"/>
      <c r="AAD23" s="51" t="n"/>
      <c r="AAE23" s="51" t="n"/>
      <c r="AAF23" s="51" t="n"/>
      <c r="AAG23" s="51" t="n"/>
      <c r="AAH23" s="51" t="n"/>
      <c r="AAI23" s="51" t="n"/>
      <c r="AAJ23" s="51" t="n"/>
      <c r="AAK23" s="51" t="n"/>
      <c r="AAL23" s="51" t="n"/>
      <c r="AAM23" s="51" t="n"/>
      <c r="AAN23" s="51" t="n"/>
      <c r="AAO23" s="51" t="n"/>
      <c r="AAP23" s="51" t="n"/>
      <c r="AAQ23" s="51" t="n"/>
      <c r="AAR23" s="51" t="n"/>
      <c r="AAS23" s="51" t="n"/>
      <c r="AAT23" s="51" t="n"/>
      <c r="AAU23" s="51" t="n"/>
      <c r="AAV23" s="51" t="n"/>
      <c r="AAW23" s="51" t="n"/>
      <c r="AAX23" s="51" t="n"/>
      <c r="AAY23" s="51" t="n"/>
      <c r="AAZ23" s="51" t="n"/>
      <c r="ABA23" s="51" t="n"/>
      <c r="ABB23" s="51" t="n"/>
      <c r="ABC23" s="51" t="n"/>
      <c r="ABD23" s="51" t="n"/>
      <c r="ABE23" s="51" t="n"/>
      <c r="ABF23" s="51" t="n"/>
      <c r="ABG23" s="51" t="n"/>
      <c r="ABH23" s="51" t="n"/>
      <c r="ABI23" s="51" t="n"/>
      <c r="ABJ23" s="51" t="n"/>
      <c r="ABK23" s="51" t="n"/>
      <c r="ABL23" s="51" t="n"/>
      <c r="ABM23" s="51" t="n"/>
      <c r="ABN23" s="51" t="n"/>
      <c r="ABO23" s="51" t="n"/>
      <c r="ABP23" s="51" t="n"/>
      <c r="ABQ23" s="51" t="n"/>
      <c r="ABR23" s="51" t="n"/>
      <c r="ABS23" s="51" t="n"/>
      <c r="ABT23" s="51" t="n"/>
      <c r="ABU23" s="51" t="n"/>
      <c r="ABV23" s="51" t="n"/>
      <c r="ABW23" s="51" t="n"/>
      <c r="ABX23" s="51" t="n"/>
      <c r="ABY23" s="51" t="n"/>
      <c r="ABZ23" s="51" t="n"/>
      <c r="ACA23" s="51" t="n"/>
      <c r="ACB23" s="51" t="n"/>
      <c r="ACC23" s="51" t="n"/>
      <c r="ACD23" s="51" t="n"/>
      <c r="ACE23" s="51" t="n"/>
      <c r="ACF23" s="51" t="n"/>
      <c r="ACG23" s="51" t="n"/>
      <c r="ACH23" s="51" t="n"/>
      <c r="ACI23" s="51" t="n"/>
      <c r="ACJ23" s="51" t="n"/>
      <c r="ACK23" s="51" t="n"/>
      <c r="ACL23" s="51" t="n"/>
      <c r="ACM23" s="51" t="n"/>
      <c r="ACN23" s="51" t="n"/>
      <c r="ACO23" s="51" t="n"/>
      <c r="ACP23" s="51" t="n"/>
      <c r="ACQ23" s="51" t="n"/>
      <c r="ACR23" s="51" t="n"/>
      <c r="ACS23" s="51" t="n"/>
      <c r="ACT23" s="51" t="n"/>
      <c r="ACU23" s="51" t="n"/>
      <c r="ACV23" s="51" t="n"/>
      <c r="ACW23" s="51" t="n"/>
      <c r="ACX23" s="51" t="n"/>
      <c r="ACY23" s="51" t="n"/>
      <c r="ACZ23" s="51" t="n"/>
      <c r="ADA23" s="51" t="n"/>
      <c r="ADB23" s="51" t="n"/>
      <c r="ADC23" s="51" t="n"/>
      <c r="ADD23" s="51" t="n"/>
      <c r="ADE23" s="51" t="n"/>
      <c r="ADF23" s="51" t="n"/>
      <c r="ADG23" s="51" t="n"/>
      <c r="ADH23" s="51" t="n"/>
      <c r="ADI23" s="51" t="n"/>
      <c r="ADJ23" s="51" t="n"/>
      <c r="ADK23" s="51" t="n"/>
      <c r="ADL23" s="51" t="n"/>
      <c r="ADM23" s="51" t="n"/>
      <c r="ADN23" s="51" t="n"/>
      <c r="ADO23" s="51" t="n"/>
      <c r="ADP23" s="51" t="n"/>
      <c r="ADQ23" s="51" t="n"/>
      <c r="ADR23" s="51" t="n"/>
      <c r="ADS23" s="51" t="n"/>
      <c r="ADT23" s="51" t="n"/>
      <c r="ADU23" s="51" t="n"/>
      <c r="ADV23" s="51" t="n"/>
      <c r="ADW23" s="51" t="n"/>
      <c r="ADX23" s="51" t="n"/>
      <c r="ADY23" s="51" t="n"/>
      <c r="ADZ23" s="51" t="n"/>
      <c r="AEA23" s="51" t="n"/>
      <c r="AEB23" s="51" t="n"/>
      <c r="AEC23" s="51" t="n"/>
      <c r="AED23" s="51" t="n"/>
      <c r="AEE23" s="51" t="n"/>
      <c r="AEF23" s="51" t="n"/>
      <c r="AEG23" s="51" t="n"/>
      <c r="AEH23" s="51" t="n"/>
      <c r="AEI23" s="51" t="n"/>
      <c r="AEJ23" s="51" t="n"/>
      <c r="AEK23" s="51" t="n"/>
      <c r="AEL23" s="51" t="n"/>
      <c r="AEM23" s="51" t="n"/>
      <c r="AEN23" s="51" t="n"/>
      <c r="AEO23" s="51" t="n"/>
      <c r="AEP23" s="51" t="n"/>
      <c r="AEQ23" s="51" t="n"/>
      <c r="AER23" s="51" t="n"/>
      <c r="AES23" s="51" t="n"/>
      <c r="AET23" s="51" t="n"/>
      <c r="AEU23" s="51" t="n"/>
      <c r="AEV23" s="51" t="n"/>
      <c r="AEW23" s="51" t="n"/>
      <c r="AEX23" s="51" t="n"/>
      <c r="AEY23" s="51" t="n"/>
      <c r="AEZ23" s="51" t="n"/>
      <c r="AFA23" s="51" t="n"/>
      <c r="AFB23" s="51" t="n"/>
      <c r="AFC23" s="51" t="n"/>
      <c r="AFD23" s="51" t="n"/>
      <c r="AFE23" s="51" t="n"/>
      <c r="AFF23" s="51" t="n"/>
      <c r="AFG23" s="51" t="n"/>
      <c r="AFH23" s="51" t="n"/>
      <c r="AFI23" s="51" t="n"/>
      <c r="AFJ23" s="51" t="n"/>
      <c r="AFK23" s="51" t="n"/>
      <c r="AFL23" s="51" t="n"/>
      <c r="AFM23" s="51" t="n"/>
      <c r="AFN23" s="51" t="n"/>
      <c r="AFO23" s="51" t="n"/>
      <c r="AFP23" s="51" t="n"/>
      <c r="AFQ23" s="51" t="n"/>
      <c r="AFR23" s="51" t="n"/>
      <c r="AFS23" s="51" t="n"/>
      <c r="AFT23" s="51" t="n"/>
      <c r="AFU23" s="51" t="n"/>
      <c r="AFV23" s="51" t="n"/>
      <c r="AFW23" s="51" t="n"/>
      <c r="AFX23" s="51" t="n"/>
      <c r="AFY23" s="51" t="n"/>
      <c r="AFZ23" s="51" t="n"/>
      <c r="AGA23" s="51" t="n"/>
      <c r="AGB23" s="51" t="n"/>
      <c r="AGC23" s="51" t="n"/>
      <c r="AGD23" s="51" t="n"/>
      <c r="AGE23" s="51" t="n"/>
      <c r="AGF23" s="51" t="n"/>
      <c r="AGG23" s="51" t="n"/>
      <c r="AGH23" s="51" t="n"/>
      <c r="AGI23" s="51" t="n"/>
      <c r="AGJ23" s="51" t="n"/>
      <c r="AGK23" s="51" t="n"/>
      <c r="AGL23" s="51" t="n"/>
      <c r="AGM23" s="51" t="n"/>
      <c r="AGN23" s="51" t="n"/>
      <c r="AGO23" s="51" t="n"/>
      <c r="AGP23" s="51" t="n"/>
      <c r="AGQ23" s="51" t="n"/>
      <c r="AGR23" s="51" t="n"/>
      <c r="AGS23" s="51" t="n"/>
      <c r="AGT23" s="51" t="n"/>
      <c r="AGU23" s="51" t="n"/>
      <c r="AGV23" s="51" t="n"/>
      <c r="AGW23" s="51" t="n"/>
      <c r="AGX23" s="51" t="n"/>
      <c r="AGY23" s="51" t="n"/>
      <c r="AGZ23" s="51" t="n"/>
      <c r="AHA23" s="51" t="n"/>
      <c r="AHB23" s="51" t="n"/>
      <c r="AHC23" s="51" t="n"/>
      <c r="AHD23" s="51" t="n"/>
      <c r="AHE23" s="51" t="n"/>
      <c r="AHF23" s="51" t="n"/>
      <c r="AHG23" s="51" t="n"/>
      <c r="AHH23" s="51" t="n"/>
      <c r="AHI23" s="51" t="n"/>
      <c r="AHJ23" s="51" t="n"/>
      <c r="AHK23" s="51" t="n"/>
      <c r="AHL23" s="51" t="n"/>
      <c r="AHM23" s="51" t="n"/>
      <c r="AHN23" s="51" t="n"/>
      <c r="AHO23" s="51" t="n"/>
      <c r="AHP23" s="51" t="n"/>
      <c r="AHQ23" s="51" t="n"/>
      <c r="AHR23" s="51" t="n"/>
      <c r="AHS23" s="51" t="n"/>
      <c r="AHT23" s="51" t="n"/>
      <c r="AHU23" s="51" t="n"/>
      <c r="AHV23" s="51" t="n"/>
      <c r="AHW23" s="51" t="n"/>
      <c r="AHX23" s="51" t="n"/>
      <c r="AHY23" s="51" t="n"/>
      <c r="AHZ23" s="51" t="n"/>
      <c r="AIA23" s="51" t="n"/>
      <c r="AIB23" s="51" t="n"/>
      <c r="AIC23" s="51" t="n"/>
      <c r="AID23" s="51" t="n"/>
      <c r="AIE23" s="51" t="n"/>
      <c r="AIF23" s="51" t="n"/>
      <c r="AIG23" s="51" t="n"/>
      <c r="AIH23" s="51" t="n"/>
      <c r="AII23" s="51" t="n"/>
      <c r="AIJ23" s="51" t="n"/>
      <c r="AIK23" s="51" t="n"/>
      <c r="AIL23" s="51" t="n"/>
      <c r="AIM23" s="51" t="n"/>
      <c r="AIN23" s="51" t="n"/>
      <c r="AIO23" s="51" t="n"/>
      <c r="AIP23" s="51" t="n"/>
      <c r="AIQ23" s="51" t="n"/>
      <c r="AIR23" s="51" t="n"/>
      <c r="AIS23" s="51" t="n"/>
      <c r="AIT23" s="51" t="n"/>
      <c r="AIU23" s="51" t="n"/>
      <c r="AIV23" s="51" t="n"/>
      <c r="AIW23" s="51" t="n"/>
      <c r="AIX23" s="51" t="n"/>
      <c r="AIY23" s="51" t="n"/>
      <c r="AIZ23" s="51" t="n"/>
      <c r="AJA23" s="51" t="n"/>
      <c r="AJB23" s="51" t="n"/>
      <c r="AJC23" s="51" t="n"/>
      <c r="AJD23" s="51" t="n"/>
      <c r="AJE23" s="51" t="n"/>
      <c r="AJF23" s="51" t="n"/>
      <c r="AJG23" s="51" t="n"/>
      <c r="AJH23" s="51" t="n"/>
      <c r="AJI23" s="51" t="n"/>
      <c r="AJJ23" s="51" t="n"/>
      <c r="AJK23" s="51" t="n"/>
      <c r="AJL23" s="51" t="n"/>
      <c r="AJM23" s="51" t="n"/>
      <c r="AJN23" s="51" t="n"/>
      <c r="AJO23" s="51" t="n"/>
      <c r="AJP23" s="51" t="n"/>
      <c r="AJQ23" s="51" t="n"/>
      <c r="AJR23" s="51" t="n"/>
      <c r="AJS23" s="51" t="n"/>
      <c r="AJT23" s="51" t="n"/>
      <c r="AJU23" s="51" t="n"/>
      <c r="AJV23" s="51" t="n"/>
      <c r="AJW23" s="51" t="n"/>
      <c r="AJX23" s="51" t="n"/>
      <c r="AJY23" s="51" t="n"/>
      <c r="AJZ23" s="51" t="n"/>
      <c r="AKA23" s="51" t="n"/>
      <c r="AKB23" s="51" t="n"/>
      <c r="AKC23" s="51" t="n"/>
      <c r="AKD23" s="51" t="n"/>
      <c r="AKE23" s="51" t="n"/>
      <c r="AKF23" s="51" t="n"/>
      <c r="AKG23" s="51" t="n"/>
      <c r="AKH23" s="51" t="n"/>
      <c r="AKI23" s="51" t="n"/>
      <c r="AKJ23" s="51" t="n"/>
      <c r="AKK23" s="51" t="n"/>
      <c r="AKL23" s="51" t="n"/>
      <c r="AKM23" s="51" t="n"/>
      <c r="AKN23" s="51" t="n"/>
      <c r="AKO23" s="51" t="n"/>
      <c r="AKP23" s="51" t="n"/>
      <c r="AKQ23" s="51" t="n"/>
      <c r="AKR23" s="51" t="n"/>
      <c r="AKS23" s="51" t="n"/>
      <c r="AKT23" s="51" t="n"/>
      <c r="AKU23" s="51" t="n"/>
      <c r="AKV23" s="51" t="n"/>
      <c r="AKW23" s="51" t="n"/>
      <c r="AKX23" s="51" t="n"/>
      <c r="AKY23" s="51" t="n"/>
      <c r="AKZ23" s="51" t="n"/>
      <c r="ALA23" s="51" t="n"/>
      <c r="ALB23" s="51" t="n"/>
      <c r="ALC23" s="51" t="n"/>
      <c r="ALD23" s="51" t="n"/>
      <c r="ALE23" s="51" t="n"/>
      <c r="ALF23" s="51" t="n"/>
      <c r="ALG23" s="51" t="n"/>
      <c r="ALH23" s="51" t="n"/>
      <c r="ALI23" s="51" t="n"/>
      <c r="ALJ23" s="51" t="n"/>
      <c r="ALK23" s="51" t="n"/>
      <c r="ALL23" s="51" t="n"/>
      <c r="ALM23" s="51" t="n"/>
      <c r="ALN23" s="51" t="n"/>
      <c r="ALO23" s="51" t="n"/>
      <c r="ALP23" s="51" t="n"/>
      <c r="ALQ23" s="51" t="n"/>
      <c r="ALR23" s="51" t="n"/>
      <c r="ALS23" s="51" t="n"/>
      <c r="ALT23" s="51" t="n"/>
      <c r="ALU23" s="51" t="n"/>
      <c r="ALV23" s="51" t="n"/>
      <c r="ALW23" s="51" t="n"/>
      <c r="ALX23" s="51" t="n"/>
      <c r="ALY23" s="51" t="n"/>
      <c r="ALZ23" s="51" t="n"/>
      <c r="AMA23" s="51" t="n"/>
      <c r="AMB23" s="51" t="n"/>
      <c r="AMC23" s="51" t="n"/>
      <c r="AMD23" s="51" t="n"/>
      <c r="AME23" s="51" t="n"/>
      <c r="AMF23" s="51" t="n"/>
      <c r="AMG23" s="51" t="n"/>
      <c r="AMH23" s="51" t="n"/>
      <c r="AMI23" s="51" t="n"/>
      <c r="AMJ23" s="51" t="n"/>
      <c r="AMK23" s="51" t="n"/>
      <c r="AML23" s="51" t="n"/>
      <c r="AMM23" s="51" t="n"/>
      <c r="AMN23" s="51" t="n"/>
      <c r="AMO23" s="51" t="n"/>
      <c r="AMP23" s="51" t="n"/>
      <c r="AMQ23" s="51" t="n"/>
      <c r="AMR23" s="51" t="n"/>
      <c r="AMS23" s="51" t="n"/>
      <c r="AMT23" s="51" t="n"/>
      <c r="AMU23" s="51" t="n"/>
      <c r="AMV23" s="51" t="n"/>
      <c r="AMW23" s="51" t="n"/>
      <c r="AMX23" s="51" t="n"/>
      <c r="AMY23" s="51" t="n"/>
      <c r="AMZ23" s="51" t="n"/>
      <c r="ANA23" s="51" t="n"/>
      <c r="ANB23" s="51" t="n"/>
      <c r="ANC23" s="51" t="n"/>
      <c r="AND23" s="51" t="n"/>
      <c r="ANE23" s="51" t="n"/>
      <c r="ANF23" s="51" t="n"/>
      <c r="ANG23" s="51" t="n"/>
      <c r="ANH23" s="51" t="n"/>
      <c r="ANI23" s="51" t="n"/>
      <c r="ANJ23" s="51" t="n"/>
      <c r="ANK23" s="51" t="n"/>
      <c r="ANL23" s="51" t="n"/>
      <c r="ANM23" s="51" t="n"/>
      <c r="ANN23" s="51" t="n"/>
      <c r="ANO23" s="51" t="n"/>
      <c r="ANP23" s="51" t="n"/>
      <c r="ANQ23" s="51" t="n"/>
      <c r="ANR23" s="51" t="n"/>
      <c r="ANS23" s="51" t="n"/>
      <c r="ANT23" s="51" t="n"/>
      <c r="ANU23" s="51" t="n"/>
      <c r="ANV23" s="51" t="n"/>
      <c r="ANW23" s="51" t="n"/>
      <c r="ANX23" s="51" t="n"/>
      <c r="ANY23" s="51" t="n"/>
      <c r="ANZ23" s="51" t="n"/>
      <c r="AOA23" s="51" t="n"/>
      <c r="AOB23" s="51" t="n"/>
      <c r="AOC23" s="51" t="n"/>
      <c r="AOD23" s="51" t="n"/>
      <c r="AOE23" s="51" t="n"/>
      <c r="AOF23" s="51" t="n"/>
      <c r="AOG23" s="51" t="n"/>
      <c r="AOH23" s="51" t="n"/>
      <c r="AOI23" s="51" t="n"/>
      <c r="AOJ23" s="51" t="n"/>
      <c r="AOK23" s="51" t="n"/>
      <c r="AOL23" s="51" t="n"/>
      <c r="AOM23" s="51" t="n"/>
      <c r="AON23" s="51" t="n"/>
      <c r="AOO23" s="51" t="n"/>
      <c r="AOP23" s="51" t="n"/>
      <c r="AOQ23" s="51" t="n"/>
      <c r="AOR23" s="51" t="n"/>
      <c r="AOS23" s="51" t="n"/>
      <c r="AOT23" s="51" t="n"/>
      <c r="AOU23" s="51" t="n"/>
      <c r="AOV23" s="51" t="n"/>
      <c r="AOW23" s="51" t="n"/>
      <c r="AOX23" s="51" t="n"/>
      <c r="AOY23" s="51" t="n"/>
      <c r="AOZ23" s="51" t="n"/>
      <c r="APA23" s="51" t="n"/>
      <c r="APB23" s="51" t="n"/>
      <c r="APC23" s="51" t="n"/>
      <c r="APD23" s="51" t="n"/>
      <c r="APE23" s="51" t="n"/>
      <c r="APF23" s="51" t="n"/>
      <c r="APG23" s="51" t="n"/>
      <c r="APH23" s="51" t="n"/>
      <c r="API23" s="51" t="n"/>
      <c r="APJ23" s="51" t="n"/>
      <c r="APK23" s="51" t="n"/>
      <c r="APL23" s="51" t="n"/>
      <c r="APM23" s="51" t="n"/>
      <c r="APN23" s="51" t="n"/>
      <c r="APO23" s="51" t="n"/>
      <c r="APP23" s="51" t="n"/>
      <c r="APQ23" s="51" t="n"/>
      <c r="APR23" s="51" t="n"/>
      <c r="APS23" s="51" t="n"/>
      <c r="APT23" s="51" t="n"/>
      <c r="APU23" s="51" t="n"/>
      <c r="APV23" s="51" t="n"/>
      <c r="APW23" s="51" t="n"/>
      <c r="APX23" s="51" t="n"/>
      <c r="APY23" s="51" t="n"/>
      <c r="APZ23" s="51" t="n"/>
      <c r="AQA23" s="51" t="n"/>
      <c r="AQB23" s="51" t="n"/>
      <c r="AQC23" s="51" t="n"/>
      <c r="AQD23" s="51" t="n"/>
      <c r="AQE23" s="51" t="n"/>
      <c r="AQF23" s="51" t="n"/>
      <c r="AQG23" s="51" t="n"/>
      <c r="AQH23" s="51" t="n"/>
      <c r="AQI23" s="51" t="n"/>
      <c r="AQJ23" s="51" t="n"/>
      <c r="AQK23" s="51" t="n"/>
      <c r="AQL23" s="51" t="n"/>
      <c r="AQM23" s="51" t="n"/>
      <c r="AQN23" s="51" t="n"/>
      <c r="AQO23" s="51" t="n"/>
      <c r="AQP23" s="51" t="n"/>
      <c r="AQQ23" s="51" t="n"/>
      <c r="AQR23" s="51" t="n"/>
      <c r="AQS23" s="51" t="n"/>
      <c r="AQT23" s="51" t="n"/>
      <c r="AQU23" s="51" t="n"/>
      <c r="AQV23" s="51" t="n"/>
      <c r="AQW23" s="51" t="n"/>
      <c r="AQX23" s="51" t="n"/>
      <c r="AQY23" s="51" t="n"/>
      <c r="AQZ23" s="51" t="n"/>
      <c r="ARA23" s="51" t="n"/>
      <c r="ARB23" s="51" t="n"/>
      <c r="ARC23" s="51" t="n"/>
      <c r="ARD23" s="51" t="n"/>
      <c r="ARE23" s="51" t="n"/>
      <c r="ARF23" s="51" t="n"/>
      <c r="ARG23" s="51" t="n"/>
      <c r="ARH23" s="51" t="n"/>
      <c r="ARI23" s="51" t="n"/>
      <c r="ARJ23" s="51" t="n"/>
      <c r="ARK23" s="51" t="n"/>
      <c r="ARL23" s="51" t="n"/>
      <c r="ARM23" s="51" t="n"/>
      <c r="ARN23" s="51" t="n"/>
      <c r="ARO23" s="51" t="n"/>
      <c r="ARP23" s="51" t="n"/>
      <c r="ARQ23" s="51" t="n"/>
      <c r="ARR23" s="51" t="n"/>
      <c r="ARS23" s="51" t="n"/>
      <c r="ART23" s="51" t="n"/>
      <c r="ARU23" s="51" t="n"/>
      <c r="ARV23" s="51" t="n"/>
      <c r="ARW23" s="51" t="n"/>
      <c r="ARX23" s="51" t="n"/>
      <c r="ARY23" s="51" t="n"/>
      <c r="ARZ23" s="51" t="n"/>
      <c r="ASA23" s="51" t="n"/>
      <c r="ASB23" s="51" t="n"/>
      <c r="ASC23" s="51" t="n"/>
      <c r="ASD23" s="51" t="n"/>
      <c r="ASE23" s="51" t="n"/>
      <c r="ASF23" s="51" t="n"/>
      <c r="ASG23" s="51" t="n"/>
      <c r="ASH23" s="51" t="n"/>
      <c r="ASI23" s="51" t="n"/>
      <c r="ASJ23" s="51" t="n"/>
      <c r="ASK23" s="51" t="n"/>
      <c r="ASL23" s="51" t="n"/>
      <c r="ASM23" s="51" t="n"/>
      <c r="ASN23" s="51" t="n"/>
      <c r="ASO23" s="51" t="n"/>
      <c r="ASP23" s="51" t="n"/>
      <c r="ASQ23" s="51" t="n"/>
      <c r="ASR23" s="51" t="n"/>
      <c r="ASS23" s="51" t="n"/>
      <c r="AST23" s="51" t="n"/>
      <c r="ASU23" s="51" t="n"/>
      <c r="ASV23" s="51" t="n"/>
      <c r="ASW23" s="51" t="n"/>
      <c r="ASX23" s="51" t="n"/>
      <c r="ASY23" s="51" t="n"/>
      <c r="ASZ23" s="51" t="n"/>
      <c r="ATA23" s="51" t="n"/>
      <c r="ATB23" s="51" t="n"/>
      <c r="ATC23" s="51" t="n"/>
      <c r="ATD23" s="51" t="n"/>
      <c r="ATE23" s="51" t="n"/>
      <c r="ATF23" s="51" t="n"/>
      <c r="ATG23" s="51" t="n"/>
      <c r="ATH23" s="51" t="n"/>
      <c r="ATI23" s="51" t="n"/>
      <c r="ATJ23" s="51" t="n"/>
      <c r="ATK23" s="51" t="n"/>
      <c r="ATL23" s="51" t="n"/>
      <c r="ATM23" s="51" t="n"/>
      <c r="ATN23" s="51" t="n"/>
      <c r="ATO23" s="51" t="n"/>
      <c r="ATP23" s="51" t="n"/>
      <c r="ATQ23" s="51" t="n"/>
      <c r="ATR23" s="51" t="n"/>
      <c r="ATS23" s="51" t="n"/>
      <c r="ATT23" s="51" t="n"/>
      <c r="ATU23" s="51" t="n"/>
      <c r="ATV23" s="51" t="n"/>
      <c r="ATW23" s="51" t="n"/>
      <c r="ATX23" s="51" t="n"/>
      <c r="ATY23" s="51" t="n"/>
      <c r="ATZ23" s="51" t="n"/>
      <c r="AUA23" s="51" t="n"/>
      <c r="AUB23" s="51" t="n"/>
      <c r="AUC23" s="51" t="n"/>
      <c r="AUD23" s="51" t="n"/>
      <c r="AUE23" s="51" t="n"/>
      <c r="AUF23" s="51" t="n"/>
      <c r="AUG23" s="51" t="n"/>
      <c r="AUH23" s="51" t="n"/>
      <c r="AUI23" s="51" t="n"/>
      <c r="AUJ23" s="51" t="n"/>
      <c r="AUK23" s="51" t="n"/>
      <c r="AUL23" s="51" t="n"/>
      <c r="AUM23" s="51" t="n"/>
      <c r="AUN23" s="51" t="n"/>
      <c r="AUO23" s="51" t="n"/>
      <c r="AUP23" s="51" t="n"/>
      <c r="AUQ23" s="51" t="n"/>
      <c r="AUR23" s="51" t="n"/>
      <c r="AUS23" s="51" t="n"/>
      <c r="AUT23" s="51" t="n"/>
      <c r="AUU23" s="51" t="n"/>
      <c r="AUV23" s="51" t="n"/>
      <c r="AUW23" s="51" t="n"/>
      <c r="AUX23" s="51" t="n"/>
      <c r="AUY23" s="51" t="n"/>
      <c r="AUZ23" s="51" t="n"/>
      <c r="AVA23" s="51" t="n"/>
      <c r="AVB23" s="51" t="n"/>
      <c r="AVC23" s="51" t="n"/>
      <c r="AVD23" s="51" t="n"/>
      <c r="AVE23" s="51" t="n"/>
      <c r="AVF23" s="51" t="n"/>
      <c r="AVG23" s="51" t="n"/>
      <c r="AVH23" s="51" t="n"/>
      <c r="AVI23" s="51" t="n"/>
      <c r="AVJ23" s="51" t="n"/>
      <c r="AVK23" s="51" t="n"/>
      <c r="AVL23" s="51" t="n"/>
      <c r="AVM23" s="51" t="n"/>
      <c r="AVN23" s="51" t="n"/>
      <c r="AVO23" s="51" t="n"/>
      <c r="AVP23" s="51" t="n"/>
      <c r="AVQ23" s="51" t="n"/>
      <c r="AVR23" s="51" t="n"/>
      <c r="AVS23" s="51" t="n"/>
      <c r="AVT23" s="51" t="n"/>
      <c r="AVU23" s="51" t="n"/>
      <c r="AVV23" s="51" t="n"/>
      <c r="AVW23" s="51" t="n"/>
      <c r="AVX23" s="51" t="n"/>
      <c r="AVY23" s="51" t="n"/>
      <c r="AVZ23" s="51" t="n"/>
      <c r="AWA23" s="51" t="n"/>
      <c r="AWB23" s="51" t="n"/>
      <c r="AWC23" s="51" t="n"/>
      <c r="AWD23" s="51" t="n"/>
      <c r="AWE23" s="51" t="n"/>
      <c r="AWF23" s="51" t="n"/>
      <c r="AWG23" s="51" t="n"/>
      <c r="AWH23" s="51" t="n"/>
      <c r="AWI23" s="51" t="n"/>
      <c r="AWJ23" s="51" t="n"/>
      <c r="AWK23" s="51" t="n"/>
      <c r="AWL23" s="51" t="n"/>
      <c r="AWM23" s="51" t="n"/>
      <c r="AWN23" s="51" t="n"/>
      <c r="AWO23" s="51" t="n"/>
      <c r="AWP23" s="51" t="n"/>
      <c r="AWQ23" s="51" t="n"/>
      <c r="AWR23" s="51" t="n"/>
      <c r="AWS23" s="51" t="n"/>
      <c r="AWT23" s="51" t="n"/>
      <c r="AWU23" s="51" t="n"/>
      <c r="AWV23" s="51" t="n"/>
      <c r="AWW23" s="51" t="n"/>
      <c r="AWX23" s="51" t="n"/>
      <c r="AWY23" s="51" t="n"/>
      <c r="AWZ23" s="51" t="n"/>
      <c r="AXA23" s="51" t="n"/>
      <c r="AXB23" s="51" t="n"/>
      <c r="AXC23" s="51" t="n"/>
      <c r="AXD23" s="51" t="n"/>
      <c r="AXE23" s="51" t="n"/>
      <c r="AXF23" s="51" t="n"/>
      <c r="AXG23" s="51" t="n"/>
      <c r="AXH23" s="51" t="n"/>
      <c r="AXI23" s="51" t="n"/>
      <c r="AXJ23" s="51" t="n"/>
      <c r="AXK23" s="51" t="n"/>
      <c r="AXL23" s="51" t="n"/>
      <c r="AXM23" s="51" t="n"/>
      <c r="AXN23" s="51" t="n"/>
      <c r="AXO23" s="51" t="n"/>
      <c r="AXP23" s="51" t="n"/>
      <c r="AXQ23" s="51" t="n"/>
      <c r="AXR23" s="51" t="n"/>
      <c r="AXS23" s="51" t="n"/>
      <c r="AXT23" s="51" t="n"/>
      <c r="AXU23" s="51" t="n"/>
      <c r="AXV23" s="51" t="n"/>
      <c r="AXW23" s="51" t="n"/>
      <c r="AXX23" s="51" t="n"/>
      <c r="AXY23" s="51" t="n"/>
      <c r="AXZ23" s="51" t="n"/>
      <c r="AYA23" s="51" t="n"/>
      <c r="AYB23" s="51" t="n"/>
      <c r="AYC23" s="51" t="n"/>
      <c r="AYD23" s="51" t="n"/>
      <c r="AYE23" s="51" t="n"/>
      <c r="AYF23" s="51" t="n"/>
      <c r="AYG23" s="51" t="n"/>
      <c r="AYH23" s="51" t="n"/>
      <c r="AYI23" s="51" t="n"/>
      <c r="AYJ23" s="51" t="n"/>
      <c r="AYK23" s="51" t="n"/>
      <c r="AYL23" s="51" t="n"/>
      <c r="AYM23" s="51" t="n"/>
      <c r="AYN23" s="51" t="n"/>
      <c r="AYO23" s="51" t="n"/>
      <c r="AYP23" s="51" t="n"/>
      <c r="AYQ23" s="51" t="n"/>
      <c r="AYR23" s="51" t="n"/>
      <c r="AYS23" s="51" t="n"/>
      <c r="AYT23" s="51" t="n"/>
      <c r="AYU23" s="51" t="n"/>
      <c r="AYV23" s="51" t="n"/>
      <c r="AYW23" s="51" t="n"/>
      <c r="AYX23" s="51" t="n"/>
      <c r="AYY23" s="51" t="n"/>
      <c r="AYZ23" s="51" t="n"/>
      <c r="AZA23" s="51" t="n"/>
      <c r="AZB23" s="51" t="n"/>
      <c r="AZC23" s="51" t="n"/>
      <c r="AZD23" s="51" t="n"/>
      <c r="AZE23" s="51" t="n"/>
      <c r="AZF23" s="51" t="n"/>
      <c r="AZG23" s="51" t="n"/>
      <c r="AZH23" s="51" t="n"/>
      <c r="AZI23" s="51" t="n"/>
      <c r="AZJ23" s="51" t="n"/>
      <c r="AZK23" s="51" t="n"/>
      <c r="AZL23" s="51" t="n"/>
      <c r="AZM23" s="51" t="n"/>
      <c r="AZN23" s="51" t="n"/>
      <c r="AZO23" s="51" t="n"/>
      <c r="AZP23" s="51" t="n"/>
      <c r="AZQ23" s="51" t="n"/>
      <c r="AZR23" s="51" t="n"/>
      <c r="AZS23" s="51" t="n"/>
      <c r="AZT23" s="51" t="n"/>
      <c r="AZU23" s="51" t="n"/>
      <c r="AZV23" s="51" t="n"/>
      <c r="AZW23" s="51" t="n"/>
      <c r="AZX23" s="51" t="n"/>
      <c r="AZY23" s="51" t="n"/>
      <c r="AZZ23" s="51" t="n"/>
      <c r="BAA23" s="51" t="n"/>
      <c r="BAB23" s="51" t="n"/>
      <c r="BAC23" s="51" t="n"/>
      <c r="BAD23" s="51" t="n"/>
      <c r="BAE23" s="51" t="n"/>
      <c r="BAF23" s="51" t="n"/>
      <c r="BAG23" s="51" t="n"/>
      <c r="BAH23" s="51" t="n"/>
      <c r="BAI23" s="51" t="n"/>
      <c r="BAJ23" s="51" t="n"/>
      <c r="BAK23" s="51" t="n"/>
      <c r="BAL23" s="51" t="n"/>
      <c r="BAM23" s="51" t="n"/>
      <c r="BAN23" s="51" t="n"/>
      <c r="BAO23" s="51" t="n"/>
      <c r="BAP23" s="51" t="n"/>
      <c r="BAQ23" s="51" t="n"/>
      <c r="BAR23" s="51" t="n"/>
      <c r="BAS23" s="51" t="n"/>
      <c r="BAT23" s="51" t="n"/>
      <c r="BAU23" s="51" t="n"/>
      <c r="BAV23" s="51" t="n"/>
      <c r="BAW23" s="51" t="n"/>
      <c r="BAX23" s="51" t="n"/>
      <c r="BAY23" s="51" t="n"/>
      <c r="BAZ23" s="51" t="n"/>
      <c r="BBA23" s="51" t="n"/>
      <c r="BBB23" s="51" t="n"/>
      <c r="BBC23" s="51" t="n"/>
      <c r="BBD23" s="51" t="n"/>
      <c r="BBE23" s="51" t="n"/>
      <c r="BBF23" s="51" t="n"/>
      <c r="BBG23" s="51" t="n"/>
      <c r="BBH23" s="51" t="n"/>
      <c r="BBI23" s="51" t="n"/>
      <c r="BBJ23" s="51" t="n"/>
      <c r="BBK23" s="51" t="n"/>
      <c r="BBL23" s="51" t="n"/>
      <c r="BBM23" s="51" t="n"/>
      <c r="BBN23" s="51" t="n"/>
      <c r="BBO23" s="51" t="n"/>
      <c r="BBP23" s="51" t="n"/>
    </row>
    <row r="24" ht="13.5" customHeight="1">
      <c r="A24" s="22">
        <f>A23+1</f>
        <v/>
      </c>
      <c r="B24" s="30" t="inlineStr">
        <is>
          <t>BATTERY ABC BESAR</t>
        </is>
      </c>
      <c r="C24" s="126" t="inlineStr">
        <is>
          <t>PCS</t>
        </is>
      </c>
      <c r="D24" s="26">
        <f>'Week  (2)'!U24</f>
        <v/>
      </c>
      <c r="E24" s="125" t="n"/>
      <c r="F24" s="55" t="n"/>
      <c r="G24" s="52" t="n"/>
      <c r="H24" s="55" t="n"/>
      <c r="I24" s="71" t="n"/>
      <c r="J24" s="55" t="n"/>
      <c r="K24" s="18" t="n"/>
      <c r="L24" s="73" t="n"/>
      <c r="M24" s="73" t="n"/>
      <c r="N24" s="73" t="n"/>
      <c r="O24" s="19" t="n"/>
      <c r="P24" s="18" t="n"/>
      <c r="Q24" s="18" t="n"/>
      <c r="R24" s="73" t="n"/>
      <c r="S24" s="18" t="n"/>
      <c r="T24" s="18" t="n"/>
      <c r="U24" s="26">
        <f>D24+F24+-(H24+J24+L24+N24+P24+R24+T24)</f>
        <v/>
      </c>
      <c r="V24" s="51" t="inlineStr">
        <is>
          <t>CONSUMABLE</t>
        </is>
      </c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  <c r="GB24" s="51" t="n"/>
      <c r="GC24" s="51" t="n"/>
      <c r="GD24" s="51" t="n"/>
      <c r="GE24" s="51" t="n"/>
      <c r="GF24" s="51" t="n"/>
      <c r="GG24" s="51" t="n"/>
      <c r="GH24" s="51" t="n"/>
      <c r="GI24" s="51" t="n"/>
      <c r="GJ24" s="51" t="n"/>
      <c r="GK24" s="51" t="n"/>
      <c r="GL24" s="51" t="n"/>
      <c r="GM24" s="51" t="n"/>
      <c r="GN24" s="51" t="n"/>
      <c r="GO24" s="51" t="n"/>
      <c r="GP24" s="51" t="n"/>
      <c r="GQ24" s="51" t="n"/>
      <c r="GR24" s="51" t="n"/>
      <c r="GS24" s="51" t="n"/>
      <c r="GT24" s="51" t="n"/>
      <c r="GU24" s="51" t="n"/>
      <c r="GV24" s="51" t="n"/>
      <c r="GW24" s="51" t="n"/>
      <c r="GX24" s="51" t="n"/>
      <c r="GY24" s="51" t="n"/>
      <c r="GZ24" s="51" t="n"/>
      <c r="HA24" s="51" t="n"/>
      <c r="HB24" s="51" t="n"/>
      <c r="HC24" s="51" t="n"/>
      <c r="HD24" s="51" t="n"/>
      <c r="HE24" s="51" t="n"/>
      <c r="HF24" s="51" t="n"/>
      <c r="HG24" s="51" t="n"/>
      <c r="HH24" s="51" t="n"/>
      <c r="HI24" s="51" t="n"/>
      <c r="HJ24" s="51" t="n"/>
      <c r="HK24" s="51" t="n"/>
      <c r="HL24" s="51" t="n"/>
      <c r="HM24" s="51" t="n"/>
      <c r="HN24" s="51" t="n"/>
      <c r="HO24" s="51" t="n"/>
      <c r="HP24" s="51" t="n"/>
      <c r="HQ24" s="51" t="n"/>
      <c r="HR24" s="51" t="n"/>
      <c r="HS24" s="51" t="n"/>
      <c r="HT24" s="51" t="n"/>
      <c r="HU24" s="51" t="n"/>
      <c r="HV24" s="51" t="n"/>
      <c r="HW24" s="51" t="n"/>
      <c r="HX24" s="51" t="n"/>
      <c r="HY24" s="51" t="n"/>
      <c r="HZ24" s="51" t="n"/>
      <c r="IA24" s="51" t="n"/>
      <c r="IB24" s="51" t="n"/>
      <c r="IC24" s="51" t="n"/>
      <c r="ID24" s="51" t="n"/>
      <c r="IE24" s="51" t="n"/>
      <c r="IF24" s="51" t="n"/>
      <c r="IG24" s="51" t="n"/>
      <c r="IH24" s="51" t="n"/>
      <c r="II24" s="51" t="n"/>
      <c r="IJ24" s="51" t="n"/>
      <c r="IK24" s="51" t="n"/>
      <c r="IL24" s="51" t="n"/>
      <c r="IM24" s="51" t="n"/>
      <c r="IN24" s="51" t="n"/>
      <c r="IO24" s="51" t="n"/>
      <c r="IP24" s="51" t="n"/>
      <c r="IQ24" s="51" t="n"/>
      <c r="IR24" s="51" t="n"/>
      <c r="IS24" s="51" t="n"/>
      <c r="IT24" s="51" t="n"/>
      <c r="IU24" s="51" t="n"/>
      <c r="IV24" s="51" t="n"/>
      <c r="IW24" s="51" t="n"/>
      <c r="IX24" s="51" t="n"/>
      <c r="IY24" s="51" t="n"/>
      <c r="IZ24" s="51" t="n"/>
      <c r="JA24" s="51" t="n"/>
      <c r="JB24" s="51" t="n"/>
      <c r="JC24" s="51" t="n"/>
      <c r="JD24" s="51" t="n"/>
      <c r="JE24" s="51" t="n"/>
      <c r="JF24" s="51" t="n"/>
      <c r="JG24" s="51" t="n"/>
      <c r="JH24" s="51" t="n"/>
      <c r="JI24" s="51" t="n"/>
      <c r="JJ24" s="51" t="n"/>
      <c r="JK24" s="51" t="n"/>
      <c r="JL24" s="51" t="n"/>
      <c r="JM24" s="51" t="n"/>
      <c r="JN24" s="51" t="n"/>
      <c r="JO24" s="51" t="n"/>
      <c r="JP24" s="51" t="n"/>
      <c r="JQ24" s="51" t="n"/>
      <c r="JR24" s="51" t="n"/>
      <c r="JS24" s="51" t="n"/>
      <c r="JT24" s="51" t="n"/>
      <c r="JU24" s="51" t="n"/>
      <c r="JV24" s="51" t="n"/>
      <c r="JW24" s="51" t="n"/>
      <c r="JX24" s="51" t="n"/>
      <c r="JY24" s="51" t="n"/>
      <c r="JZ24" s="51" t="n"/>
      <c r="KA24" s="51" t="n"/>
      <c r="KB24" s="51" t="n"/>
      <c r="KC24" s="51" t="n"/>
      <c r="KD24" s="51" t="n"/>
      <c r="KE24" s="51" t="n"/>
      <c r="KF24" s="51" t="n"/>
      <c r="KG24" s="51" t="n"/>
      <c r="KH24" s="51" t="n"/>
      <c r="KI24" s="51" t="n"/>
      <c r="KJ24" s="51" t="n"/>
      <c r="KK24" s="51" t="n"/>
      <c r="KL24" s="51" t="n"/>
      <c r="KM24" s="51" t="n"/>
      <c r="KN24" s="51" t="n"/>
      <c r="KO24" s="51" t="n"/>
      <c r="KP24" s="51" t="n"/>
      <c r="KQ24" s="51" t="n"/>
      <c r="KR24" s="51" t="n"/>
      <c r="KS24" s="51" t="n"/>
      <c r="KT24" s="51" t="n"/>
      <c r="KU24" s="51" t="n"/>
      <c r="KV24" s="51" t="n"/>
      <c r="KW24" s="51" t="n"/>
      <c r="KX24" s="51" t="n"/>
      <c r="KY24" s="51" t="n"/>
      <c r="KZ24" s="51" t="n"/>
      <c r="LA24" s="51" t="n"/>
      <c r="LB24" s="51" t="n"/>
      <c r="LC24" s="51" t="n"/>
      <c r="LD24" s="51" t="n"/>
      <c r="LE24" s="51" t="n"/>
      <c r="LF24" s="51" t="n"/>
      <c r="LG24" s="51" t="n"/>
      <c r="LH24" s="51" t="n"/>
      <c r="LI24" s="51" t="n"/>
      <c r="LJ24" s="51" t="n"/>
      <c r="LK24" s="51" t="n"/>
      <c r="LL24" s="51" t="n"/>
      <c r="LM24" s="51" t="n"/>
      <c r="LN24" s="51" t="n"/>
      <c r="LO24" s="51" t="n"/>
      <c r="LP24" s="51" t="n"/>
      <c r="LQ24" s="51" t="n"/>
      <c r="LR24" s="51" t="n"/>
      <c r="LS24" s="51" t="n"/>
      <c r="LT24" s="51" t="n"/>
      <c r="LU24" s="51" t="n"/>
      <c r="LV24" s="51" t="n"/>
      <c r="LW24" s="51" t="n"/>
      <c r="LX24" s="51" t="n"/>
      <c r="LY24" s="51" t="n"/>
      <c r="LZ24" s="51" t="n"/>
      <c r="MA24" s="51" t="n"/>
      <c r="MB24" s="51" t="n"/>
      <c r="MC24" s="51" t="n"/>
      <c r="MD24" s="51" t="n"/>
      <c r="ME24" s="51" t="n"/>
      <c r="MF24" s="51" t="n"/>
      <c r="MG24" s="51" t="n"/>
      <c r="MH24" s="51" t="n"/>
      <c r="MI24" s="51" t="n"/>
      <c r="MJ24" s="51" t="n"/>
      <c r="MK24" s="51" t="n"/>
      <c r="ML24" s="51" t="n"/>
      <c r="MM24" s="51" t="n"/>
      <c r="MN24" s="51" t="n"/>
      <c r="MO24" s="51" t="n"/>
      <c r="MP24" s="51" t="n"/>
      <c r="MQ24" s="51" t="n"/>
      <c r="MR24" s="51" t="n"/>
      <c r="MS24" s="51" t="n"/>
      <c r="MT24" s="51" t="n"/>
      <c r="MU24" s="51" t="n"/>
      <c r="MV24" s="51" t="n"/>
      <c r="MW24" s="51" t="n"/>
      <c r="MX24" s="51" t="n"/>
      <c r="MY24" s="51" t="n"/>
      <c r="MZ24" s="51" t="n"/>
      <c r="NA24" s="51" t="n"/>
      <c r="NB24" s="51" t="n"/>
      <c r="NC24" s="51" t="n"/>
      <c r="ND24" s="51" t="n"/>
      <c r="NE24" s="51" t="n"/>
      <c r="NF24" s="51" t="n"/>
      <c r="NG24" s="51" t="n"/>
      <c r="NH24" s="51" t="n"/>
      <c r="NI24" s="51" t="n"/>
      <c r="NJ24" s="51" t="n"/>
      <c r="NK24" s="51" t="n"/>
      <c r="NL24" s="51" t="n"/>
      <c r="NM24" s="51" t="n"/>
      <c r="NN24" s="51" t="n"/>
      <c r="NO24" s="51" t="n"/>
      <c r="NP24" s="51" t="n"/>
      <c r="NQ24" s="51" t="n"/>
      <c r="NR24" s="51" t="n"/>
      <c r="NS24" s="51" t="n"/>
      <c r="NT24" s="51" t="n"/>
      <c r="NU24" s="51" t="n"/>
      <c r="NV24" s="51" t="n"/>
      <c r="NW24" s="51" t="n"/>
      <c r="NX24" s="51" t="n"/>
      <c r="NY24" s="51" t="n"/>
      <c r="NZ24" s="51" t="n"/>
      <c r="OA24" s="51" t="n"/>
      <c r="OB24" s="51" t="n"/>
      <c r="OC24" s="51" t="n"/>
      <c r="OD24" s="51" t="n"/>
      <c r="OE24" s="51" t="n"/>
      <c r="OF24" s="51" t="n"/>
      <c r="OG24" s="51" t="n"/>
      <c r="OH24" s="51" t="n"/>
      <c r="OI24" s="51" t="n"/>
      <c r="OJ24" s="51" t="n"/>
      <c r="OK24" s="51" t="n"/>
      <c r="OL24" s="51" t="n"/>
      <c r="OM24" s="51" t="n"/>
      <c r="ON24" s="51" t="n"/>
      <c r="OO24" s="51" t="n"/>
      <c r="OP24" s="51" t="n"/>
      <c r="OQ24" s="51" t="n"/>
      <c r="OR24" s="51" t="n"/>
      <c r="OS24" s="51" t="n"/>
      <c r="OT24" s="51" t="n"/>
      <c r="OU24" s="51" t="n"/>
      <c r="OV24" s="51" t="n"/>
      <c r="OW24" s="51" t="n"/>
      <c r="OX24" s="51" t="n"/>
      <c r="OY24" s="51" t="n"/>
      <c r="OZ24" s="51" t="n"/>
      <c r="PA24" s="51" t="n"/>
      <c r="PB24" s="51" t="n"/>
      <c r="PC24" s="51" t="n"/>
      <c r="PD24" s="51" t="n"/>
      <c r="PE24" s="51" t="n"/>
      <c r="PF24" s="51" t="n"/>
      <c r="PG24" s="51" t="n"/>
      <c r="PH24" s="51" t="n"/>
      <c r="PI24" s="51" t="n"/>
      <c r="PJ24" s="51" t="n"/>
      <c r="PK24" s="51" t="n"/>
      <c r="PL24" s="51" t="n"/>
      <c r="PM24" s="51" t="n"/>
      <c r="PN24" s="51" t="n"/>
      <c r="PO24" s="51" t="n"/>
      <c r="PP24" s="51" t="n"/>
      <c r="PQ24" s="51" t="n"/>
      <c r="PR24" s="51" t="n"/>
      <c r="PS24" s="51" t="n"/>
      <c r="PT24" s="51" t="n"/>
      <c r="PU24" s="51" t="n"/>
      <c r="PV24" s="51" t="n"/>
      <c r="PW24" s="51" t="n"/>
      <c r="PX24" s="51" t="n"/>
      <c r="PY24" s="51" t="n"/>
      <c r="PZ24" s="51" t="n"/>
      <c r="QA24" s="51" t="n"/>
      <c r="QB24" s="51" t="n"/>
      <c r="QC24" s="51" t="n"/>
      <c r="QD24" s="51" t="n"/>
      <c r="QE24" s="51" t="n"/>
      <c r="QF24" s="51" t="n"/>
      <c r="QG24" s="51" t="n"/>
      <c r="QH24" s="51" t="n"/>
      <c r="QI24" s="51" t="n"/>
      <c r="QJ24" s="51" t="n"/>
      <c r="QK24" s="51" t="n"/>
      <c r="QL24" s="51" t="n"/>
      <c r="QM24" s="51" t="n"/>
      <c r="QN24" s="51" t="n"/>
      <c r="QO24" s="51" t="n"/>
      <c r="QP24" s="51" t="n"/>
      <c r="QQ24" s="51" t="n"/>
      <c r="QR24" s="51" t="n"/>
      <c r="QS24" s="51" t="n"/>
      <c r="QT24" s="51" t="n"/>
      <c r="QU24" s="51" t="n"/>
      <c r="QV24" s="51" t="n"/>
      <c r="QW24" s="51" t="n"/>
      <c r="QX24" s="51" t="n"/>
      <c r="QY24" s="51" t="n"/>
      <c r="QZ24" s="51" t="n"/>
      <c r="RA24" s="51" t="n"/>
      <c r="RB24" s="51" t="n"/>
      <c r="RC24" s="51" t="n"/>
      <c r="RD24" s="51" t="n"/>
      <c r="RE24" s="51" t="n"/>
      <c r="RF24" s="51" t="n"/>
      <c r="RG24" s="51" t="n"/>
      <c r="RH24" s="51" t="n"/>
      <c r="RI24" s="51" t="n"/>
      <c r="RJ24" s="51" t="n"/>
      <c r="RK24" s="51" t="n"/>
      <c r="RL24" s="51" t="n"/>
      <c r="RM24" s="51" t="n"/>
      <c r="RN24" s="51" t="n"/>
      <c r="RO24" s="51" t="n"/>
      <c r="RP24" s="51" t="n"/>
      <c r="RQ24" s="51" t="n"/>
      <c r="RR24" s="51" t="n"/>
      <c r="RS24" s="51" t="n"/>
      <c r="RT24" s="51" t="n"/>
      <c r="RU24" s="51" t="n"/>
      <c r="RV24" s="51" t="n"/>
      <c r="RW24" s="51" t="n"/>
      <c r="RX24" s="51" t="n"/>
      <c r="RY24" s="51" t="n"/>
      <c r="RZ24" s="51" t="n"/>
      <c r="SA24" s="51" t="n"/>
      <c r="SB24" s="51" t="n"/>
      <c r="SC24" s="51" t="n"/>
      <c r="SD24" s="51" t="n"/>
      <c r="SE24" s="51" t="n"/>
      <c r="SF24" s="51" t="n"/>
      <c r="SG24" s="51" t="n"/>
      <c r="SH24" s="51" t="n"/>
      <c r="SI24" s="51" t="n"/>
      <c r="SJ24" s="51" t="n"/>
      <c r="SK24" s="51" t="n"/>
      <c r="SL24" s="51" t="n"/>
      <c r="SM24" s="51" t="n"/>
      <c r="SN24" s="51" t="n"/>
      <c r="SO24" s="51" t="n"/>
      <c r="SP24" s="51" t="n"/>
      <c r="SQ24" s="51" t="n"/>
      <c r="SR24" s="51" t="n"/>
      <c r="SS24" s="51" t="n"/>
      <c r="ST24" s="51" t="n"/>
      <c r="SU24" s="51" t="n"/>
      <c r="SV24" s="51" t="n"/>
      <c r="SW24" s="51" t="n"/>
      <c r="SX24" s="51" t="n"/>
      <c r="SY24" s="51" t="n"/>
      <c r="SZ24" s="51" t="n"/>
      <c r="TA24" s="51" t="n"/>
      <c r="TB24" s="51" t="n"/>
      <c r="TC24" s="51" t="n"/>
      <c r="TD24" s="51" t="n"/>
      <c r="TE24" s="51" t="n"/>
      <c r="TF24" s="51" t="n"/>
      <c r="TG24" s="51" t="n"/>
      <c r="TH24" s="51" t="n"/>
      <c r="TI24" s="51" t="n"/>
      <c r="TJ24" s="51" t="n"/>
      <c r="TK24" s="51" t="n"/>
      <c r="TL24" s="51" t="n"/>
      <c r="TM24" s="51" t="n"/>
      <c r="TN24" s="51" t="n"/>
      <c r="TO24" s="51" t="n"/>
      <c r="TP24" s="51" t="n"/>
      <c r="TQ24" s="51" t="n"/>
      <c r="TR24" s="51" t="n"/>
      <c r="TS24" s="51" t="n"/>
      <c r="TT24" s="51" t="n"/>
      <c r="TU24" s="51" t="n"/>
      <c r="TV24" s="51" t="n"/>
      <c r="TW24" s="51" t="n"/>
      <c r="TX24" s="51" t="n"/>
      <c r="TY24" s="51" t="n"/>
      <c r="TZ24" s="51" t="n"/>
      <c r="UA24" s="51" t="n"/>
      <c r="UB24" s="51" t="n"/>
      <c r="UC24" s="51" t="n"/>
      <c r="UD24" s="51" t="n"/>
      <c r="UE24" s="51" t="n"/>
      <c r="UF24" s="51" t="n"/>
      <c r="UG24" s="51" t="n"/>
      <c r="UH24" s="51" t="n"/>
      <c r="UI24" s="51" t="n"/>
      <c r="UJ24" s="51" t="n"/>
      <c r="UK24" s="51" t="n"/>
      <c r="UL24" s="51" t="n"/>
      <c r="UM24" s="51" t="n"/>
      <c r="UN24" s="51" t="n"/>
      <c r="UO24" s="51" t="n"/>
      <c r="UP24" s="51" t="n"/>
      <c r="UQ24" s="51" t="n"/>
      <c r="UR24" s="51" t="n"/>
      <c r="US24" s="51" t="n"/>
      <c r="UT24" s="51" t="n"/>
      <c r="UU24" s="51" t="n"/>
      <c r="UV24" s="51" t="n"/>
      <c r="UW24" s="51" t="n"/>
      <c r="UX24" s="51" t="n"/>
      <c r="UY24" s="51" t="n"/>
      <c r="UZ24" s="51" t="n"/>
      <c r="VA24" s="51" t="n"/>
      <c r="VB24" s="51" t="n"/>
      <c r="VC24" s="51" t="n"/>
      <c r="VD24" s="51" t="n"/>
      <c r="VE24" s="51" t="n"/>
      <c r="VF24" s="51" t="n"/>
      <c r="VG24" s="51" t="n"/>
      <c r="VH24" s="51" t="n"/>
      <c r="VI24" s="51" t="n"/>
      <c r="VJ24" s="51" t="n"/>
      <c r="VK24" s="51" t="n"/>
      <c r="VL24" s="51" t="n"/>
      <c r="VM24" s="51" t="n"/>
      <c r="VN24" s="51" t="n"/>
      <c r="VO24" s="51" t="n"/>
      <c r="VP24" s="51" t="n"/>
      <c r="VQ24" s="51" t="n"/>
      <c r="VR24" s="51" t="n"/>
      <c r="VS24" s="51" t="n"/>
      <c r="VT24" s="51" t="n"/>
      <c r="VU24" s="51" t="n"/>
      <c r="VV24" s="51" t="n"/>
      <c r="VW24" s="51" t="n"/>
      <c r="VX24" s="51" t="n"/>
      <c r="VY24" s="51" t="n"/>
      <c r="VZ24" s="51" t="n"/>
      <c r="WA24" s="51" t="n"/>
      <c r="WB24" s="51" t="n"/>
      <c r="WC24" s="51" t="n"/>
      <c r="WD24" s="51" t="n"/>
      <c r="WE24" s="51" t="n"/>
      <c r="WF24" s="51" t="n"/>
      <c r="WG24" s="51" t="n"/>
      <c r="WH24" s="51" t="n"/>
      <c r="WI24" s="51" t="n"/>
      <c r="WJ24" s="51" t="n"/>
      <c r="WK24" s="51" t="n"/>
      <c r="WL24" s="51" t="n"/>
      <c r="WM24" s="51" t="n"/>
      <c r="WN24" s="51" t="n"/>
      <c r="WO24" s="51" t="n"/>
      <c r="WP24" s="51" t="n"/>
      <c r="WQ24" s="51" t="n"/>
      <c r="WR24" s="51" t="n"/>
      <c r="WS24" s="51" t="n"/>
      <c r="WT24" s="51" t="n"/>
      <c r="WU24" s="51" t="n"/>
      <c r="WV24" s="51" t="n"/>
      <c r="WW24" s="51" t="n"/>
      <c r="WX24" s="51" t="n"/>
      <c r="WY24" s="51" t="n"/>
      <c r="WZ24" s="51" t="n"/>
      <c r="XA24" s="51" t="n"/>
      <c r="XB24" s="51" t="n"/>
      <c r="XC24" s="51" t="n"/>
      <c r="XD24" s="51" t="n"/>
      <c r="XE24" s="51" t="n"/>
      <c r="XF24" s="51" t="n"/>
      <c r="XG24" s="51" t="n"/>
      <c r="XH24" s="51" t="n"/>
      <c r="XI24" s="51" t="n"/>
      <c r="XJ24" s="51" t="n"/>
      <c r="XK24" s="51" t="n"/>
      <c r="XL24" s="51" t="n"/>
      <c r="XM24" s="51" t="n"/>
      <c r="XN24" s="51" t="n"/>
      <c r="XO24" s="51" t="n"/>
      <c r="XP24" s="51" t="n"/>
      <c r="XQ24" s="51" t="n"/>
      <c r="XR24" s="51" t="n"/>
      <c r="XS24" s="51" t="n"/>
      <c r="XT24" s="51" t="n"/>
      <c r="XU24" s="51" t="n"/>
      <c r="XV24" s="51" t="n"/>
      <c r="XW24" s="51" t="n"/>
      <c r="XX24" s="51" t="n"/>
      <c r="XY24" s="51" t="n"/>
      <c r="XZ24" s="51" t="n"/>
      <c r="YA24" s="51" t="n"/>
      <c r="YB24" s="51" t="n"/>
      <c r="YC24" s="51" t="n"/>
      <c r="YD24" s="51" t="n"/>
      <c r="YE24" s="51" t="n"/>
      <c r="YF24" s="51" t="n"/>
      <c r="YG24" s="51" t="n"/>
      <c r="YH24" s="51" t="n"/>
      <c r="YI24" s="51" t="n"/>
      <c r="YJ24" s="51" t="n"/>
      <c r="YK24" s="51" t="n"/>
      <c r="YL24" s="51" t="n"/>
      <c r="YM24" s="51" t="n"/>
      <c r="YN24" s="51" t="n"/>
      <c r="YO24" s="51" t="n"/>
      <c r="YP24" s="51" t="n"/>
      <c r="YQ24" s="51" t="n"/>
      <c r="YR24" s="51" t="n"/>
      <c r="YS24" s="51" t="n"/>
      <c r="YT24" s="51" t="n"/>
      <c r="YU24" s="51" t="n"/>
      <c r="YV24" s="51" t="n"/>
      <c r="YW24" s="51" t="n"/>
      <c r="YX24" s="51" t="n"/>
      <c r="YY24" s="51" t="n"/>
      <c r="YZ24" s="51" t="n"/>
      <c r="ZA24" s="51" t="n"/>
      <c r="ZB24" s="51" t="n"/>
      <c r="ZC24" s="51" t="n"/>
      <c r="ZD24" s="51" t="n"/>
      <c r="ZE24" s="51" t="n"/>
      <c r="ZF24" s="51" t="n"/>
      <c r="ZG24" s="51" t="n"/>
      <c r="ZH24" s="51" t="n"/>
      <c r="ZI24" s="51" t="n"/>
      <c r="ZJ24" s="51" t="n"/>
      <c r="ZK24" s="51" t="n"/>
      <c r="ZL24" s="51" t="n"/>
      <c r="ZM24" s="51" t="n"/>
      <c r="ZN24" s="51" t="n"/>
      <c r="ZO24" s="51" t="n"/>
      <c r="ZP24" s="51" t="n"/>
      <c r="ZQ24" s="51" t="n"/>
      <c r="ZR24" s="51" t="n"/>
      <c r="ZS24" s="51" t="n"/>
      <c r="ZT24" s="51" t="n"/>
      <c r="ZU24" s="51" t="n"/>
      <c r="ZV24" s="51" t="n"/>
      <c r="ZW24" s="51" t="n"/>
      <c r="ZX24" s="51" t="n"/>
      <c r="ZY24" s="51" t="n"/>
      <c r="ZZ24" s="51" t="n"/>
      <c r="AAA24" s="51" t="n"/>
      <c r="AAB24" s="51" t="n"/>
      <c r="AAC24" s="51" t="n"/>
      <c r="AAD24" s="51" t="n"/>
      <c r="AAE24" s="51" t="n"/>
      <c r="AAF24" s="51" t="n"/>
      <c r="AAG24" s="51" t="n"/>
      <c r="AAH24" s="51" t="n"/>
      <c r="AAI24" s="51" t="n"/>
      <c r="AAJ24" s="51" t="n"/>
      <c r="AAK24" s="51" t="n"/>
      <c r="AAL24" s="51" t="n"/>
      <c r="AAM24" s="51" t="n"/>
      <c r="AAN24" s="51" t="n"/>
      <c r="AAO24" s="51" t="n"/>
      <c r="AAP24" s="51" t="n"/>
      <c r="AAQ24" s="51" t="n"/>
      <c r="AAR24" s="51" t="n"/>
      <c r="AAS24" s="51" t="n"/>
      <c r="AAT24" s="51" t="n"/>
      <c r="AAU24" s="51" t="n"/>
      <c r="AAV24" s="51" t="n"/>
      <c r="AAW24" s="51" t="n"/>
      <c r="AAX24" s="51" t="n"/>
      <c r="AAY24" s="51" t="n"/>
      <c r="AAZ24" s="51" t="n"/>
      <c r="ABA24" s="51" t="n"/>
      <c r="ABB24" s="51" t="n"/>
      <c r="ABC24" s="51" t="n"/>
      <c r="ABD24" s="51" t="n"/>
      <c r="ABE24" s="51" t="n"/>
      <c r="ABF24" s="51" t="n"/>
      <c r="ABG24" s="51" t="n"/>
      <c r="ABH24" s="51" t="n"/>
      <c r="ABI24" s="51" t="n"/>
      <c r="ABJ24" s="51" t="n"/>
      <c r="ABK24" s="51" t="n"/>
      <c r="ABL24" s="51" t="n"/>
      <c r="ABM24" s="51" t="n"/>
      <c r="ABN24" s="51" t="n"/>
      <c r="ABO24" s="51" t="n"/>
      <c r="ABP24" s="51" t="n"/>
      <c r="ABQ24" s="51" t="n"/>
      <c r="ABR24" s="51" t="n"/>
      <c r="ABS24" s="51" t="n"/>
      <c r="ABT24" s="51" t="n"/>
      <c r="ABU24" s="51" t="n"/>
      <c r="ABV24" s="51" t="n"/>
      <c r="ABW24" s="51" t="n"/>
      <c r="ABX24" s="51" t="n"/>
      <c r="ABY24" s="51" t="n"/>
      <c r="ABZ24" s="51" t="n"/>
      <c r="ACA24" s="51" t="n"/>
      <c r="ACB24" s="51" t="n"/>
      <c r="ACC24" s="51" t="n"/>
      <c r="ACD24" s="51" t="n"/>
      <c r="ACE24" s="51" t="n"/>
      <c r="ACF24" s="51" t="n"/>
      <c r="ACG24" s="51" t="n"/>
      <c r="ACH24" s="51" t="n"/>
      <c r="ACI24" s="51" t="n"/>
      <c r="ACJ24" s="51" t="n"/>
      <c r="ACK24" s="51" t="n"/>
      <c r="ACL24" s="51" t="n"/>
      <c r="ACM24" s="51" t="n"/>
      <c r="ACN24" s="51" t="n"/>
      <c r="ACO24" s="51" t="n"/>
      <c r="ACP24" s="51" t="n"/>
      <c r="ACQ24" s="51" t="n"/>
      <c r="ACR24" s="51" t="n"/>
      <c r="ACS24" s="51" t="n"/>
      <c r="ACT24" s="51" t="n"/>
      <c r="ACU24" s="51" t="n"/>
      <c r="ACV24" s="51" t="n"/>
      <c r="ACW24" s="51" t="n"/>
      <c r="ACX24" s="51" t="n"/>
      <c r="ACY24" s="51" t="n"/>
      <c r="ACZ24" s="51" t="n"/>
      <c r="ADA24" s="51" t="n"/>
      <c r="ADB24" s="51" t="n"/>
      <c r="ADC24" s="51" t="n"/>
      <c r="ADD24" s="51" t="n"/>
      <c r="ADE24" s="51" t="n"/>
      <c r="ADF24" s="51" t="n"/>
      <c r="ADG24" s="51" t="n"/>
      <c r="ADH24" s="51" t="n"/>
      <c r="ADI24" s="51" t="n"/>
      <c r="ADJ24" s="51" t="n"/>
      <c r="ADK24" s="51" t="n"/>
      <c r="ADL24" s="51" t="n"/>
      <c r="ADM24" s="51" t="n"/>
      <c r="ADN24" s="51" t="n"/>
      <c r="ADO24" s="51" t="n"/>
      <c r="ADP24" s="51" t="n"/>
      <c r="ADQ24" s="51" t="n"/>
      <c r="ADR24" s="51" t="n"/>
      <c r="ADS24" s="51" t="n"/>
      <c r="ADT24" s="51" t="n"/>
      <c r="ADU24" s="51" t="n"/>
      <c r="ADV24" s="51" t="n"/>
      <c r="ADW24" s="51" t="n"/>
      <c r="ADX24" s="51" t="n"/>
      <c r="ADY24" s="51" t="n"/>
      <c r="ADZ24" s="51" t="n"/>
      <c r="AEA24" s="51" t="n"/>
      <c r="AEB24" s="51" t="n"/>
      <c r="AEC24" s="51" t="n"/>
      <c r="AED24" s="51" t="n"/>
      <c r="AEE24" s="51" t="n"/>
      <c r="AEF24" s="51" t="n"/>
      <c r="AEG24" s="51" t="n"/>
      <c r="AEH24" s="51" t="n"/>
      <c r="AEI24" s="51" t="n"/>
      <c r="AEJ24" s="51" t="n"/>
      <c r="AEK24" s="51" t="n"/>
      <c r="AEL24" s="51" t="n"/>
      <c r="AEM24" s="51" t="n"/>
      <c r="AEN24" s="51" t="n"/>
      <c r="AEO24" s="51" t="n"/>
      <c r="AEP24" s="51" t="n"/>
      <c r="AEQ24" s="51" t="n"/>
      <c r="AER24" s="51" t="n"/>
      <c r="AES24" s="51" t="n"/>
      <c r="AET24" s="51" t="n"/>
      <c r="AEU24" s="51" t="n"/>
      <c r="AEV24" s="51" t="n"/>
      <c r="AEW24" s="51" t="n"/>
      <c r="AEX24" s="51" t="n"/>
      <c r="AEY24" s="51" t="n"/>
      <c r="AEZ24" s="51" t="n"/>
      <c r="AFA24" s="51" t="n"/>
      <c r="AFB24" s="51" t="n"/>
      <c r="AFC24" s="51" t="n"/>
      <c r="AFD24" s="51" t="n"/>
      <c r="AFE24" s="51" t="n"/>
      <c r="AFF24" s="51" t="n"/>
      <c r="AFG24" s="51" t="n"/>
      <c r="AFH24" s="51" t="n"/>
      <c r="AFI24" s="51" t="n"/>
      <c r="AFJ24" s="51" t="n"/>
      <c r="AFK24" s="51" t="n"/>
      <c r="AFL24" s="51" t="n"/>
      <c r="AFM24" s="51" t="n"/>
      <c r="AFN24" s="51" t="n"/>
      <c r="AFO24" s="51" t="n"/>
      <c r="AFP24" s="51" t="n"/>
      <c r="AFQ24" s="51" t="n"/>
      <c r="AFR24" s="51" t="n"/>
      <c r="AFS24" s="51" t="n"/>
      <c r="AFT24" s="51" t="n"/>
      <c r="AFU24" s="51" t="n"/>
      <c r="AFV24" s="51" t="n"/>
      <c r="AFW24" s="51" t="n"/>
      <c r="AFX24" s="51" t="n"/>
      <c r="AFY24" s="51" t="n"/>
      <c r="AFZ24" s="51" t="n"/>
      <c r="AGA24" s="51" t="n"/>
      <c r="AGB24" s="51" t="n"/>
      <c r="AGC24" s="51" t="n"/>
      <c r="AGD24" s="51" t="n"/>
      <c r="AGE24" s="51" t="n"/>
      <c r="AGF24" s="51" t="n"/>
      <c r="AGG24" s="51" t="n"/>
      <c r="AGH24" s="51" t="n"/>
      <c r="AGI24" s="51" t="n"/>
      <c r="AGJ24" s="51" t="n"/>
      <c r="AGK24" s="51" t="n"/>
      <c r="AGL24" s="51" t="n"/>
      <c r="AGM24" s="51" t="n"/>
      <c r="AGN24" s="51" t="n"/>
      <c r="AGO24" s="51" t="n"/>
      <c r="AGP24" s="51" t="n"/>
      <c r="AGQ24" s="51" t="n"/>
      <c r="AGR24" s="51" t="n"/>
      <c r="AGS24" s="51" t="n"/>
      <c r="AGT24" s="51" t="n"/>
      <c r="AGU24" s="51" t="n"/>
      <c r="AGV24" s="51" t="n"/>
      <c r="AGW24" s="51" t="n"/>
      <c r="AGX24" s="51" t="n"/>
      <c r="AGY24" s="51" t="n"/>
      <c r="AGZ24" s="51" t="n"/>
      <c r="AHA24" s="51" t="n"/>
      <c r="AHB24" s="51" t="n"/>
      <c r="AHC24" s="51" t="n"/>
      <c r="AHD24" s="51" t="n"/>
      <c r="AHE24" s="51" t="n"/>
      <c r="AHF24" s="51" t="n"/>
      <c r="AHG24" s="51" t="n"/>
      <c r="AHH24" s="51" t="n"/>
      <c r="AHI24" s="51" t="n"/>
      <c r="AHJ24" s="51" t="n"/>
      <c r="AHK24" s="51" t="n"/>
      <c r="AHL24" s="51" t="n"/>
      <c r="AHM24" s="51" t="n"/>
      <c r="AHN24" s="51" t="n"/>
      <c r="AHO24" s="51" t="n"/>
      <c r="AHP24" s="51" t="n"/>
      <c r="AHQ24" s="51" t="n"/>
      <c r="AHR24" s="51" t="n"/>
      <c r="AHS24" s="51" t="n"/>
      <c r="AHT24" s="51" t="n"/>
      <c r="AHU24" s="51" t="n"/>
      <c r="AHV24" s="51" t="n"/>
      <c r="AHW24" s="51" t="n"/>
      <c r="AHX24" s="51" t="n"/>
      <c r="AHY24" s="51" t="n"/>
      <c r="AHZ24" s="51" t="n"/>
      <c r="AIA24" s="51" t="n"/>
      <c r="AIB24" s="51" t="n"/>
      <c r="AIC24" s="51" t="n"/>
      <c r="AID24" s="51" t="n"/>
      <c r="AIE24" s="51" t="n"/>
      <c r="AIF24" s="51" t="n"/>
      <c r="AIG24" s="51" t="n"/>
      <c r="AIH24" s="51" t="n"/>
      <c r="AII24" s="51" t="n"/>
      <c r="AIJ24" s="51" t="n"/>
      <c r="AIK24" s="51" t="n"/>
      <c r="AIL24" s="51" t="n"/>
      <c r="AIM24" s="51" t="n"/>
      <c r="AIN24" s="51" t="n"/>
      <c r="AIO24" s="51" t="n"/>
      <c r="AIP24" s="51" t="n"/>
      <c r="AIQ24" s="51" t="n"/>
      <c r="AIR24" s="51" t="n"/>
      <c r="AIS24" s="51" t="n"/>
      <c r="AIT24" s="51" t="n"/>
      <c r="AIU24" s="51" t="n"/>
      <c r="AIV24" s="51" t="n"/>
      <c r="AIW24" s="51" t="n"/>
      <c r="AIX24" s="51" t="n"/>
      <c r="AIY24" s="51" t="n"/>
      <c r="AIZ24" s="51" t="n"/>
      <c r="AJA24" s="51" t="n"/>
      <c r="AJB24" s="51" t="n"/>
      <c r="AJC24" s="51" t="n"/>
      <c r="AJD24" s="51" t="n"/>
      <c r="AJE24" s="51" t="n"/>
      <c r="AJF24" s="51" t="n"/>
      <c r="AJG24" s="51" t="n"/>
      <c r="AJH24" s="51" t="n"/>
      <c r="AJI24" s="51" t="n"/>
      <c r="AJJ24" s="51" t="n"/>
      <c r="AJK24" s="51" t="n"/>
      <c r="AJL24" s="51" t="n"/>
      <c r="AJM24" s="51" t="n"/>
      <c r="AJN24" s="51" t="n"/>
      <c r="AJO24" s="51" t="n"/>
      <c r="AJP24" s="51" t="n"/>
      <c r="AJQ24" s="51" t="n"/>
      <c r="AJR24" s="51" t="n"/>
      <c r="AJS24" s="51" t="n"/>
      <c r="AJT24" s="51" t="n"/>
      <c r="AJU24" s="51" t="n"/>
      <c r="AJV24" s="51" t="n"/>
      <c r="AJW24" s="51" t="n"/>
      <c r="AJX24" s="51" t="n"/>
      <c r="AJY24" s="51" t="n"/>
      <c r="AJZ24" s="51" t="n"/>
      <c r="AKA24" s="51" t="n"/>
      <c r="AKB24" s="51" t="n"/>
      <c r="AKC24" s="51" t="n"/>
      <c r="AKD24" s="51" t="n"/>
      <c r="AKE24" s="51" t="n"/>
      <c r="AKF24" s="51" t="n"/>
      <c r="AKG24" s="51" t="n"/>
      <c r="AKH24" s="51" t="n"/>
      <c r="AKI24" s="51" t="n"/>
      <c r="AKJ24" s="51" t="n"/>
      <c r="AKK24" s="51" t="n"/>
      <c r="AKL24" s="51" t="n"/>
      <c r="AKM24" s="51" t="n"/>
      <c r="AKN24" s="51" t="n"/>
      <c r="AKO24" s="51" t="n"/>
      <c r="AKP24" s="51" t="n"/>
      <c r="AKQ24" s="51" t="n"/>
      <c r="AKR24" s="51" t="n"/>
      <c r="AKS24" s="51" t="n"/>
      <c r="AKT24" s="51" t="n"/>
      <c r="AKU24" s="51" t="n"/>
      <c r="AKV24" s="51" t="n"/>
      <c r="AKW24" s="51" t="n"/>
      <c r="AKX24" s="51" t="n"/>
      <c r="AKY24" s="51" t="n"/>
      <c r="AKZ24" s="51" t="n"/>
      <c r="ALA24" s="51" t="n"/>
      <c r="ALB24" s="51" t="n"/>
      <c r="ALC24" s="51" t="n"/>
      <c r="ALD24" s="51" t="n"/>
      <c r="ALE24" s="51" t="n"/>
      <c r="ALF24" s="51" t="n"/>
      <c r="ALG24" s="51" t="n"/>
      <c r="ALH24" s="51" t="n"/>
      <c r="ALI24" s="51" t="n"/>
      <c r="ALJ24" s="51" t="n"/>
      <c r="ALK24" s="51" t="n"/>
      <c r="ALL24" s="51" t="n"/>
      <c r="ALM24" s="51" t="n"/>
      <c r="ALN24" s="51" t="n"/>
      <c r="ALO24" s="51" t="n"/>
      <c r="ALP24" s="51" t="n"/>
      <c r="ALQ24" s="51" t="n"/>
      <c r="ALR24" s="51" t="n"/>
      <c r="ALS24" s="51" t="n"/>
      <c r="ALT24" s="51" t="n"/>
      <c r="ALU24" s="51" t="n"/>
      <c r="ALV24" s="51" t="n"/>
      <c r="ALW24" s="51" t="n"/>
      <c r="ALX24" s="51" t="n"/>
      <c r="ALY24" s="51" t="n"/>
      <c r="ALZ24" s="51" t="n"/>
      <c r="AMA24" s="51" t="n"/>
      <c r="AMB24" s="51" t="n"/>
      <c r="AMC24" s="51" t="n"/>
      <c r="AMD24" s="51" t="n"/>
      <c r="AME24" s="51" t="n"/>
      <c r="AMF24" s="51" t="n"/>
      <c r="AMG24" s="51" t="n"/>
      <c r="AMH24" s="51" t="n"/>
      <c r="AMI24" s="51" t="n"/>
      <c r="AMJ24" s="51" t="n"/>
      <c r="AMK24" s="51" t="n"/>
      <c r="AML24" s="51" t="n"/>
      <c r="AMM24" s="51" t="n"/>
      <c r="AMN24" s="51" t="n"/>
      <c r="AMO24" s="51" t="n"/>
      <c r="AMP24" s="51" t="n"/>
      <c r="AMQ24" s="51" t="n"/>
      <c r="AMR24" s="51" t="n"/>
      <c r="AMS24" s="51" t="n"/>
      <c r="AMT24" s="51" t="n"/>
      <c r="AMU24" s="51" t="n"/>
      <c r="AMV24" s="51" t="n"/>
      <c r="AMW24" s="51" t="n"/>
      <c r="AMX24" s="51" t="n"/>
      <c r="AMY24" s="51" t="n"/>
      <c r="AMZ24" s="51" t="n"/>
      <c r="ANA24" s="51" t="n"/>
      <c r="ANB24" s="51" t="n"/>
      <c r="ANC24" s="51" t="n"/>
      <c r="AND24" s="51" t="n"/>
      <c r="ANE24" s="51" t="n"/>
      <c r="ANF24" s="51" t="n"/>
      <c r="ANG24" s="51" t="n"/>
      <c r="ANH24" s="51" t="n"/>
      <c r="ANI24" s="51" t="n"/>
      <c r="ANJ24" s="51" t="n"/>
      <c r="ANK24" s="51" t="n"/>
      <c r="ANL24" s="51" t="n"/>
      <c r="ANM24" s="51" t="n"/>
      <c r="ANN24" s="51" t="n"/>
      <c r="ANO24" s="51" t="n"/>
      <c r="ANP24" s="51" t="n"/>
      <c r="ANQ24" s="51" t="n"/>
      <c r="ANR24" s="51" t="n"/>
      <c r="ANS24" s="51" t="n"/>
      <c r="ANT24" s="51" t="n"/>
      <c r="ANU24" s="51" t="n"/>
      <c r="ANV24" s="51" t="n"/>
      <c r="ANW24" s="51" t="n"/>
      <c r="ANX24" s="51" t="n"/>
      <c r="ANY24" s="51" t="n"/>
      <c r="ANZ24" s="51" t="n"/>
      <c r="AOA24" s="51" t="n"/>
      <c r="AOB24" s="51" t="n"/>
      <c r="AOC24" s="51" t="n"/>
      <c r="AOD24" s="51" t="n"/>
      <c r="AOE24" s="51" t="n"/>
      <c r="AOF24" s="51" t="n"/>
      <c r="AOG24" s="51" t="n"/>
      <c r="AOH24" s="51" t="n"/>
      <c r="AOI24" s="51" t="n"/>
      <c r="AOJ24" s="51" t="n"/>
      <c r="AOK24" s="51" t="n"/>
      <c r="AOL24" s="51" t="n"/>
      <c r="AOM24" s="51" t="n"/>
      <c r="AON24" s="51" t="n"/>
      <c r="AOO24" s="51" t="n"/>
      <c r="AOP24" s="51" t="n"/>
      <c r="AOQ24" s="51" t="n"/>
      <c r="AOR24" s="51" t="n"/>
      <c r="AOS24" s="51" t="n"/>
      <c r="AOT24" s="51" t="n"/>
      <c r="AOU24" s="51" t="n"/>
      <c r="AOV24" s="51" t="n"/>
      <c r="AOW24" s="51" t="n"/>
      <c r="AOX24" s="51" t="n"/>
      <c r="AOY24" s="51" t="n"/>
      <c r="AOZ24" s="51" t="n"/>
      <c r="APA24" s="51" t="n"/>
      <c r="APB24" s="51" t="n"/>
      <c r="APC24" s="51" t="n"/>
      <c r="APD24" s="51" t="n"/>
      <c r="APE24" s="51" t="n"/>
      <c r="APF24" s="51" t="n"/>
      <c r="APG24" s="51" t="n"/>
      <c r="APH24" s="51" t="n"/>
      <c r="API24" s="51" t="n"/>
      <c r="APJ24" s="51" t="n"/>
      <c r="APK24" s="51" t="n"/>
      <c r="APL24" s="51" t="n"/>
      <c r="APM24" s="51" t="n"/>
      <c r="APN24" s="51" t="n"/>
      <c r="APO24" s="51" t="n"/>
      <c r="APP24" s="51" t="n"/>
      <c r="APQ24" s="51" t="n"/>
      <c r="APR24" s="51" t="n"/>
      <c r="APS24" s="51" t="n"/>
      <c r="APT24" s="51" t="n"/>
      <c r="APU24" s="51" t="n"/>
      <c r="APV24" s="51" t="n"/>
      <c r="APW24" s="51" t="n"/>
      <c r="APX24" s="51" t="n"/>
      <c r="APY24" s="51" t="n"/>
      <c r="APZ24" s="51" t="n"/>
      <c r="AQA24" s="51" t="n"/>
      <c r="AQB24" s="51" t="n"/>
      <c r="AQC24" s="51" t="n"/>
      <c r="AQD24" s="51" t="n"/>
      <c r="AQE24" s="51" t="n"/>
      <c r="AQF24" s="51" t="n"/>
      <c r="AQG24" s="51" t="n"/>
      <c r="AQH24" s="51" t="n"/>
      <c r="AQI24" s="51" t="n"/>
      <c r="AQJ24" s="51" t="n"/>
      <c r="AQK24" s="51" t="n"/>
      <c r="AQL24" s="51" t="n"/>
      <c r="AQM24" s="51" t="n"/>
      <c r="AQN24" s="51" t="n"/>
      <c r="AQO24" s="51" t="n"/>
      <c r="AQP24" s="51" t="n"/>
      <c r="AQQ24" s="51" t="n"/>
      <c r="AQR24" s="51" t="n"/>
      <c r="AQS24" s="51" t="n"/>
      <c r="AQT24" s="51" t="n"/>
      <c r="AQU24" s="51" t="n"/>
      <c r="AQV24" s="51" t="n"/>
      <c r="AQW24" s="51" t="n"/>
      <c r="AQX24" s="51" t="n"/>
      <c r="AQY24" s="51" t="n"/>
      <c r="AQZ24" s="51" t="n"/>
      <c r="ARA24" s="51" t="n"/>
      <c r="ARB24" s="51" t="n"/>
      <c r="ARC24" s="51" t="n"/>
      <c r="ARD24" s="51" t="n"/>
      <c r="ARE24" s="51" t="n"/>
      <c r="ARF24" s="51" t="n"/>
      <c r="ARG24" s="51" t="n"/>
      <c r="ARH24" s="51" t="n"/>
      <c r="ARI24" s="51" t="n"/>
      <c r="ARJ24" s="51" t="n"/>
      <c r="ARK24" s="51" t="n"/>
      <c r="ARL24" s="51" t="n"/>
      <c r="ARM24" s="51" t="n"/>
      <c r="ARN24" s="51" t="n"/>
      <c r="ARO24" s="51" t="n"/>
      <c r="ARP24" s="51" t="n"/>
      <c r="ARQ24" s="51" t="n"/>
      <c r="ARR24" s="51" t="n"/>
      <c r="ARS24" s="51" t="n"/>
      <c r="ART24" s="51" t="n"/>
      <c r="ARU24" s="51" t="n"/>
      <c r="ARV24" s="51" t="n"/>
      <c r="ARW24" s="51" t="n"/>
      <c r="ARX24" s="51" t="n"/>
      <c r="ARY24" s="51" t="n"/>
      <c r="ARZ24" s="51" t="n"/>
      <c r="ASA24" s="51" t="n"/>
      <c r="ASB24" s="51" t="n"/>
      <c r="ASC24" s="51" t="n"/>
      <c r="ASD24" s="51" t="n"/>
      <c r="ASE24" s="51" t="n"/>
      <c r="ASF24" s="51" t="n"/>
      <c r="ASG24" s="51" t="n"/>
      <c r="ASH24" s="51" t="n"/>
      <c r="ASI24" s="51" t="n"/>
      <c r="ASJ24" s="51" t="n"/>
      <c r="ASK24" s="51" t="n"/>
      <c r="ASL24" s="51" t="n"/>
      <c r="ASM24" s="51" t="n"/>
      <c r="ASN24" s="51" t="n"/>
      <c r="ASO24" s="51" t="n"/>
      <c r="ASP24" s="51" t="n"/>
      <c r="ASQ24" s="51" t="n"/>
      <c r="ASR24" s="51" t="n"/>
      <c r="ASS24" s="51" t="n"/>
      <c r="AST24" s="51" t="n"/>
      <c r="ASU24" s="51" t="n"/>
      <c r="ASV24" s="51" t="n"/>
      <c r="ASW24" s="51" t="n"/>
      <c r="ASX24" s="51" t="n"/>
      <c r="ASY24" s="51" t="n"/>
      <c r="ASZ24" s="51" t="n"/>
      <c r="ATA24" s="51" t="n"/>
      <c r="ATB24" s="51" t="n"/>
      <c r="ATC24" s="51" t="n"/>
      <c r="ATD24" s="51" t="n"/>
      <c r="ATE24" s="51" t="n"/>
      <c r="ATF24" s="51" t="n"/>
      <c r="ATG24" s="51" t="n"/>
      <c r="ATH24" s="51" t="n"/>
      <c r="ATI24" s="51" t="n"/>
      <c r="ATJ24" s="51" t="n"/>
      <c r="ATK24" s="51" t="n"/>
      <c r="ATL24" s="51" t="n"/>
      <c r="ATM24" s="51" t="n"/>
      <c r="ATN24" s="51" t="n"/>
      <c r="ATO24" s="51" t="n"/>
      <c r="ATP24" s="51" t="n"/>
      <c r="ATQ24" s="51" t="n"/>
      <c r="ATR24" s="51" t="n"/>
      <c r="ATS24" s="51" t="n"/>
      <c r="ATT24" s="51" t="n"/>
      <c r="ATU24" s="51" t="n"/>
      <c r="ATV24" s="51" t="n"/>
      <c r="ATW24" s="51" t="n"/>
      <c r="ATX24" s="51" t="n"/>
      <c r="ATY24" s="51" t="n"/>
      <c r="ATZ24" s="51" t="n"/>
      <c r="AUA24" s="51" t="n"/>
      <c r="AUB24" s="51" t="n"/>
      <c r="AUC24" s="51" t="n"/>
      <c r="AUD24" s="51" t="n"/>
      <c r="AUE24" s="51" t="n"/>
      <c r="AUF24" s="51" t="n"/>
      <c r="AUG24" s="51" t="n"/>
      <c r="AUH24" s="51" t="n"/>
      <c r="AUI24" s="51" t="n"/>
      <c r="AUJ24" s="51" t="n"/>
      <c r="AUK24" s="51" t="n"/>
      <c r="AUL24" s="51" t="n"/>
      <c r="AUM24" s="51" t="n"/>
      <c r="AUN24" s="51" t="n"/>
      <c r="AUO24" s="51" t="n"/>
      <c r="AUP24" s="51" t="n"/>
      <c r="AUQ24" s="51" t="n"/>
      <c r="AUR24" s="51" t="n"/>
      <c r="AUS24" s="51" t="n"/>
      <c r="AUT24" s="51" t="n"/>
      <c r="AUU24" s="51" t="n"/>
      <c r="AUV24" s="51" t="n"/>
      <c r="AUW24" s="51" t="n"/>
      <c r="AUX24" s="51" t="n"/>
      <c r="AUY24" s="51" t="n"/>
      <c r="AUZ24" s="51" t="n"/>
      <c r="AVA24" s="51" t="n"/>
      <c r="AVB24" s="51" t="n"/>
      <c r="AVC24" s="51" t="n"/>
      <c r="AVD24" s="51" t="n"/>
      <c r="AVE24" s="51" t="n"/>
      <c r="AVF24" s="51" t="n"/>
      <c r="AVG24" s="51" t="n"/>
      <c r="AVH24" s="51" t="n"/>
      <c r="AVI24" s="51" t="n"/>
      <c r="AVJ24" s="51" t="n"/>
      <c r="AVK24" s="51" t="n"/>
      <c r="AVL24" s="51" t="n"/>
      <c r="AVM24" s="51" t="n"/>
      <c r="AVN24" s="51" t="n"/>
      <c r="AVO24" s="51" t="n"/>
      <c r="AVP24" s="51" t="n"/>
      <c r="AVQ24" s="51" t="n"/>
      <c r="AVR24" s="51" t="n"/>
      <c r="AVS24" s="51" t="n"/>
      <c r="AVT24" s="51" t="n"/>
      <c r="AVU24" s="51" t="n"/>
      <c r="AVV24" s="51" t="n"/>
      <c r="AVW24" s="51" t="n"/>
      <c r="AVX24" s="51" t="n"/>
      <c r="AVY24" s="51" t="n"/>
      <c r="AVZ24" s="51" t="n"/>
      <c r="AWA24" s="51" t="n"/>
      <c r="AWB24" s="51" t="n"/>
      <c r="AWC24" s="51" t="n"/>
      <c r="AWD24" s="51" t="n"/>
      <c r="AWE24" s="51" t="n"/>
      <c r="AWF24" s="51" t="n"/>
      <c r="AWG24" s="51" t="n"/>
      <c r="AWH24" s="51" t="n"/>
      <c r="AWI24" s="51" t="n"/>
      <c r="AWJ24" s="51" t="n"/>
      <c r="AWK24" s="51" t="n"/>
      <c r="AWL24" s="51" t="n"/>
      <c r="AWM24" s="51" t="n"/>
      <c r="AWN24" s="51" t="n"/>
      <c r="AWO24" s="51" t="n"/>
      <c r="AWP24" s="51" t="n"/>
      <c r="AWQ24" s="51" t="n"/>
      <c r="AWR24" s="51" t="n"/>
      <c r="AWS24" s="51" t="n"/>
      <c r="AWT24" s="51" t="n"/>
      <c r="AWU24" s="51" t="n"/>
      <c r="AWV24" s="51" t="n"/>
      <c r="AWW24" s="51" t="n"/>
      <c r="AWX24" s="51" t="n"/>
      <c r="AWY24" s="51" t="n"/>
      <c r="AWZ24" s="51" t="n"/>
      <c r="AXA24" s="51" t="n"/>
      <c r="AXB24" s="51" t="n"/>
      <c r="AXC24" s="51" t="n"/>
      <c r="AXD24" s="51" t="n"/>
      <c r="AXE24" s="51" t="n"/>
      <c r="AXF24" s="51" t="n"/>
      <c r="AXG24" s="51" t="n"/>
      <c r="AXH24" s="51" t="n"/>
      <c r="AXI24" s="51" t="n"/>
      <c r="AXJ24" s="51" t="n"/>
      <c r="AXK24" s="51" t="n"/>
      <c r="AXL24" s="51" t="n"/>
      <c r="AXM24" s="51" t="n"/>
      <c r="AXN24" s="51" t="n"/>
      <c r="AXO24" s="51" t="n"/>
      <c r="AXP24" s="51" t="n"/>
      <c r="AXQ24" s="51" t="n"/>
      <c r="AXR24" s="51" t="n"/>
      <c r="AXS24" s="51" t="n"/>
      <c r="AXT24" s="51" t="n"/>
      <c r="AXU24" s="51" t="n"/>
      <c r="AXV24" s="51" t="n"/>
      <c r="AXW24" s="51" t="n"/>
      <c r="AXX24" s="51" t="n"/>
      <c r="AXY24" s="51" t="n"/>
      <c r="AXZ24" s="51" t="n"/>
      <c r="AYA24" s="51" t="n"/>
      <c r="AYB24" s="51" t="n"/>
      <c r="AYC24" s="51" t="n"/>
      <c r="AYD24" s="51" t="n"/>
      <c r="AYE24" s="51" t="n"/>
      <c r="AYF24" s="51" t="n"/>
      <c r="AYG24" s="51" t="n"/>
      <c r="AYH24" s="51" t="n"/>
      <c r="AYI24" s="51" t="n"/>
      <c r="AYJ24" s="51" t="n"/>
      <c r="AYK24" s="51" t="n"/>
      <c r="AYL24" s="51" t="n"/>
      <c r="AYM24" s="51" t="n"/>
      <c r="AYN24" s="51" t="n"/>
      <c r="AYO24" s="51" t="n"/>
      <c r="AYP24" s="51" t="n"/>
      <c r="AYQ24" s="51" t="n"/>
      <c r="AYR24" s="51" t="n"/>
      <c r="AYS24" s="51" t="n"/>
      <c r="AYT24" s="51" t="n"/>
      <c r="AYU24" s="51" t="n"/>
      <c r="AYV24" s="51" t="n"/>
      <c r="AYW24" s="51" t="n"/>
      <c r="AYX24" s="51" t="n"/>
      <c r="AYY24" s="51" t="n"/>
      <c r="AYZ24" s="51" t="n"/>
      <c r="AZA24" s="51" t="n"/>
      <c r="AZB24" s="51" t="n"/>
      <c r="AZC24" s="51" t="n"/>
      <c r="AZD24" s="51" t="n"/>
      <c r="AZE24" s="51" t="n"/>
      <c r="AZF24" s="51" t="n"/>
      <c r="AZG24" s="51" t="n"/>
      <c r="AZH24" s="51" t="n"/>
      <c r="AZI24" s="51" t="n"/>
      <c r="AZJ24" s="51" t="n"/>
      <c r="AZK24" s="51" t="n"/>
      <c r="AZL24" s="51" t="n"/>
      <c r="AZM24" s="51" t="n"/>
      <c r="AZN24" s="51" t="n"/>
      <c r="AZO24" s="51" t="n"/>
      <c r="AZP24" s="51" t="n"/>
      <c r="AZQ24" s="51" t="n"/>
      <c r="AZR24" s="51" t="n"/>
      <c r="AZS24" s="51" t="n"/>
      <c r="AZT24" s="51" t="n"/>
      <c r="AZU24" s="51" t="n"/>
      <c r="AZV24" s="51" t="n"/>
      <c r="AZW24" s="51" t="n"/>
      <c r="AZX24" s="51" t="n"/>
      <c r="AZY24" s="51" t="n"/>
      <c r="AZZ24" s="51" t="n"/>
      <c r="BAA24" s="51" t="n"/>
      <c r="BAB24" s="51" t="n"/>
      <c r="BAC24" s="51" t="n"/>
      <c r="BAD24" s="51" t="n"/>
      <c r="BAE24" s="51" t="n"/>
      <c r="BAF24" s="51" t="n"/>
      <c r="BAG24" s="51" t="n"/>
      <c r="BAH24" s="51" t="n"/>
      <c r="BAI24" s="51" t="n"/>
      <c r="BAJ24" s="51" t="n"/>
      <c r="BAK24" s="51" t="n"/>
      <c r="BAL24" s="51" t="n"/>
      <c r="BAM24" s="51" t="n"/>
      <c r="BAN24" s="51" t="n"/>
      <c r="BAO24" s="51" t="n"/>
      <c r="BAP24" s="51" t="n"/>
      <c r="BAQ24" s="51" t="n"/>
      <c r="BAR24" s="51" t="n"/>
      <c r="BAS24" s="51" t="n"/>
      <c r="BAT24" s="51" t="n"/>
      <c r="BAU24" s="51" t="n"/>
      <c r="BAV24" s="51" t="n"/>
      <c r="BAW24" s="51" t="n"/>
      <c r="BAX24" s="51" t="n"/>
      <c r="BAY24" s="51" t="n"/>
      <c r="BAZ24" s="51" t="n"/>
      <c r="BBA24" s="51" t="n"/>
      <c r="BBB24" s="51" t="n"/>
      <c r="BBC24" s="51" t="n"/>
      <c r="BBD24" s="51" t="n"/>
      <c r="BBE24" s="51" t="n"/>
      <c r="BBF24" s="51" t="n"/>
      <c r="BBG24" s="51" t="n"/>
      <c r="BBH24" s="51" t="n"/>
      <c r="BBI24" s="51" t="n"/>
      <c r="BBJ24" s="51" t="n"/>
      <c r="BBK24" s="51" t="n"/>
      <c r="BBL24" s="51" t="n"/>
      <c r="BBM24" s="51" t="n"/>
      <c r="BBN24" s="51" t="n"/>
      <c r="BBO24" s="51" t="n"/>
      <c r="BBP24" s="51" t="n"/>
    </row>
    <row r="25" ht="14.25" customHeight="1">
      <c r="A25" s="22">
        <f>A24+1</f>
        <v/>
      </c>
      <c r="B25" s="103" t="inlineStr">
        <is>
          <t>BEARING 608  ZZ</t>
        </is>
      </c>
      <c r="C25" s="29" t="inlineStr">
        <is>
          <t>Pcs</t>
        </is>
      </c>
      <c r="D25" s="26">
        <f>'Week  (2)'!U25</f>
        <v/>
      </c>
      <c r="E25" s="124" t="n"/>
      <c r="F25" s="62" t="n"/>
      <c r="G25" s="25" t="n"/>
      <c r="H25" s="56" t="n"/>
      <c r="I25" s="19" t="n"/>
      <c r="J25" s="64" t="n"/>
      <c r="K25" s="18" t="n"/>
      <c r="L25" s="73" t="n"/>
      <c r="M25" s="73" t="n"/>
      <c r="N25" s="73" t="n"/>
      <c r="O25" s="19" t="n"/>
      <c r="P25" s="18" t="n"/>
      <c r="Q25" s="18" t="n"/>
      <c r="R25" s="73" t="n"/>
      <c r="S25" s="18" t="n"/>
      <c r="T25" s="18" t="n"/>
      <c r="U25" s="26">
        <f>D25+F25+-(H25+J25+L25+N25+P25+R25+T25)</f>
        <v/>
      </c>
      <c r="V25" t="inlineStr">
        <is>
          <t>MECHANICAL</t>
        </is>
      </c>
    </row>
    <row r="26" ht="15" customHeight="1">
      <c r="A26" s="22">
        <f>A25+1</f>
        <v/>
      </c>
      <c r="B26" s="127" t="inlineStr">
        <is>
          <t>Bearing 6202-2Z, SKF</t>
        </is>
      </c>
      <c r="C26" s="123" t="inlineStr">
        <is>
          <t>PCS</t>
        </is>
      </c>
      <c r="D26" s="26">
        <f>'Week  (2)'!U26</f>
        <v/>
      </c>
      <c r="E26" s="125" t="n"/>
      <c r="F26" s="55" t="n"/>
      <c r="G26" s="52" t="n"/>
      <c r="H26" s="55" t="n"/>
      <c r="I26" s="71" t="n"/>
      <c r="J26" s="55" t="n"/>
      <c r="K26" s="18" t="n"/>
      <c r="L26" s="73" t="n"/>
      <c r="M26" s="73" t="n"/>
      <c r="N26" s="73" t="n"/>
      <c r="O26" s="19" t="n"/>
      <c r="P26" s="18" t="n"/>
      <c r="Q26" s="18" t="n"/>
      <c r="R26" s="73" t="n"/>
      <c r="S26" s="18" t="n"/>
      <c r="T26" s="18" t="n"/>
      <c r="U26" s="26">
        <f>D26+F26+-(H26+J26+L26+N26+P26+R26+T26)</f>
        <v/>
      </c>
      <c r="V26" t="inlineStr">
        <is>
          <t>MECHANICAL</t>
        </is>
      </c>
    </row>
    <row r="27" ht="14.25" customHeight="1">
      <c r="A27" s="22">
        <f>A26+1</f>
        <v/>
      </c>
      <c r="B27" s="79" t="inlineStr">
        <is>
          <t>BEARING 6203 ZZ</t>
        </is>
      </c>
      <c r="C27" s="29" t="inlineStr">
        <is>
          <t>Pcs</t>
        </is>
      </c>
      <c r="D27" s="26">
        <f>'Week  (2)'!U27</f>
        <v/>
      </c>
      <c r="E27" s="124" t="n"/>
      <c r="F27" s="62" t="n"/>
      <c r="G27" s="25" t="n"/>
      <c r="H27" s="56" t="n"/>
      <c r="I27" s="19" t="n"/>
      <c r="J27" s="64" t="n"/>
      <c r="K27" s="18" t="n"/>
      <c r="L27" s="73" t="n"/>
      <c r="M27" s="73" t="n"/>
      <c r="N27" s="73" t="n"/>
      <c r="O27" s="19" t="n"/>
      <c r="P27" s="18" t="n"/>
      <c r="Q27" s="18" t="n"/>
      <c r="R27" s="73" t="n"/>
      <c r="S27" s="18" t="n"/>
      <c r="T27" s="18" t="n"/>
      <c r="U27" s="26">
        <f>D27+F27+-(H27+J27+L27+N27+P27+R27+T27)</f>
        <v/>
      </c>
      <c r="V27" t="inlineStr">
        <is>
          <t>MECHANICAL</t>
        </is>
      </c>
    </row>
    <row r="28" ht="14.25" customHeight="1">
      <c r="A28" s="22">
        <f>A27+1</f>
        <v/>
      </c>
      <c r="B28" s="79" t="inlineStr">
        <is>
          <t>Bearing 6303</t>
        </is>
      </c>
      <c r="C28" s="29" t="inlineStr">
        <is>
          <t>Pcs</t>
        </is>
      </c>
      <c r="D28" s="26">
        <f>'Week  (2)'!U28</f>
        <v/>
      </c>
      <c r="E28" s="125" t="n"/>
      <c r="F28" s="55" t="n"/>
      <c r="G28" s="52" t="n"/>
      <c r="H28" s="55" t="n"/>
      <c r="I28" s="71" t="n"/>
      <c r="J28" s="55" t="n"/>
      <c r="K28" s="18" t="n"/>
      <c r="L28" s="73" t="n"/>
      <c r="M28" s="73" t="n"/>
      <c r="N28" s="73" t="n"/>
      <c r="O28" s="19" t="n"/>
      <c r="P28" s="18" t="n"/>
      <c r="Q28" s="18" t="n"/>
      <c r="R28" s="73" t="n"/>
      <c r="S28" s="18" t="n"/>
      <c r="T28" s="18" t="n"/>
      <c r="U28" s="26">
        <f>D28+F28+-(H28+J28+L28+N28+P28+R28+T28)</f>
        <v/>
      </c>
      <c r="V28" t="inlineStr">
        <is>
          <t>MECHANICAL</t>
        </is>
      </c>
    </row>
    <row r="29" ht="15" customHeight="1">
      <c r="A29" s="22">
        <f>A28+1</f>
        <v/>
      </c>
      <c r="B29" s="122" t="inlineStr">
        <is>
          <t>Bearing 6304 ZZ</t>
        </is>
      </c>
      <c r="C29" s="123" t="inlineStr">
        <is>
          <t>PCS</t>
        </is>
      </c>
      <c r="D29" s="26">
        <f>'Week  (2)'!U29</f>
        <v/>
      </c>
      <c r="E29" s="124" t="n"/>
      <c r="F29" s="62" t="n"/>
      <c r="G29" s="25" t="n"/>
      <c r="H29" s="56" t="n"/>
      <c r="I29" s="19" t="n"/>
      <c r="J29" s="64" t="n"/>
      <c r="K29" s="18" t="n"/>
      <c r="L29" s="73" t="n"/>
      <c r="M29" s="73" t="n"/>
      <c r="N29" s="73" t="n"/>
      <c r="O29" s="19" t="n"/>
      <c r="P29" s="18" t="n"/>
      <c r="Q29" s="18" t="n"/>
      <c r="R29" s="73" t="n"/>
      <c r="S29" s="18" t="n"/>
      <c r="T29" s="18" t="n"/>
      <c r="U29" s="26">
        <f>D29+F29+-(H29+J29+L29+N29+P29+R29+T29)</f>
        <v/>
      </c>
      <c r="V29" t="inlineStr">
        <is>
          <t>MECHANICAL</t>
        </is>
      </c>
    </row>
    <row r="30" ht="15" customHeight="1">
      <c r="A30" s="22">
        <f>A29+1</f>
        <v/>
      </c>
      <c r="B30" s="128" t="inlineStr">
        <is>
          <t>Bearing 6305 SKF</t>
        </is>
      </c>
      <c r="C30" s="123" t="inlineStr">
        <is>
          <t>PCS</t>
        </is>
      </c>
      <c r="D30" s="26">
        <f>'Week  (2)'!U30</f>
        <v/>
      </c>
      <c r="E30" s="125" t="n"/>
      <c r="F30" s="55" t="n"/>
      <c r="G30" s="52" t="n"/>
      <c r="H30" s="55" t="n"/>
      <c r="I30" s="71" t="n"/>
      <c r="J30" s="55" t="n"/>
      <c r="K30" s="18" t="n"/>
      <c r="L30" s="73" t="n"/>
      <c r="M30" s="73" t="n"/>
      <c r="N30" s="73" t="n"/>
      <c r="O30" s="19" t="n"/>
      <c r="P30" s="18" t="n"/>
      <c r="Q30" s="18" t="n"/>
      <c r="R30" s="73" t="n"/>
      <c r="S30" s="18" t="n"/>
      <c r="T30" s="18" t="n"/>
      <c r="U30" s="26">
        <f>D30+F30+-(H30+J30+L30+N30+P30+R30+T30)</f>
        <v/>
      </c>
      <c r="V30" t="inlineStr">
        <is>
          <t>MECHANICAL</t>
        </is>
      </c>
    </row>
    <row r="31" ht="15" customHeight="1">
      <c r="A31" s="22">
        <f>A30+1</f>
        <v/>
      </c>
      <c r="B31" s="30" t="inlineStr">
        <is>
          <t>Bearing SKF 6306 ZZ</t>
        </is>
      </c>
      <c r="C31" s="123" t="inlineStr">
        <is>
          <t>PCS</t>
        </is>
      </c>
      <c r="D31" s="26">
        <f>'Week  (2)'!U31</f>
        <v/>
      </c>
      <c r="E31" s="124" t="n"/>
      <c r="F31" s="62" t="n"/>
      <c r="G31" s="25" t="n"/>
      <c r="H31" s="56" t="n"/>
      <c r="I31" s="19" t="n"/>
      <c r="J31" s="64" t="n"/>
      <c r="K31" s="18" t="n"/>
      <c r="L31" s="73" t="n"/>
      <c r="M31" s="73" t="n"/>
      <c r="N31" s="73" t="n"/>
      <c r="O31" s="19" t="n"/>
      <c r="P31" s="18" t="n"/>
      <c r="Q31" s="18" t="n"/>
      <c r="R31" s="73" t="n"/>
      <c r="S31" s="18" t="n"/>
      <c r="T31" s="18" t="n"/>
      <c r="U31" s="26">
        <f>D31+F31+-(H31+J31+L31+N31+P31+R31+T31)</f>
        <v/>
      </c>
      <c r="V31" t="inlineStr">
        <is>
          <t>MECHANICAL</t>
        </is>
      </c>
    </row>
    <row r="32" ht="15" customHeight="1">
      <c r="A32" s="22">
        <f>A31+1</f>
        <v/>
      </c>
      <c r="B32" s="30" t="inlineStr">
        <is>
          <t>Bearing SKF 6307 ZZ</t>
        </is>
      </c>
      <c r="C32" s="123" t="inlineStr">
        <is>
          <t>PCS</t>
        </is>
      </c>
      <c r="D32" s="26">
        <f>'Week  (2)'!U32</f>
        <v/>
      </c>
      <c r="E32" s="125" t="n"/>
      <c r="F32" s="55" t="n"/>
      <c r="G32" s="25" t="n"/>
      <c r="H32" s="56" t="n"/>
      <c r="I32" s="71" t="n"/>
      <c r="J32" s="55" t="n"/>
      <c r="K32" s="18" t="n"/>
      <c r="L32" s="73" t="n"/>
      <c r="M32" s="73" t="n"/>
      <c r="N32" s="73" t="n"/>
      <c r="O32" s="19" t="n"/>
      <c r="P32" s="18" t="n"/>
      <c r="Q32" s="18" t="n"/>
      <c r="R32" s="73" t="n"/>
      <c r="S32" s="18" t="n"/>
      <c r="T32" s="18" t="n"/>
      <c r="U32" s="26">
        <f>D32+F32+-(H32+J32+L32+N32+P32+R32+T32)</f>
        <v/>
      </c>
      <c r="V32" t="inlineStr">
        <is>
          <t>MECHANICAL</t>
        </is>
      </c>
    </row>
    <row r="33" ht="15" customHeight="1">
      <c r="A33" s="22">
        <f>A32+1</f>
        <v/>
      </c>
      <c r="B33" s="30" t="inlineStr">
        <is>
          <t>Bearing SKF 6309 / C3</t>
        </is>
      </c>
      <c r="C33" s="123" t="inlineStr">
        <is>
          <t>PCS</t>
        </is>
      </c>
      <c r="D33" s="26">
        <f>'Week  (2)'!U33</f>
        <v/>
      </c>
      <c r="E33" s="124" t="n"/>
      <c r="F33" s="62" t="n"/>
      <c r="G33" s="25" t="n"/>
      <c r="H33" s="56" t="n"/>
      <c r="I33" s="19" t="n"/>
      <c r="J33" s="64" t="n"/>
      <c r="K33" s="18" t="n"/>
      <c r="L33" s="73" t="n"/>
      <c r="M33" s="73" t="n"/>
      <c r="N33" s="73" t="n"/>
      <c r="O33" s="19" t="n"/>
      <c r="P33" s="18" t="n"/>
      <c r="Q33" s="18" t="n"/>
      <c r="R33" s="73" t="n"/>
      <c r="S33" s="18" t="n"/>
      <c r="T33" s="18" t="n"/>
      <c r="U33" s="26">
        <f>D33+F33+-(H33+J33+L33+N33+P33+R33+T33)</f>
        <v/>
      </c>
      <c r="V33" t="inlineStr">
        <is>
          <t>MECHANICAL</t>
        </is>
      </c>
    </row>
    <row r="34" ht="15" customHeight="1">
      <c r="A34" s="22">
        <f>A33+1</f>
        <v/>
      </c>
      <c r="B34" s="122" t="inlineStr">
        <is>
          <t>Bearing SKF 63305 ZZ</t>
        </is>
      </c>
      <c r="C34" s="123" t="inlineStr">
        <is>
          <t>PCS</t>
        </is>
      </c>
      <c r="D34" s="26">
        <f>'Week  (2)'!U34</f>
        <v/>
      </c>
      <c r="E34" s="125" t="n"/>
      <c r="F34" s="55" t="n"/>
      <c r="G34" s="52" t="n"/>
      <c r="H34" s="55" t="n"/>
      <c r="I34" s="71" t="n"/>
      <c r="J34" s="55" t="n"/>
      <c r="K34" s="18" t="n"/>
      <c r="L34" s="73" t="n"/>
      <c r="M34" s="73" t="n"/>
      <c r="N34" s="73" t="n"/>
      <c r="O34" s="19" t="n"/>
      <c r="P34" s="18" t="n"/>
      <c r="Q34" s="18" t="n"/>
      <c r="R34" s="73" t="n"/>
      <c r="S34" s="18" t="n"/>
      <c r="T34" s="18" t="n"/>
      <c r="U34" s="26">
        <f>D34+F34+-(H34+J34+L34+N34+P34+R34+T34)</f>
        <v/>
      </c>
      <c r="V34" t="inlineStr">
        <is>
          <t>MECHANICAL</t>
        </is>
      </c>
    </row>
    <row r="35" ht="15" customHeight="1">
      <c r="A35" s="22">
        <f>A34+1</f>
        <v/>
      </c>
      <c r="B35" s="122" t="inlineStr">
        <is>
          <t>Bearing SKF 6309 C3</t>
        </is>
      </c>
      <c r="C35" s="123" t="inlineStr">
        <is>
          <t>PCS</t>
        </is>
      </c>
      <c r="D35" s="26">
        <f>'Week  (2)'!U35</f>
        <v/>
      </c>
      <c r="E35" s="124" t="n"/>
      <c r="F35" s="62" t="n"/>
      <c r="G35" s="25" t="n"/>
      <c r="H35" s="56" t="n"/>
      <c r="I35" s="19" t="n"/>
      <c r="J35" s="64" t="n"/>
      <c r="K35" s="18" t="n"/>
      <c r="L35" s="73" t="n"/>
      <c r="M35" s="73" t="n"/>
      <c r="N35" s="73" t="n"/>
      <c r="O35" s="19" t="n"/>
      <c r="P35" s="18" t="n"/>
      <c r="Q35" s="18" t="n"/>
      <c r="R35" s="73" t="n"/>
      <c r="S35" s="18" t="n"/>
      <c r="T35" s="18" t="n"/>
      <c r="U35" s="26">
        <f>D35+F35+-(H35+J35+L35+N35+P35+R35+T35)</f>
        <v/>
      </c>
      <c r="V35" t="inlineStr">
        <is>
          <t>MECHANICAL</t>
        </is>
      </c>
    </row>
    <row r="36" ht="30" customHeight="1">
      <c r="A36" s="22">
        <f>A35+1</f>
        <v/>
      </c>
      <c r="B36" s="122" t="inlineStr">
        <is>
          <t xml:space="preserve">Bulb Lamp 25 W, A 35  Clear Philips,  </t>
        </is>
      </c>
      <c r="C36" s="123" t="inlineStr">
        <is>
          <t>PCS</t>
        </is>
      </c>
      <c r="D36" s="26">
        <f>'Week  (2)'!U36</f>
        <v/>
      </c>
      <c r="E36" s="125" t="n"/>
      <c r="F36" s="55" t="n"/>
      <c r="G36" s="52" t="n"/>
      <c r="H36" s="55" t="n"/>
      <c r="I36" s="71" t="n"/>
      <c r="J36" s="55" t="n"/>
      <c r="K36" s="18" t="n"/>
      <c r="L36" s="73" t="n"/>
      <c r="M36" s="73" t="n"/>
      <c r="N36" s="73" t="n"/>
      <c r="O36" s="19" t="n"/>
      <c r="P36" s="18" t="n"/>
      <c r="Q36" s="18" t="n"/>
      <c r="R36" s="73" t="n"/>
      <c r="S36" s="18" t="n"/>
      <c r="T36" s="18" t="n"/>
      <c r="U36" s="26">
        <f>D36+F36+-(H36+J36+L36+N36+P36+R36+T36)</f>
        <v/>
      </c>
      <c r="V36" t="inlineStr">
        <is>
          <t>LAMP</t>
        </is>
      </c>
    </row>
    <row r="37" ht="30" customHeight="1">
      <c r="A37" s="22">
        <f>A36+1</f>
        <v/>
      </c>
      <c r="B37" s="122" t="inlineStr">
        <is>
          <t>Bulb Lamp 40 W, B 35  Clear Philips,  E 14 ( cooker hood )</t>
        </is>
      </c>
      <c r="C37" s="123" t="inlineStr">
        <is>
          <t>PCS</t>
        </is>
      </c>
      <c r="D37" s="26">
        <f>'Week  (2)'!U37</f>
        <v/>
      </c>
      <c r="E37" s="124" t="n"/>
      <c r="F37" s="62" t="n"/>
      <c r="G37" s="25" t="n"/>
      <c r="H37" s="56" t="n"/>
      <c r="I37" s="19" t="n"/>
      <c r="J37" s="64" t="n"/>
      <c r="K37" s="19" t="n"/>
      <c r="L37" s="73" t="n"/>
      <c r="M37" s="73" t="n"/>
      <c r="N37" s="73" t="n"/>
      <c r="O37" s="19" t="n"/>
      <c r="P37" s="18" t="n"/>
      <c r="Q37" s="18" t="n"/>
      <c r="R37" s="73" t="n"/>
      <c r="S37" s="18" t="n"/>
      <c r="T37" s="18" t="n"/>
      <c r="U37" s="26">
        <f>D37+F37+-(H37+J37+L37+N37+P37+R37+T37)</f>
        <v/>
      </c>
      <c r="V37" t="inlineStr">
        <is>
          <t>LAMP</t>
        </is>
      </c>
    </row>
    <row r="38" ht="15" customHeight="1">
      <c r="A38" s="22">
        <f>A37+1</f>
        <v/>
      </c>
      <c r="B38" s="51" t="inlineStr">
        <is>
          <t xml:space="preserve">Capacitor 2,5µf + 2 µf </t>
        </is>
      </c>
      <c r="C38" s="123" t="inlineStr">
        <is>
          <t>PCS</t>
        </is>
      </c>
      <c r="D38" s="26">
        <f>'Week  (2)'!U38</f>
        <v/>
      </c>
      <c r="E38" s="125" t="n"/>
      <c r="F38" s="55" t="n"/>
      <c r="G38" s="52" t="n"/>
      <c r="H38" s="55" t="n"/>
      <c r="I38" s="71" t="n"/>
      <c r="J38" s="55" t="n"/>
      <c r="K38" s="18" t="n"/>
      <c r="L38" s="73" t="n"/>
      <c r="M38" s="73" t="n"/>
      <c r="N38" s="73" t="n"/>
      <c r="O38" s="19" t="n"/>
      <c r="P38" s="18" t="n"/>
      <c r="Q38" s="18" t="n"/>
      <c r="R38" s="73" t="n"/>
      <c r="S38" s="18" t="n"/>
      <c r="T38" s="18" t="n"/>
      <c r="U38" s="26">
        <f>D38+F38+-(H38+J38+L38+N38+P38+R38+T38)</f>
        <v/>
      </c>
      <c r="V38" t="inlineStr">
        <is>
          <t>ELECTRICAL</t>
        </is>
      </c>
    </row>
    <row r="39" ht="15" customHeight="1">
      <c r="A39" s="22">
        <f>A38+1</f>
        <v/>
      </c>
      <c r="B39" s="122" t="inlineStr">
        <is>
          <t>Capacitor 30µf</t>
        </is>
      </c>
      <c r="C39" s="123" t="inlineStr">
        <is>
          <t>PCS</t>
        </is>
      </c>
      <c r="D39" s="26">
        <f>'Week  (2)'!U39</f>
        <v/>
      </c>
      <c r="E39" s="124" t="n"/>
      <c r="F39" s="62" t="n"/>
      <c r="G39" s="25" t="n"/>
      <c r="H39" s="56" t="n"/>
      <c r="I39" s="19" t="n"/>
      <c r="J39" s="64" t="n"/>
      <c r="K39" s="18" t="n"/>
      <c r="L39" s="73" t="n"/>
      <c r="M39" s="73" t="n"/>
      <c r="N39" s="73" t="n"/>
      <c r="O39" s="19" t="n"/>
      <c r="P39" s="18" t="n"/>
      <c r="Q39" s="18" t="n"/>
      <c r="R39" s="73" t="n"/>
      <c r="S39" s="18" t="n"/>
      <c r="T39" s="18" t="n"/>
      <c r="U39" s="26">
        <f>D39+F39+-(H39+J39+L39+N39+P39+R39+T39)</f>
        <v/>
      </c>
      <c r="V39" t="inlineStr">
        <is>
          <t>AC</t>
        </is>
      </c>
    </row>
    <row r="40" ht="15" customHeight="1">
      <c r="A40" s="22">
        <f>A39+1</f>
        <v/>
      </c>
      <c r="B40" s="122" t="inlineStr">
        <is>
          <t>Capacitor 40µf</t>
        </is>
      </c>
      <c r="C40" s="123" t="inlineStr">
        <is>
          <t>PCS</t>
        </is>
      </c>
      <c r="D40" s="26">
        <f>'Week  (2)'!U40</f>
        <v/>
      </c>
      <c r="E40" s="125" t="n"/>
      <c r="F40" s="55" t="n"/>
      <c r="G40" s="52" t="n"/>
      <c r="H40" s="55" t="n"/>
      <c r="I40" s="71" t="n"/>
      <c r="J40" s="55" t="n"/>
      <c r="K40" s="18" t="n"/>
      <c r="L40" s="73" t="n"/>
      <c r="M40" s="73" t="n"/>
      <c r="N40" s="73" t="n"/>
      <c r="O40" s="19" t="n"/>
      <c r="P40" s="18" t="n"/>
      <c r="Q40" s="18" t="n"/>
      <c r="R40" s="73" t="n"/>
      <c r="S40" s="18" t="n"/>
      <c r="T40" s="18" t="n"/>
      <c r="U40" s="26">
        <f>D40+F40+-(H40+J40+L40+N40+P40+R40+T40)</f>
        <v/>
      </c>
      <c r="V40" t="inlineStr">
        <is>
          <t>AC</t>
        </is>
      </c>
    </row>
    <row r="41" ht="12.75" customHeight="1">
      <c r="A41" s="22">
        <f>A40+1</f>
        <v/>
      </c>
      <c r="B41" s="122" t="inlineStr">
        <is>
          <t>Capacitor 35µf</t>
        </is>
      </c>
      <c r="C41" s="123" t="inlineStr">
        <is>
          <t>PCS</t>
        </is>
      </c>
      <c r="D41" s="26">
        <f>'Week  (2)'!U41</f>
        <v/>
      </c>
      <c r="E41" s="124" t="n"/>
      <c r="F41" s="62" t="n"/>
      <c r="G41" s="25" t="n"/>
      <c r="H41" s="56" t="n"/>
      <c r="I41" s="19" t="n"/>
      <c r="J41" s="64" t="n"/>
      <c r="K41" s="18" t="n"/>
      <c r="L41" s="73" t="n"/>
      <c r="M41" s="73" t="n"/>
      <c r="N41" s="73" t="n"/>
      <c r="O41" s="19" t="n"/>
      <c r="P41" s="18" t="n"/>
      <c r="Q41" s="18" t="n"/>
      <c r="R41" s="73" t="n"/>
      <c r="S41" s="18" t="n"/>
      <c r="T41" s="18" t="n"/>
      <c r="U41" s="26">
        <f>D41+F41+-(H41+J41+L41+N41+P41+R41+T41)</f>
        <v/>
      </c>
      <c r="V41" t="inlineStr">
        <is>
          <t>AC</t>
        </is>
      </c>
    </row>
    <row r="42" ht="15" customHeight="1">
      <c r="A42" s="22">
        <f>A41+1</f>
        <v/>
      </c>
      <c r="B42" s="122" t="inlineStr">
        <is>
          <t>Capacitor 50 µf</t>
        </is>
      </c>
      <c r="C42" s="123" t="inlineStr">
        <is>
          <t>PCS</t>
        </is>
      </c>
      <c r="D42" s="26">
        <f>'Week  (2)'!U42</f>
        <v/>
      </c>
      <c r="E42" s="125" t="n"/>
      <c r="F42" s="55" t="n"/>
      <c r="G42" s="52" t="n"/>
      <c r="H42" s="55" t="n"/>
      <c r="I42" s="71" t="n"/>
      <c r="J42" s="55" t="n"/>
      <c r="K42" s="18" t="n"/>
      <c r="L42" s="73" t="n"/>
      <c r="M42" s="73" t="n"/>
      <c r="N42" s="73" t="n"/>
      <c r="O42" s="19" t="n"/>
      <c r="P42" s="18" t="n"/>
      <c r="Q42" s="18" t="n"/>
      <c r="R42" s="73" t="n"/>
      <c r="S42" s="18" t="n"/>
      <c r="T42" s="18" t="n"/>
      <c r="U42" s="26">
        <f>D42+F42+-(H42+J42+L42+N42+P42+R42+T42)</f>
        <v/>
      </c>
      <c r="V42" t="inlineStr">
        <is>
          <t>AC</t>
        </is>
      </c>
    </row>
    <row r="43" ht="15" customHeight="1">
      <c r="A43" s="22">
        <f>A42+1</f>
        <v/>
      </c>
      <c r="B43" s="122" t="inlineStr">
        <is>
          <t>Capacitor AC 25 µf</t>
        </is>
      </c>
      <c r="C43" s="123" t="inlineStr">
        <is>
          <t>PCS</t>
        </is>
      </c>
      <c r="D43" s="26">
        <f>'Week  (2)'!U43</f>
        <v/>
      </c>
      <c r="E43" s="124" t="n"/>
      <c r="F43" s="62" t="n"/>
      <c r="G43" s="25" t="n"/>
      <c r="H43" s="56" t="n"/>
      <c r="I43" s="19" t="n"/>
      <c r="J43" s="64" t="n"/>
      <c r="K43" s="18" t="n"/>
      <c r="L43" s="73" t="n"/>
      <c r="M43" s="73" t="n"/>
      <c r="N43" s="73" t="n"/>
      <c r="O43" s="19" t="n"/>
      <c r="P43" s="18" t="n"/>
      <c r="Q43" s="18" t="n"/>
      <c r="R43" s="73" t="n"/>
      <c r="S43" s="18" t="n"/>
      <c r="T43" s="18" t="n"/>
      <c r="U43" s="26">
        <f>D43+F43+-(H43+J43+L43+N43+P43+R43+T43)</f>
        <v/>
      </c>
      <c r="V43" t="inlineStr">
        <is>
          <t>AC</t>
        </is>
      </c>
    </row>
    <row r="44" ht="15" customHeight="1">
      <c r="A44" s="22">
        <f>A43+1</f>
        <v/>
      </c>
      <c r="B44" s="127" t="inlineStr">
        <is>
          <t>Capacitor Ceiling Fan 5 Cable</t>
        </is>
      </c>
      <c r="C44" s="123" t="inlineStr">
        <is>
          <t>PCS</t>
        </is>
      </c>
      <c r="D44" s="26">
        <f>'Week  (2)'!U44</f>
        <v/>
      </c>
      <c r="E44" s="125" t="n"/>
      <c r="F44" s="55" t="n"/>
      <c r="G44" s="52" t="n"/>
      <c r="H44" s="55" t="n"/>
      <c r="I44" s="71" t="n"/>
      <c r="J44" s="55" t="n"/>
      <c r="K44" s="18" t="n"/>
      <c r="L44" s="73" t="n"/>
      <c r="M44" s="73" t="n"/>
      <c r="N44" s="73" t="n"/>
      <c r="O44" s="19" t="n"/>
      <c r="P44" s="18" t="n"/>
      <c r="Q44" s="18" t="n"/>
      <c r="R44" s="73" t="n"/>
      <c r="S44" s="18" t="n"/>
      <c r="T44" s="18" t="n"/>
      <c r="U44" s="26">
        <f>D44+F44+-(H44+J44+L44+N44+P44+R44+T44)</f>
        <v/>
      </c>
      <c r="V44" t="inlineStr">
        <is>
          <t>ELECTRICAL</t>
        </is>
      </c>
    </row>
    <row r="45" ht="15" customHeight="1">
      <c r="A45" s="22">
        <f>A44+1</f>
        <v/>
      </c>
      <c r="B45" s="127" t="inlineStr">
        <is>
          <t>Capacitor Washing Machine 12 µf</t>
        </is>
      </c>
      <c r="C45" s="123" t="inlineStr">
        <is>
          <t>PCS</t>
        </is>
      </c>
      <c r="D45" s="26">
        <f>'Week  (2)'!U45</f>
        <v/>
      </c>
      <c r="E45" s="124" t="n"/>
      <c r="F45" s="62" t="n"/>
      <c r="G45" s="25" t="n"/>
      <c r="H45" s="56" t="n"/>
      <c r="I45" s="19" t="n"/>
      <c r="J45" s="64" t="n"/>
      <c r="K45" s="18" t="n"/>
      <c r="L45" s="73" t="n"/>
      <c r="M45" s="73" t="n"/>
      <c r="N45" s="73" t="n"/>
      <c r="O45" s="19" t="n"/>
      <c r="P45" s="18" t="n"/>
      <c r="Q45" s="18" t="n"/>
      <c r="R45" s="73" t="n"/>
      <c r="S45" s="18" t="n"/>
      <c r="T45" s="18" t="n"/>
      <c r="U45" s="26">
        <f>D45+F45+-(H45+J45+L45+N45+P45+R45+T45)</f>
        <v/>
      </c>
      <c r="V45" t="inlineStr">
        <is>
          <t>ELECTRICAL</t>
        </is>
      </c>
    </row>
    <row r="46" ht="15" customHeight="1">
      <c r="A46" s="22">
        <f>A45+1</f>
        <v/>
      </c>
      <c r="B46" s="122" t="inlineStr">
        <is>
          <t>Capacitor 60 µf</t>
        </is>
      </c>
      <c r="C46" s="123" t="inlineStr">
        <is>
          <t>PCS</t>
        </is>
      </c>
      <c r="D46" s="26">
        <f>'Week  (2)'!U46</f>
        <v/>
      </c>
      <c r="E46" s="125" t="n"/>
      <c r="F46" s="55" t="n"/>
      <c r="G46" s="52" t="n"/>
      <c r="H46" s="55" t="n"/>
      <c r="I46" s="71" t="n"/>
      <c r="J46" s="55" t="n"/>
      <c r="K46" s="18" t="n"/>
      <c r="L46" s="73" t="n"/>
      <c r="M46" s="73" t="n"/>
      <c r="N46" s="73" t="n"/>
      <c r="O46" s="19" t="n"/>
      <c r="P46" s="18" t="n"/>
      <c r="Q46" s="18" t="n"/>
      <c r="R46" s="73" t="n"/>
      <c r="S46" s="18" t="n"/>
      <c r="T46" s="18" t="n"/>
      <c r="U46" s="26">
        <f>D46+F46+-(H46+J46+L46+N46+P46+R46+T46)</f>
        <v/>
      </c>
      <c r="V46" t="inlineStr">
        <is>
          <t>AC</t>
        </is>
      </c>
    </row>
    <row r="47" ht="25.5" customHeight="1">
      <c r="A47" s="22">
        <f>A46+1</f>
        <v/>
      </c>
      <c r="B47" s="79" t="inlineStr">
        <is>
          <t>CAT DULUX CATYLAC INVERNES  25KG</t>
        </is>
      </c>
      <c r="C47" s="29" t="inlineStr">
        <is>
          <t>Pail</t>
        </is>
      </c>
      <c r="D47" s="26">
        <f>'Week  (2)'!U47</f>
        <v/>
      </c>
      <c r="E47" s="124" t="n"/>
      <c r="F47" s="62" t="n"/>
      <c r="G47" s="25" t="n"/>
      <c r="H47" s="69" t="n"/>
      <c r="I47" s="19" t="n"/>
      <c r="J47" s="64" t="n"/>
      <c r="K47" s="18" t="n"/>
      <c r="L47" s="73" t="n"/>
      <c r="M47" s="73" t="n"/>
      <c r="N47" s="73" t="n"/>
      <c r="O47" s="19" t="n"/>
      <c r="P47" s="18" t="n"/>
      <c r="Q47" s="18" t="n"/>
      <c r="R47" s="73" t="n"/>
      <c r="S47" s="18" t="n"/>
      <c r="T47" s="18" t="n"/>
      <c r="U47" s="26">
        <f>D47+F47+-(H47+J47+L47+N47+P47+R47+T47)</f>
        <v/>
      </c>
      <c r="V47" t="inlineStr">
        <is>
          <t>CIVIL</t>
        </is>
      </c>
    </row>
    <row r="48" ht="30" customHeight="1">
      <c r="A48" s="22">
        <f>A47+1</f>
        <v/>
      </c>
      <c r="B48" s="122" t="inlineStr">
        <is>
          <t>CAT DULUX CATYLAC INVERNES 5 KG</t>
        </is>
      </c>
      <c r="C48" s="123" t="inlineStr">
        <is>
          <t>GLN</t>
        </is>
      </c>
      <c r="D48" s="26">
        <f>'Week  (2)'!U48</f>
        <v/>
      </c>
      <c r="E48" s="125" t="n"/>
      <c r="F48" s="55" t="n"/>
      <c r="G48" s="52" t="n"/>
      <c r="H48" s="55" t="n"/>
      <c r="I48" s="71" t="n"/>
      <c r="J48" s="55" t="n"/>
      <c r="K48" s="18" t="n"/>
      <c r="L48" s="73" t="n"/>
      <c r="M48" s="73" t="n"/>
      <c r="N48" s="73" t="n"/>
      <c r="O48" s="19" t="n"/>
      <c r="P48" s="18" t="n"/>
      <c r="Q48" s="18" t="n"/>
      <c r="R48" s="73" t="n"/>
      <c r="S48" s="18" t="n"/>
      <c r="T48" s="18" t="n"/>
      <c r="U48" s="26">
        <f>D48+F48+-(H48+J48+L48+N48+P48+R48+T48)</f>
        <v/>
      </c>
      <c r="V48" t="inlineStr">
        <is>
          <t>CIVIL</t>
        </is>
      </c>
    </row>
    <row r="49" ht="30" customHeight="1">
      <c r="A49" s="22">
        <f>A48+1</f>
        <v/>
      </c>
      <c r="B49" s="122" t="inlineStr">
        <is>
          <t>CAT DULUX MORNING STAR 2,5 LTR</t>
        </is>
      </c>
      <c r="C49" s="123" t="inlineStr">
        <is>
          <t>GLN</t>
        </is>
      </c>
      <c r="D49" s="26">
        <f>'Week  (2)'!U49</f>
        <v/>
      </c>
      <c r="E49" s="124" t="n"/>
      <c r="F49" s="62" t="n"/>
      <c r="G49" s="25" t="n"/>
      <c r="H49" s="56" t="n"/>
      <c r="I49" s="19" t="n"/>
      <c r="J49" s="64" t="n"/>
      <c r="K49" s="18" t="n"/>
      <c r="L49" s="73" t="n"/>
      <c r="M49" s="73" t="n"/>
      <c r="N49" s="73" t="n"/>
      <c r="O49" s="19" t="n"/>
      <c r="P49" s="18" t="n"/>
      <c r="Q49" s="18" t="n"/>
      <c r="R49" s="73" t="n"/>
      <c r="S49" s="18" t="n"/>
      <c r="T49" s="18" t="n"/>
      <c r="U49" s="26">
        <f>D49+F49+-(H49+J49+L49+N49+P49+R49+T49)</f>
        <v/>
      </c>
      <c r="V49" t="inlineStr">
        <is>
          <t>CIVIL</t>
        </is>
      </c>
    </row>
    <row r="50" ht="15" customHeight="1">
      <c r="A50" s="22">
        <f>A49+1</f>
        <v/>
      </c>
      <c r="B50" s="122" t="inlineStr">
        <is>
          <t>CAT JAVA EXTERIOR</t>
        </is>
      </c>
      <c r="C50" s="123" t="inlineStr">
        <is>
          <t>PAIL</t>
        </is>
      </c>
      <c r="D50" s="26">
        <f>'Week  (2)'!U50</f>
        <v/>
      </c>
      <c r="E50" s="125" t="n"/>
      <c r="F50" s="55" t="n"/>
      <c r="G50" s="52" t="n"/>
      <c r="H50" s="55" t="n"/>
      <c r="I50" s="71" t="n"/>
      <c r="J50" s="55" t="n"/>
      <c r="K50" s="18" t="n"/>
      <c r="L50" s="73" t="n"/>
      <c r="M50" s="18" t="n"/>
      <c r="N50" s="73" t="n"/>
      <c r="O50" s="19" t="n"/>
      <c r="P50" s="18" t="n"/>
      <c r="Q50" s="18" t="n"/>
      <c r="R50" s="73" t="n"/>
      <c r="S50" s="18" t="n"/>
      <c r="T50" s="18" t="n"/>
      <c r="U50" s="26">
        <f>D50+F50+-(H50+J50+L50+N50+P50+R50+T50)</f>
        <v/>
      </c>
      <c r="V50" t="inlineStr">
        <is>
          <t>CIVIL</t>
        </is>
      </c>
    </row>
    <row r="51" ht="15" customHeight="1">
      <c r="A51" s="22">
        <f>A50+1</f>
        <v/>
      </c>
      <c r="B51" s="122" t="inlineStr">
        <is>
          <t>CAT JAVA INTERIOR NO. 31</t>
        </is>
      </c>
      <c r="C51" s="123" t="inlineStr">
        <is>
          <t>PAIL</t>
        </is>
      </c>
      <c r="D51" s="26">
        <f>'Week  (2)'!U51</f>
        <v/>
      </c>
      <c r="E51" s="124" t="n"/>
      <c r="F51" s="62" t="n"/>
      <c r="G51" s="25" t="n"/>
      <c r="H51" s="56" t="n"/>
      <c r="I51" s="19" t="n"/>
      <c r="J51" s="64" t="n"/>
      <c r="K51" s="18" t="n"/>
      <c r="L51" s="73" t="n"/>
      <c r="M51" s="73" t="n"/>
      <c r="N51" s="73" t="n"/>
      <c r="O51" s="19" t="n"/>
      <c r="P51" s="18" t="n"/>
      <c r="Q51" s="18" t="n"/>
      <c r="R51" s="73" t="n"/>
      <c r="S51" s="18" t="n"/>
      <c r="T51" s="18" t="n"/>
      <c r="U51" s="26">
        <f>D51+F51+-(H51+J51+L51+N51+P51+R51+T51)</f>
        <v/>
      </c>
      <c r="V51" t="inlineStr">
        <is>
          <t>CIVIL</t>
        </is>
      </c>
    </row>
    <row r="52" ht="15" customHeight="1">
      <c r="A52" s="22">
        <f>A51+1</f>
        <v/>
      </c>
      <c r="B52" s="122" t="inlineStr">
        <is>
          <t>CAT JAVA INTERIOR NO. 32</t>
        </is>
      </c>
      <c r="C52" s="123" t="inlineStr">
        <is>
          <t>PAIL</t>
        </is>
      </c>
      <c r="D52" s="26">
        <f>'Week  (2)'!U52</f>
        <v/>
      </c>
      <c r="E52" s="125" t="n"/>
      <c r="F52" s="55" t="n"/>
      <c r="G52" s="52" t="n"/>
      <c r="H52" s="55" t="n"/>
      <c r="I52" s="71" t="n"/>
      <c r="J52" s="55" t="n"/>
      <c r="K52" s="18" t="n"/>
      <c r="L52" s="73" t="n"/>
      <c r="M52" s="73" t="n"/>
      <c r="N52" s="73" t="n"/>
      <c r="O52" s="19" t="n"/>
      <c r="P52" s="18" t="n"/>
      <c r="Q52" s="18" t="n"/>
      <c r="R52" s="73" t="n"/>
      <c r="S52" s="18" t="n"/>
      <c r="T52" s="18" t="n"/>
      <c r="U52" s="26">
        <f>D52+F52+-(H52+J52+L52+N52+P52+R52+T52)</f>
        <v/>
      </c>
      <c r="V52" t="inlineStr">
        <is>
          <t>CIVIL</t>
        </is>
      </c>
    </row>
    <row r="53" ht="24" customHeight="1">
      <c r="A53" s="22">
        <f>A52+1</f>
        <v/>
      </c>
      <c r="B53" s="79" t="inlineStr">
        <is>
          <t>Cat NIPPE 2000 No.012 ( CHAMONIK)</t>
        </is>
      </c>
      <c r="C53" s="29" t="inlineStr">
        <is>
          <t>KG</t>
        </is>
      </c>
      <c r="D53" s="26">
        <f>'Week  (2)'!U53</f>
        <v/>
      </c>
      <c r="E53" s="124" t="n"/>
      <c r="F53" s="62" t="n"/>
      <c r="G53" s="25" t="n"/>
      <c r="H53" s="69" t="n"/>
      <c r="I53" s="19" t="n"/>
      <c r="J53" s="64" t="n"/>
      <c r="K53" s="25" t="n"/>
      <c r="L53" s="56" t="n"/>
      <c r="M53" s="73" t="n"/>
      <c r="N53" s="73" t="n"/>
      <c r="O53" s="19" t="n"/>
      <c r="P53" s="18" t="n"/>
      <c r="Q53" s="18" t="n"/>
      <c r="R53" s="73" t="n"/>
      <c r="S53" s="18" t="n"/>
      <c r="T53" s="18" t="n"/>
      <c r="U53" s="26">
        <f>D53+F53+-(H53+J53+L53+N53+P53+R53+T53)</f>
        <v/>
      </c>
      <c r="V53" t="inlineStr">
        <is>
          <t>CIVIL</t>
        </is>
      </c>
    </row>
    <row r="54" ht="24" customHeight="1">
      <c r="A54" s="22">
        <f>A53+1</f>
        <v/>
      </c>
      <c r="B54" s="104" t="inlineStr">
        <is>
          <t>Cat Pylox Hitam</t>
        </is>
      </c>
      <c r="C54" s="29" t="inlineStr">
        <is>
          <t>Btl</t>
        </is>
      </c>
      <c r="D54" s="26">
        <f>'Week  (2)'!U54</f>
        <v/>
      </c>
      <c r="E54" s="125" t="n"/>
      <c r="F54" s="55" t="n"/>
      <c r="G54" s="52" t="n"/>
      <c r="H54" s="55" t="n"/>
      <c r="I54" s="71" t="n"/>
      <c r="J54" s="55" t="n"/>
      <c r="K54" s="18" t="n"/>
      <c r="L54" s="73" t="n"/>
      <c r="M54" s="73" t="n"/>
      <c r="N54" s="73" t="n"/>
      <c r="O54" s="19" t="n"/>
      <c r="P54" s="18" t="n"/>
      <c r="Q54" s="18" t="n"/>
      <c r="R54" s="73" t="n"/>
      <c r="S54" s="18" t="n"/>
      <c r="T54" s="18" t="n"/>
      <c r="U54" s="26">
        <f>D54+F54+-(H54+J54+L54+N54+P54+R54+T54)</f>
        <v/>
      </c>
      <c r="V54" t="inlineStr">
        <is>
          <t>CIVIL</t>
        </is>
      </c>
    </row>
    <row r="55" ht="24" customHeight="1">
      <c r="A55" s="22">
        <f>A54+1</f>
        <v/>
      </c>
      <c r="B55" s="79" t="inlineStr">
        <is>
          <t>Cat Pylox Merah</t>
        </is>
      </c>
      <c r="C55" s="29" t="inlineStr">
        <is>
          <t>Btl</t>
        </is>
      </c>
      <c r="D55" s="26">
        <f>'Week  (2)'!U55</f>
        <v/>
      </c>
      <c r="E55" s="124" t="n"/>
      <c r="F55" s="62" t="n"/>
      <c r="G55" s="25" t="n"/>
      <c r="H55" s="56" t="n"/>
      <c r="I55" s="19" t="n"/>
      <c r="J55" s="64" t="n"/>
      <c r="K55" s="18" t="n"/>
      <c r="L55" s="73" t="n"/>
      <c r="M55" s="73" t="n"/>
      <c r="N55" s="73" t="n"/>
      <c r="O55" s="19" t="n"/>
      <c r="P55" s="18" t="n"/>
      <c r="Q55" s="18" t="n"/>
      <c r="R55" s="73" t="n"/>
      <c r="S55" s="18" t="n"/>
      <c r="T55" s="18" t="n"/>
      <c r="U55" s="26">
        <f>D55+F55+-(H55+J55+L55+N55+P55+R55+T55)</f>
        <v/>
      </c>
      <c r="V55" t="inlineStr">
        <is>
          <t>CIVIL</t>
        </is>
      </c>
    </row>
    <row r="56" ht="24" customHeight="1">
      <c r="A56" s="22">
        <f>A55+1</f>
        <v/>
      </c>
      <c r="B56" s="104" t="inlineStr">
        <is>
          <t>Cat Pylox Putih</t>
        </is>
      </c>
      <c r="C56" s="29" t="inlineStr">
        <is>
          <t>Btl</t>
        </is>
      </c>
      <c r="D56" s="26">
        <f>'Week  (2)'!U56</f>
        <v/>
      </c>
      <c r="E56" s="125" t="n"/>
      <c r="F56" s="55" t="n"/>
      <c r="G56" s="52" t="n"/>
      <c r="H56" s="55" t="n"/>
      <c r="I56" s="71" t="n"/>
      <c r="J56" s="55" t="n"/>
      <c r="K56" s="18" t="n"/>
      <c r="L56" s="73" t="n"/>
      <c r="M56" s="73" t="inlineStr">
        <is>
          <t>POOL Gazebo</t>
        </is>
      </c>
      <c r="N56" s="73" t="n">
        <v>1</v>
      </c>
      <c r="O56" s="19" t="n"/>
      <c r="P56" s="18" t="n"/>
      <c r="Q56" s="18" t="n"/>
      <c r="R56" s="73" t="n"/>
      <c r="S56" s="18" t="n"/>
      <c r="T56" s="18" t="n"/>
      <c r="U56" s="26">
        <f>D56+F56+-(H56+J56+L56+N56+P56+R56+T56)</f>
        <v/>
      </c>
      <c r="V56" t="inlineStr">
        <is>
          <t>CIVIL</t>
        </is>
      </c>
    </row>
    <row r="57" ht="24" customHeight="1">
      <c r="A57" s="22">
        <f>A56+1</f>
        <v/>
      </c>
      <c r="B57" s="104" t="inlineStr">
        <is>
          <t>Cat Zynchromate</t>
        </is>
      </c>
      <c r="C57" s="29" t="inlineStr">
        <is>
          <t>Kg</t>
        </is>
      </c>
      <c r="D57" s="26">
        <f>'Week  (2)'!U57</f>
        <v/>
      </c>
      <c r="E57" s="124" t="n"/>
      <c r="F57" s="62" t="n"/>
      <c r="G57" s="25" t="n"/>
      <c r="H57" s="56" t="n"/>
      <c r="I57" s="19" t="n"/>
      <c r="J57" s="64" t="n"/>
      <c r="K57" s="18" t="n"/>
      <c r="L57" s="73" t="n"/>
      <c r="M57" s="73" t="n"/>
      <c r="N57" s="73" t="n"/>
      <c r="O57" s="19" t="n"/>
      <c r="P57" s="18" t="n"/>
      <c r="Q57" s="18" t="n"/>
      <c r="R57" s="73" t="n"/>
      <c r="S57" s="18" t="n"/>
      <c r="T57" s="18" t="n"/>
      <c r="U57" s="26">
        <f>D57+F57+-(H57+J57+L57+N57+P57+R57+T57)</f>
        <v/>
      </c>
      <c r="V57" t="inlineStr">
        <is>
          <t>CIVIL</t>
        </is>
      </c>
    </row>
    <row r="58" ht="24" customHeight="1">
      <c r="A58" s="22">
        <f>A57+1</f>
        <v/>
      </c>
      <c r="B58" s="104" t="inlineStr">
        <is>
          <t>Cat Avian Putih</t>
        </is>
      </c>
      <c r="C58" s="29" t="inlineStr">
        <is>
          <t>Kg</t>
        </is>
      </c>
      <c r="D58" s="26">
        <f>'Week  (2)'!U58</f>
        <v/>
      </c>
      <c r="E58" s="125" t="n"/>
      <c r="F58" s="55" t="n"/>
      <c r="G58" s="52" t="n"/>
      <c r="H58" s="55" t="n"/>
      <c r="I58" s="71" t="n"/>
      <c r="J58" s="55" t="n"/>
      <c r="K58" s="18" t="n"/>
      <c r="L58" s="73" t="n"/>
      <c r="M58" s="73" t="n"/>
      <c r="N58" s="73" t="n"/>
      <c r="O58" s="19" t="n"/>
      <c r="P58" s="18" t="n"/>
      <c r="Q58" s="18" t="n"/>
      <c r="R58" s="73" t="n"/>
      <c r="S58" s="18" t="n"/>
      <c r="T58" s="18" t="n"/>
      <c r="U58" s="26">
        <f>D58+F58+-(H58+J58+L58+N58+P58+R58+T58)</f>
        <v/>
      </c>
      <c r="V58" t="inlineStr">
        <is>
          <t>CIVIL</t>
        </is>
      </c>
    </row>
    <row r="59" ht="27" customHeight="1">
      <c r="A59" s="22">
        <f>A58+1</f>
        <v/>
      </c>
      <c r="B59" s="122" t="inlineStr">
        <is>
          <t>Semen, Gresik</t>
        </is>
      </c>
      <c r="C59" s="123" t="inlineStr">
        <is>
          <t>SACK</t>
        </is>
      </c>
      <c r="D59" s="26">
        <f>'Week  (2)'!U59</f>
        <v/>
      </c>
      <c r="E59" s="129" t="n"/>
      <c r="F59" s="62" t="n"/>
      <c r="G59" s="68" t="n"/>
      <c r="H59" s="65" t="n"/>
      <c r="I59" s="19" t="n"/>
      <c r="J59" s="77" t="n"/>
      <c r="K59" s="19" t="n"/>
      <c r="L59" s="73" t="n"/>
      <c r="M59" s="19" t="inlineStr">
        <is>
          <t>Sumatera 16</t>
        </is>
      </c>
      <c r="N59" s="73">
        <f>4/40</f>
        <v/>
      </c>
      <c r="O59" s="19" t="n"/>
      <c r="P59" s="18" t="n"/>
      <c r="Q59" s="18" t="inlineStr">
        <is>
          <t>Sumatera 10</t>
        </is>
      </c>
      <c r="R59" s="73">
        <f>6/40</f>
        <v/>
      </c>
      <c r="S59" s="18" t="n"/>
      <c r="T59" s="18" t="n"/>
      <c r="U59" s="26">
        <f>D59+F59+-(H59+J59+L59+N59+P59+R59+T59)</f>
        <v/>
      </c>
      <c r="V59" t="inlineStr">
        <is>
          <t>CIVIL</t>
        </is>
      </c>
    </row>
    <row r="60" ht="15" customHeight="1">
      <c r="A60" s="22">
        <f>A59+1</f>
        <v/>
      </c>
      <c r="B60" s="122" t="inlineStr">
        <is>
          <t>Semen Putih</t>
        </is>
      </c>
      <c r="C60" s="123" t="inlineStr">
        <is>
          <t>Kg</t>
        </is>
      </c>
      <c r="D60" s="26">
        <f>'Week  (2)'!U60</f>
        <v/>
      </c>
      <c r="E60" s="125" t="n"/>
      <c r="F60" s="55" t="n"/>
      <c r="G60" s="68" t="n"/>
      <c r="H60" s="55" t="n"/>
      <c r="I60" s="71" t="n"/>
      <c r="J60" s="55" t="n"/>
      <c r="K60" s="19" t="n"/>
      <c r="L60" s="73" t="n"/>
      <c r="M60" s="73" t="n"/>
      <c r="N60" s="73" t="n"/>
      <c r="O60" s="19" t="n"/>
      <c r="P60" s="18" t="n"/>
      <c r="Q60" s="18" t="n"/>
      <c r="R60" s="73" t="n"/>
      <c r="S60" s="18" t="n"/>
      <c r="T60" s="18" t="n"/>
      <c r="U60" s="26">
        <f>D60+F60+-(H60+J60+L60+N60+P60+R60+T60)</f>
        <v/>
      </c>
      <c r="V60" t="inlineStr">
        <is>
          <t>CIVIL</t>
        </is>
      </c>
    </row>
    <row r="61" ht="15" customHeight="1">
      <c r="A61" s="22">
        <f>A60+1</f>
        <v/>
      </c>
      <c r="B61" s="122" t="inlineStr">
        <is>
          <t>Ceramic size 20x25 PUTIH</t>
        </is>
      </c>
      <c r="C61" s="123" t="inlineStr">
        <is>
          <t>DUs</t>
        </is>
      </c>
      <c r="D61" s="26">
        <f>'Week  (2)'!U61</f>
        <v/>
      </c>
      <c r="E61" s="124" t="n"/>
      <c r="F61" s="62" t="n"/>
      <c r="G61" s="25" t="n"/>
      <c r="H61" s="56" t="n"/>
      <c r="I61" s="19" t="n"/>
      <c r="J61" s="64" t="n"/>
      <c r="K61" s="18" t="n"/>
      <c r="L61" s="73" t="n"/>
      <c r="M61" s="73" t="n"/>
      <c r="N61" s="73" t="n"/>
      <c r="O61" s="19" t="n"/>
      <c r="P61" s="18" t="n"/>
      <c r="Q61" s="18" t="n"/>
      <c r="R61" s="73" t="n"/>
      <c r="S61" s="18" t="n"/>
      <c r="T61" s="18" t="n"/>
      <c r="U61" s="26">
        <f>D61+F61+-(H61+J61+L61+N61+P61+R61+T61)</f>
        <v/>
      </c>
      <c r="V61" t="inlineStr">
        <is>
          <t>CIVIL</t>
        </is>
      </c>
    </row>
    <row r="62" ht="15" customHeight="1">
      <c r="A62" s="22">
        <f>A61+1</f>
        <v/>
      </c>
      <c r="B62" s="122" t="inlineStr">
        <is>
          <t>Ceramic size 30x30</t>
        </is>
      </c>
      <c r="C62" s="123" t="inlineStr">
        <is>
          <t>Dus</t>
        </is>
      </c>
      <c r="D62" s="26">
        <f>'Week  (2)'!U62</f>
        <v/>
      </c>
      <c r="E62" s="125" t="n"/>
      <c r="F62" s="55" t="n"/>
      <c r="G62" s="52" t="n"/>
      <c r="H62" s="55" t="n"/>
      <c r="I62" s="71" t="n"/>
      <c r="J62" s="55" t="n"/>
      <c r="K62" s="18" t="n"/>
      <c r="L62" s="73" t="n"/>
      <c r="M62" s="73" t="n"/>
      <c r="N62" s="73" t="n"/>
      <c r="O62" s="19" t="n"/>
      <c r="P62" s="18" t="n"/>
      <c r="Q62" s="18" t="n"/>
      <c r="R62" s="73" t="n"/>
      <c r="S62" s="18" t="n"/>
      <c r="T62" s="18" t="n"/>
      <c r="U62" s="26">
        <f>D62+F62+-(H62+J62+L62+N62+P62+R62+T62)</f>
        <v/>
      </c>
      <c r="V62" t="inlineStr">
        <is>
          <t>CIVIL</t>
        </is>
      </c>
    </row>
    <row r="63" ht="15" customHeight="1">
      <c r="A63" s="22">
        <f>A62+1</f>
        <v/>
      </c>
      <c r="B63" s="122" t="inlineStr">
        <is>
          <t>Contactor LC1D09M7, Scheider</t>
        </is>
      </c>
      <c r="C63" s="123" t="inlineStr">
        <is>
          <t>PCS</t>
        </is>
      </c>
      <c r="D63" s="26">
        <f>'Week  (2)'!U63</f>
        <v/>
      </c>
      <c r="E63" s="124" t="n"/>
      <c r="F63" s="62" t="n"/>
      <c r="G63" s="25" t="n"/>
      <c r="H63" s="56" t="n"/>
      <c r="I63" s="19" t="n"/>
      <c r="J63" s="64" t="n"/>
      <c r="K63" s="18" t="n"/>
      <c r="L63" s="73" t="n"/>
      <c r="M63" s="73" t="n"/>
      <c r="N63" s="73" t="n"/>
      <c r="O63" s="19" t="n"/>
      <c r="P63" s="18" t="n"/>
      <c r="Q63" s="18" t="n"/>
      <c r="R63" s="73" t="n"/>
      <c r="S63" s="18" t="n"/>
      <c r="T63" s="18" t="n"/>
      <c r="U63" s="26">
        <f>D63+F63+-(H63+J63+L63+N63+P63+R63+T63)</f>
        <v/>
      </c>
      <c r="V63" t="inlineStr">
        <is>
          <t>ELECTRICAL</t>
        </is>
      </c>
    </row>
    <row r="64" ht="15" customHeight="1">
      <c r="A64" s="22">
        <f>A63+1</f>
        <v/>
      </c>
      <c r="B64" s="122" t="inlineStr">
        <is>
          <t>Contactor LC1D12M7, Scheider</t>
        </is>
      </c>
      <c r="C64" s="123" t="inlineStr">
        <is>
          <t>PCS</t>
        </is>
      </c>
      <c r="D64" s="26">
        <f>'Week  (2)'!U64</f>
        <v/>
      </c>
      <c r="E64" s="125" t="n"/>
      <c r="F64" s="55" t="n"/>
      <c r="G64" s="52" t="n"/>
      <c r="H64" s="55" t="n"/>
      <c r="I64" s="71" t="n"/>
      <c r="J64" s="55" t="n"/>
      <c r="K64" s="18" t="n"/>
      <c r="L64" s="73" t="n"/>
      <c r="M64" s="73" t="n"/>
      <c r="N64" s="73" t="n"/>
      <c r="O64" s="19" t="n"/>
      <c r="P64" s="18" t="n"/>
      <c r="Q64" s="18" t="n"/>
      <c r="R64" s="73" t="n"/>
      <c r="S64" s="18" t="n"/>
      <c r="T64" s="18" t="n"/>
      <c r="U64" s="26">
        <f>D64+F64+-(H64+J64+L64+N64+P64+R64+T64)</f>
        <v/>
      </c>
      <c r="V64" t="inlineStr">
        <is>
          <t>ELECTRICAL</t>
        </is>
      </c>
    </row>
    <row r="65" ht="15" customHeight="1">
      <c r="A65" s="22">
        <f>A64+1</f>
        <v/>
      </c>
      <c r="B65" s="122" t="inlineStr">
        <is>
          <t>Contactor LC1D18M7, Scheider</t>
        </is>
      </c>
      <c r="C65" s="123" t="inlineStr">
        <is>
          <t>PCS</t>
        </is>
      </c>
      <c r="D65" s="26">
        <f>'Week  (2)'!U65</f>
        <v/>
      </c>
      <c r="E65" s="124" t="n"/>
      <c r="F65" s="62" t="n"/>
      <c r="G65" s="25" t="n"/>
      <c r="H65" s="56" t="n"/>
      <c r="I65" s="19" t="n"/>
      <c r="J65" s="64" t="n"/>
      <c r="K65" s="18" t="n"/>
      <c r="L65" s="73" t="n"/>
      <c r="M65" s="73" t="n"/>
      <c r="N65" s="73" t="n"/>
      <c r="O65" s="19" t="n"/>
      <c r="P65" s="18" t="n"/>
      <c r="Q65" s="18" t="n"/>
      <c r="R65" s="73" t="n"/>
      <c r="S65" s="18" t="n"/>
      <c r="T65" s="18" t="n"/>
      <c r="U65" s="26">
        <f>D65+F65+-(H65+J65+L65+N65+P65+R65+T65)</f>
        <v/>
      </c>
      <c r="V65" t="inlineStr">
        <is>
          <t>ELECTRICAL</t>
        </is>
      </c>
    </row>
    <row r="66" ht="15" customHeight="1">
      <c r="A66" s="22">
        <f>A65+1</f>
        <v/>
      </c>
      <c r="B66" s="122" t="inlineStr">
        <is>
          <t>Contactor LC1D25M7, Scheider</t>
        </is>
      </c>
      <c r="C66" s="123" t="inlineStr">
        <is>
          <t>PCS</t>
        </is>
      </c>
      <c r="D66" s="26">
        <f>'Week  (2)'!U66</f>
        <v/>
      </c>
      <c r="E66" s="125" t="n"/>
      <c r="F66" s="55" t="n"/>
      <c r="G66" s="52" t="n"/>
      <c r="H66" s="55" t="n"/>
      <c r="I66" s="71" t="n"/>
      <c r="J66" s="55" t="n"/>
      <c r="K66" s="18" t="n"/>
      <c r="L66" s="73" t="n"/>
      <c r="M66" s="73" t="n"/>
      <c r="N66" s="73" t="n"/>
      <c r="O66" s="19" t="n"/>
      <c r="P66" s="18" t="n"/>
      <c r="Q66" s="19" t="n"/>
      <c r="R66" s="18" t="n"/>
      <c r="S66" s="18" t="n"/>
      <c r="T66" s="18" t="n"/>
      <c r="U66" s="26">
        <f>D66+F66+-(H66+J66+L66+N66+P66+R66+T66)</f>
        <v/>
      </c>
      <c r="V66" t="inlineStr">
        <is>
          <t>ELECTRICAL</t>
        </is>
      </c>
    </row>
    <row r="67" ht="15" customHeight="1">
      <c r="A67" s="22">
        <f>A66+1</f>
        <v/>
      </c>
      <c r="B67" s="122" t="inlineStr">
        <is>
          <t>Contactor LC1D32M7, Scheider</t>
        </is>
      </c>
      <c r="C67" s="123" t="inlineStr">
        <is>
          <t>PCS</t>
        </is>
      </c>
      <c r="D67" s="26">
        <f>'Week  (2)'!U67</f>
        <v/>
      </c>
      <c r="E67" s="124" t="n"/>
      <c r="F67" s="62" t="n"/>
      <c r="G67" s="25" t="n"/>
      <c r="H67" s="56" t="n"/>
      <c r="I67" s="19" t="n"/>
      <c r="J67" s="64" t="n"/>
      <c r="K67" s="19" t="n"/>
      <c r="L67" s="73" t="n"/>
      <c r="M67" s="73" t="n"/>
      <c r="N67" s="73" t="n"/>
      <c r="O67" s="19" t="n"/>
      <c r="P67" s="18" t="n"/>
      <c r="Q67" s="18" t="n"/>
      <c r="R67" s="73" t="n"/>
      <c r="S67" s="18" t="n"/>
      <c r="T67" s="18" t="n"/>
      <c r="U67" s="26">
        <f>D67+F67+-(H67+J67+L67+N67+P67+R67+T67)</f>
        <v/>
      </c>
      <c r="V67" t="inlineStr">
        <is>
          <t>ELECTRICAL</t>
        </is>
      </c>
    </row>
    <row r="68" ht="15" customHeight="1">
      <c r="A68" s="22">
        <f>A67+1</f>
        <v/>
      </c>
      <c r="B68" s="38" t="inlineStr">
        <is>
          <t>Coupler  Equal Tee 20 x 20</t>
        </is>
      </c>
      <c r="C68" s="123" t="inlineStr">
        <is>
          <t>PCS</t>
        </is>
      </c>
      <c r="D68" s="26">
        <f>'Week  (2)'!U68</f>
        <v/>
      </c>
      <c r="E68" s="125" t="n"/>
      <c r="F68" s="55" t="n"/>
      <c r="G68" s="52" t="n"/>
      <c r="H68" s="55" t="n"/>
      <c r="I68" s="71" t="n"/>
      <c r="J68" s="55" t="n"/>
      <c r="K68" s="18" t="n"/>
      <c r="L68" s="73" t="n"/>
      <c r="M68" s="73" t="n"/>
      <c r="N68" s="73" t="n"/>
      <c r="O68" s="19" t="n"/>
      <c r="P68" s="18" t="n"/>
      <c r="Q68" s="18" t="n"/>
      <c r="R68" s="73" t="n"/>
      <c r="S68" s="18" t="n"/>
      <c r="T68" s="18" t="n"/>
      <c r="U68" s="26">
        <f>D68+F68+-(H68+J68+L68+N68+P68+R68+T68)</f>
        <v/>
      </c>
      <c r="V68" t="inlineStr">
        <is>
          <t>VALVE AND PIPE</t>
        </is>
      </c>
    </row>
    <row r="69" ht="15" customHeight="1">
      <c r="A69" s="22">
        <f>A68+1</f>
        <v/>
      </c>
      <c r="B69" s="38" t="inlineStr">
        <is>
          <t>Coupler  Equal Tee 32 x 32</t>
        </is>
      </c>
      <c r="C69" s="123" t="inlineStr">
        <is>
          <t>PCS</t>
        </is>
      </c>
      <c r="D69" s="26">
        <f>'Week  (2)'!U69</f>
        <v/>
      </c>
      <c r="E69" s="124" t="n"/>
      <c r="F69" s="62" t="n"/>
      <c r="G69" s="25" t="n"/>
      <c r="H69" s="56" t="n"/>
      <c r="I69" s="19" t="n"/>
      <c r="J69" s="64" t="n"/>
      <c r="K69" s="18" t="n"/>
      <c r="L69" s="73" t="n"/>
      <c r="M69" s="73" t="n"/>
      <c r="N69" s="73" t="n"/>
      <c r="O69" s="19" t="n"/>
      <c r="P69" s="18" t="n"/>
      <c r="Q69" s="18" t="n"/>
      <c r="R69" s="73" t="n"/>
      <c r="S69" s="18" t="n"/>
      <c r="T69" s="18" t="n"/>
      <c r="U69" s="26">
        <f>D69+F69+-(H69+J69+L69+N69+P69+R69+T69)</f>
        <v/>
      </c>
      <c r="V69" t="inlineStr">
        <is>
          <t>VALVE AND PIPE</t>
        </is>
      </c>
    </row>
    <row r="70" ht="30.75" customHeight="1">
      <c r="A70" s="22">
        <f>A69+1</f>
        <v/>
      </c>
      <c r="B70" s="39" t="inlineStr">
        <is>
          <t>Coupler HDPE Mechanical Joint ø 110</t>
        </is>
      </c>
      <c r="C70" s="123" t="inlineStr">
        <is>
          <t>PCS</t>
        </is>
      </c>
      <c r="D70" s="26">
        <f>'Week  (2)'!U70</f>
        <v/>
      </c>
      <c r="E70" s="125" t="n"/>
      <c r="F70" s="55" t="n"/>
      <c r="G70" s="52" t="n"/>
      <c r="H70" s="55" t="n"/>
      <c r="I70" s="71" t="n"/>
      <c r="J70" s="55" t="n"/>
      <c r="K70" s="18" t="n"/>
      <c r="L70" s="73" t="n"/>
      <c r="M70" s="73" t="n"/>
      <c r="N70" s="73" t="n"/>
      <c r="O70" s="19" t="n"/>
      <c r="P70" s="18" t="n"/>
      <c r="Q70" s="18" t="n"/>
      <c r="R70" s="73" t="n"/>
      <c r="S70" s="18" t="n"/>
      <c r="T70" s="18" t="n"/>
      <c r="U70" s="26">
        <f>D70+F70+-(H70+J70+L70+N70+P70+R70+T70)</f>
        <v/>
      </c>
      <c r="V70" t="inlineStr">
        <is>
          <t>VALVE AND PIPE</t>
        </is>
      </c>
    </row>
    <row r="71" ht="33.75" customHeight="1">
      <c r="A71" s="22">
        <f>A70+1</f>
        <v/>
      </c>
      <c r="B71" s="39" t="inlineStr">
        <is>
          <t>Coupler HDPE Mechanical Joint ø 63</t>
        </is>
      </c>
      <c r="C71" s="123" t="inlineStr">
        <is>
          <t>PCS</t>
        </is>
      </c>
      <c r="D71" s="26">
        <f>'Week  (2)'!U71</f>
        <v/>
      </c>
      <c r="E71" s="124" t="n"/>
      <c r="F71" s="62" t="n"/>
      <c r="G71" s="25" t="n"/>
      <c r="H71" s="56" t="n"/>
      <c r="I71" s="19" t="n"/>
      <c r="J71" s="64" t="n"/>
      <c r="K71" s="18" t="n"/>
      <c r="L71" s="73" t="n"/>
      <c r="M71" s="73" t="n"/>
      <c r="N71" s="73" t="n"/>
      <c r="O71" s="19" t="n"/>
      <c r="P71" s="18" t="n"/>
      <c r="Q71" s="18" t="n"/>
      <c r="R71" s="73" t="n"/>
      <c r="S71" s="18" t="n"/>
      <c r="T71" s="18" t="n"/>
      <c r="U71" s="26">
        <f>D71+F71+-(H71+J71+L71+N71+P71+R71+T71)</f>
        <v/>
      </c>
      <c r="V71" t="inlineStr">
        <is>
          <t>VALVE AND PIPE</t>
        </is>
      </c>
    </row>
    <row r="72" ht="30" customHeight="1">
      <c r="A72" s="22">
        <f>A71+1</f>
        <v/>
      </c>
      <c r="B72" s="39" t="inlineStr">
        <is>
          <t>Coupler HDPE Mechanical Joint ø 90 X 75</t>
        </is>
      </c>
      <c r="C72" s="123" t="inlineStr">
        <is>
          <t>PCS</t>
        </is>
      </c>
      <c r="D72" s="26">
        <f>'Week  (2)'!U72</f>
        <v/>
      </c>
      <c r="E72" s="125" t="n"/>
      <c r="F72" s="55" t="n"/>
      <c r="G72" s="52" t="n"/>
      <c r="H72" s="55" t="n"/>
      <c r="I72" s="71" t="n"/>
      <c r="J72" s="55" t="n"/>
      <c r="K72" s="18" t="n"/>
      <c r="L72" s="73" t="n"/>
      <c r="M72" s="73" t="n"/>
      <c r="N72" s="73" t="n"/>
      <c r="O72" s="19" t="n"/>
      <c r="P72" s="18" t="n"/>
      <c r="Q72" s="18" t="n"/>
      <c r="R72" s="73" t="n"/>
      <c r="S72" s="18" t="n"/>
      <c r="T72" s="18" t="n"/>
      <c r="U72" s="26">
        <f>D72+F72+-(H72+J72+L72+N72+P72+R72+T72)</f>
        <v/>
      </c>
      <c r="V72" t="inlineStr">
        <is>
          <t>VALVE AND PIPE</t>
        </is>
      </c>
    </row>
    <row r="73" ht="24" customHeight="1">
      <c r="A73" s="22">
        <f>A72+1</f>
        <v/>
      </c>
      <c r="B73" s="38" t="inlineStr">
        <is>
          <t>Coupler of Reducing  25 x 20</t>
        </is>
      </c>
      <c r="C73" s="123" t="inlineStr">
        <is>
          <t>PCS</t>
        </is>
      </c>
      <c r="D73" s="26">
        <f>'Week  (2)'!U73</f>
        <v/>
      </c>
      <c r="E73" s="124" t="n"/>
      <c r="F73" s="62" t="n"/>
      <c r="G73" s="25" t="n"/>
      <c r="H73" s="56" t="n"/>
      <c r="I73" s="19" t="n"/>
      <c r="J73" s="64" t="n"/>
      <c r="K73" s="18" t="n"/>
      <c r="L73" s="73" t="n"/>
      <c r="M73" s="73" t="n"/>
      <c r="N73" s="73" t="n"/>
      <c r="O73" s="19" t="n"/>
      <c r="P73" s="18" t="n"/>
      <c r="Q73" s="18" t="n"/>
      <c r="R73" s="73" t="n"/>
      <c r="S73" s="18" t="n"/>
      <c r="T73" s="18" t="n"/>
      <c r="U73" s="26">
        <f>D73+F73+-(H73+J73+L73+N73+P73+R73+T73)</f>
        <v/>
      </c>
      <c r="V73" t="inlineStr">
        <is>
          <t>VALVE AND PIPE</t>
        </is>
      </c>
    </row>
    <row r="74" ht="24" customHeight="1">
      <c r="A74" s="22">
        <f>A73+1</f>
        <v/>
      </c>
      <c r="B74" s="38" t="inlineStr">
        <is>
          <t>Coupler Straight 20 x 20</t>
        </is>
      </c>
      <c r="C74" s="123" t="inlineStr">
        <is>
          <t>PCS</t>
        </is>
      </c>
      <c r="D74" s="26">
        <f>'Week  (2)'!U74</f>
        <v/>
      </c>
      <c r="E74" s="125" t="n"/>
      <c r="F74" s="55" t="n"/>
      <c r="G74" s="52" t="n"/>
      <c r="H74" s="55" t="n"/>
      <c r="I74" s="71" t="n"/>
      <c r="J74" s="55" t="n"/>
      <c r="K74" s="18" t="n"/>
      <c r="L74" s="73" t="n"/>
      <c r="M74" s="73" t="n"/>
      <c r="N74" s="73" t="n"/>
      <c r="O74" s="19" t="n"/>
      <c r="P74" s="18" t="n"/>
      <c r="Q74" s="18" t="n"/>
      <c r="R74" s="73" t="n"/>
      <c r="S74" s="18" t="n"/>
      <c r="T74" s="18" t="n"/>
      <c r="U74" s="26">
        <f>D74+F74+-(H74+J74+L74+N74+P74+R74+T74)</f>
        <v/>
      </c>
      <c r="V74" t="inlineStr">
        <is>
          <t>VALVE AND PIPE</t>
        </is>
      </c>
    </row>
    <row r="75" ht="24" customHeight="1">
      <c r="A75" s="22">
        <f>A74+1</f>
        <v/>
      </c>
      <c r="B75" s="38" t="inlineStr">
        <is>
          <t xml:space="preserve">Coupler Straight 25 x 25 </t>
        </is>
      </c>
      <c r="C75" s="123" t="inlineStr">
        <is>
          <t>PCS</t>
        </is>
      </c>
      <c r="D75" s="26">
        <f>'Week  (2)'!U75</f>
        <v/>
      </c>
      <c r="E75" s="124" t="n"/>
      <c r="F75" s="62" t="n"/>
      <c r="G75" s="25" t="n"/>
      <c r="H75" s="56" t="n"/>
      <c r="I75" s="19" t="n"/>
      <c r="J75" s="64" t="n"/>
      <c r="K75" s="18" t="n"/>
      <c r="L75" s="73" t="n"/>
      <c r="M75" s="73" t="n"/>
      <c r="N75" s="73" t="n"/>
      <c r="O75" s="19" t="n"/>
      <c r="P75" s="18" t="n"/>
      <c r="Q75" s="18" t="n"/>
      <c r="R75" s="73" t="n"/>
      <c r="S75" s="18" t="n"/>
      <c r="T75" s="18" t="n"/>
      <c r="U75" s="26">
        <f>D75+F75+-(H75+J75+L75+N75+P75+R75+T75)</f>
        <v/>
      </c>
      <c r="V75" t="inlineStr">
        <is>
          <t>VALVE AND PIPE</t>
        </is>
      </c>
    </row>
    <row r="76" ht="15" customHeight="1">
      <c r="A76" s="22">
        <f>A75+1</f>
        <v/>
      </c>
      <c r="B76" s="38" t="inlineStr">
        <is>
          <t>Coupler Straight 32 x 32</t>
        </is>
      </c>
      <c r="C76" s="123" t="inlineStr">
        <is>
          <t>PCS</t>
        </is>
      </c>
      <c r="D76" s="26">
        <f>'Week  (2)'!U76</f>
        <v/>
      </c>
      <c r="E76" s="125" t="n"/>
      <c r="F76" s="55" t="n"/>
      <c r="G76" s="52" t="n"/>
      <c r="H76" s="55" t="n"/>
      <c r="I76" s="71" t="n"/>
      <c r="J76" s="55" t="n"/>
      <c r="K76" s="18" t="n"/>
      <c r="L76" s="73" t="n"/>
      <c r="M76" s="73" t="n"/>
      <c r="N76" s="73" t="n"/>
      <c r="O76" s="19" t="n"/>
      <c r="P76" s="18" t="n"/>
      <c r="Q76" s="18" t="n"/>
      <c r="R76" s="73" t="n"/>
      <c r="S76" s="18" t="n"/>
      <c r="T76" s="18" t="n"/>
      <c r="U76" s="26">
        <f>D76+F76+-(H76+J76+L76+N76+P76+R76+T76)</f>
        <v/>
      </c>
      <c r="V76" t="inlineStr">
        <is>
          <t>VALVE AND PIPE</t>
        </is>
      </c>
    </row>
    <row r="77" ht="15" customHeight="1">
      <c r="A77" s="22">
        <f>A76+1</f>
        <v/>
      </c>
      <c r="B77" s="122" t="inlineStr">
        <is>
          <t xml:space="preserve">Cylinder Lock, Muller </t>
        </is>
      </c>
      <c r="C77" s="123" t="inlineStr">
        <is>
          <t>PCS</t>
        </is>
      </c>
      <c r="D77" s="26">
        <f>'Week  (2)'!U77</f>
        <v/>
      </c>
      <c r="E77" s="124" t="n"/>
      <c r="F77" s="62" t="n"/>
      <c r="G77" s="25" t="n"/>
      <c r="H77" s="56" t="n"/>
      <c r="I77" s="19" t="n"/>
      <c r="J77" s="64" t="n"/>
      <c r="K77" s="68" t="n"/>
      <c r="L77" s="56" t="n"/>
      <c r="M77" s="73" t="n"/>
      <c r="N77" s="73" t="n"/>
      <c r="O77" s="19" t="n"/>
      <c r="P77" s="18" t="n"/>
      <c r="Q77" s="18" t="n"/>
      <c r="R77" s="73" t="n"/>
      <c r="S77" s="18" t="n"/>
      <c r="T77" s="18" t="n"/>
      <c r="U77" s="26">
        <f>D77+F77+-(H77+J77+L77+N77+P77+R77+T77)</f>
        <v/>
      </c>
      <c r="V77" t="inlineStr">
        <is>
          <t>CIVIL</t>
        </is>
      </c>
    </row>
    <row r="78" ht="24" customHeight="1">
      <c r="A78" s="22">
        <f>A77+1</f>
        <v/>
      </c>
      <c r="B78" s="122" t="inlineStr">
        <is>
          <t>Defrost Kulkas LG</t>
        </is>
      </c>
      <c r="C78" s="123" t="inlineStr">
        <is>
          <t>PCS</t>
        </is>
      </c>
      <c r="D78" s="26">
        <f>'Week  (2)'!U78</f>
        <v/>
      </c>
      <c r="E78" s="125" t="n"/>
      <c r="F78" s="55" t="n"/>
      <c r="G78" s="52" t="n"/>
      <c r="H78" s="55" t="n"/>
      <c r="I78" s="71" t="n"/>
      <c r="J78" s="55" t="n"/>
      <c r="K78" s="18" t="n"/>
      <c r="L78" s="73" t="n"/>
      <c r="M78" s="73" t="n"/>
      <c r="N78" s="73" t="n"/>
      <c r="O78" s="19" t="n"/>
      <c r="P78" s="18" t="n"/>
      <c r="Q78" s="18" t="n"/>
      <c r="R78" s="73" t="n"/>
      <c r="S78" s="18" t="n"/>
      <c r="T78" s="18" t="n"/>
      <c r="U78" s="26">
        <f>D78+F78+-(H78+J78+L78+N78+P78+R78+T78)</f>
        <v/>
      </c>
      <c r="V78" t="inlineStr">
        <is>
          <t>ELECTRICAL</t>
        </is>
      </c>
    </row>
    <row r="79" ht="24" customHeight="1">
      <c r="A79" s="22">
        <f>A78+1</f>
        <v/>
      </c>
      <c r="B79" s="122" t="inlineStr">
        <is>
          <t>Defrost Kulkas samsung / panasonic</t>
        </is>
      </c>
      <c r="C79" s="123" t="inlineStr">
        <is>
          <t>PCS</t>
        </is>
      </c>
      <c r="D79" s="26">
        <f>'Week  (2)'!U79</f>
        <v/>
      </c>
      <c r="E79" s="124" t="n"/>
      <c r="F79" s="62" t="n"/>
      <c r="G79" s="25" t="n"/>
      <c r="H79" s="56" t="n"/>
      <c r="I79" s="19" t="n"/>
      <c r="J79" s="64" t="n"/>
      <c r="K79" s="18" t="n"/>
      <c r="L79" s="73" t="n"/>
      <c r="M79" s="73" t="n"/>
      <c r="N79" s="73" t="n"/>
      <c r="O79" s="19" t="n"/>
      <c r="P79" s="18" t="n"/>
      <c r="Q79" s="18" t="n"/>
      <c r="R79" s="73" t="n"/>
      <c r="S79" s="18" t="n"/>
      <c r="T79" s="18" t="n"/>
      <c r="U79" s="26">
        <f>D79+F79+-(H79+J79+L79+N79+P79+R79+T79)</f>
        <v/>
      </c>
      <c r="V79" t="inlineStr">
        <is>
          <t>ELECTRICAL</t>
        </is>
      </c>
    </row>
    <row r="80" ht="24" customHeight="1">
      <c r="A80" s="22">
        <f>A79+1</f>
        <v/>
      </c>
      <c r="B80" s="122" t="inlineStr">
        <is>
          <t>Defrost Kulkas SANYO</t>
        </is>
      </c>
      <c r="C80" s="123" t="inlineStr">
        <is>
          <t>PCS</t>
        </is>
      </c>
      <c r="D80" s="26">
        <f>'Week  (2)'!U80</f>
        <v/>
      </c>
      <c r="E80" s="125" t="n"/>
      <c r="F80" s="55" t="n"/>
      <c r="G80" s="52" t="n"/>
      <c r="H80" s="55" t="n"/>
      <c r="I80" s="71" t="inlineStr">
        <is>
          <t>Madura 10</t>
        </is>
      </c>
      <c r="J80" s="55" t="n">
        <v>1</v>
      </c>
      <c r="K80" s="18" t="n"/>
      <c r="L80" s="73" t="n"/>
      <c r="M80" s="73" t="n"/>
      <c r="N80" s="73" t="n"/>
      <c r="O80" s="19" t="n"/>
      <c r="P80" s="18" t="n"/>
      <c r="Q80" s="18" t="n"/>
      <c r="R80" s="73" t="n"/>
      <c r="S80" s="18" t="n"/>
      <c r="T80" s="18" t="n"/>
      <c r="U80" s="26">
        <f>D80+F80+-(H80+J80+L80+N80+P80+R80+T80)</f>
        <v/>
      </c>
      <c r="V80" t="inlineStr">
        <is>
          <t>ELECTRICAL</t>
        </is>
      </c>
    </row>
    <row r="81" ht="39" customHeight="1">
      <c r="A81" s="22">
        <f>A80+1</f>
        <v/>
      </c>
      <c r="B81" s="79" t="inlineStr">
        <is>
          <t>Doble Neple Besi 1/2"</t>
        </is>
      </c>
      <c r="C81" s="40" t="inlineStr">
        <is>
          <t>Pcs</t>
        </is>
      </c>
      <c r="D81" s="26">
        <f>'Week  (2)'!U81</f>
        <v/>
      </c>
      <c r="E81" s="124" t="n"/>
      <c r="F81" s="62" t="n"/>
      <c r="G81" s="25" t="n"/>
      <c r="H81" s="56" t="n"/>
      <c r="I81" s="19" t="n"/>
      <c r="J81" s="64" t="n"/>
      <c r="K81" s="18" t="n"/>
      <c r="L81" s="73" t="n"/>
      <c r="M81" s="73" t="n"/>
      <c r="N81" s="73" t="n"/>
      <c r="O81" s="19" t="n"/>
      <c r="P81" s="18" t="n"/>
      <c r="Q81" s="18" t="n"/>
      <c r="R81" s="73" t="n"/>
      <c r="S81" s="18" t="n"/>
      <c r="T81" s="18" t="n"/>
      <c r="U81" s="26">
        <f>D81+F81+-(H81+J81+L81+N81+P81+R81+T81)</f>
        <v/>
      </c>
      <c r="V81" t="inlineStr">
        <is>
          <t>VALVE AND PIPE</t>
        </is>
      </c>
    </row>
    <row r="82" ht="29.25" customHeight="1">
      <c r="A82" s="22">
        <f>A81+1</f>
        <v/>
      </c>
      <c r="B82" s="38" t="inlineStr">
        <is>
          <t>Elbow Drat Dalam  20 x 1/2" hdpe</t>
        </is>
      </c>
      <c r="C82" s="123" t="inlineStr">
        <is>
          <t>PCS</t>
        </is>
      </c>
      <c r="D82" s="26">
        <f>'Week  (2)'!U82</f>
        <v/>
      </c>
      <c r="E82" s="125" t="n"/>
      <c r="F82" s="55" t="n"/>
      <c r="G82" s="52" t="n"/>
      <c r="H82" s="55" t="n"/>
      <c r="I82" s="71" t="n"/>
      <c r="J82" s="55" t="n"/>
      <c r="K82" s="18" t="n"/>
      <c r="L82" s="73" t="n"/>
      <c r="M82" s="73" t="n"/>
      <c r="N82" s="73" t="n"/>
      <c r="O82" s="19" t="n"/>
      <c r="P82" s="18" t="n"/>
      <c r="Q82" s="18" t="n"/>
      <c r="R82" s="73" t="n"/>
      <c r="S82" s="18" t="n"/>
      <c r="T82" s="18" t="n"/>
      <c r="U82" s="26">
        <f>D82+F82+-(H82+J82+L82+N82+P82+R82+T82)</f>
        <v/>
      </c>
      <c r="V82" t="inlineStr">
        <is>
          <t>VALVE AND PIPE</t>
        </is>
      </c>
    </row>
    <row r="83">
      <c r="A83" s="22">
        <f>A82+1</f>
        <v/>
      </c>
      <c r="B83" s="79" t="inlineStr">
        <is>
          <t>Elbow PVC AW  1"</t>
        </is>
      </c>
      <c r="C83" s="40" t="inlineStr">
        <is>
          <t>Pcs</t>
        </is>
      </c>
      <c r="D83" s="26">
        <f>'Week  (2)'!U83</f>
        <v/>
      </c>
      <c r="E83" s="124" t="n"/>
      <c r="F83" s="62" t="n"/>
      <c r="G83" s="25" t="n"/>
      <c r="H83" s="56" t="n"/>
      <c r="I83" s="19" t="n"/>
      <c r="J83" s="64" t="n"/>
      <c r="K83" s="18" t="n"/>
      <c r="L83" s="73" t="n"/>
      <c r="M83" s="73" t="n"/>
      <c r="N83" s="73" t="n"/>
      <c r="O83" s="19" t="n"/>
      <c r="P83" s="18" t="n"/>
      <c r="Q83" s="18" t="n"/>
      <c r="R83" s="73" t="n"/>
      <c r="S83" s="18" t="n"/>
      <c r="T83" s="18" t="n"/>
      <c r="U83" s="26">
        <f>D83+F83+-(H83+J83+L83+N83+P83+R83+T83)</f>
        <v/>
      </c>
      <c r="V83" t="inlineStr">
        <is>
          <t>VALVE AND PIPE</t>
        </is>
      </c>
    </row>
    <row r="84">
      <c r="A84" s="22">
        <f>A83+1</f>
        <v/>
      </c>
      <c r="B84" s="79" t="inlineStr">
        <is>
          <t>Elbow PVC AW  1/2"</t>
        </is>
      </c>
      <c r="C84" s="40" t="inlineStr">
        <is>
          <t>Pcs</t>
        </is>
      </c>
      <c r="D84" s="26">
        <f>'Week  (2)'!U84</f>
        <v/>
      </c>
      <c r="E84" s="125" t="n"/>
      <c r="F84" s="55" t="n"/>
      <c r="G84" s="52" t="n"/>
      <c r="H84" s="55" t="n"/>
      <c r="I84" s="71" t="n"/>
      <c r="J84" s="55" t="n"/>
      <c r="K84" s="18" t="n"/>
      <c r="L84" s="73" t="n"/>
      <c r="M84" s="73" t="n"/>
      <c r="N84" s="73" t="n"/>
      <c r="O84" s="19" t="n"/>
      <c r="P84" s="18" t="n"/>
      <c r="Q84" s="18" t="n"/>
      <c r="R84" s="73" t="n"/>
      <c r="S84" s="18" t="n"/>
      <c r="T84" s="18" t="n"/>
      <c r="U84" s="26">
        <f>D84+F84+-(H84+J84+L84+N84+P84+R84+T84)</f>
        <v/>
      </c>
      <c r="V84" t="inlineStr">
        <is>
          <t>VALVE AND PIPE</t>
        </is>
      </c>
    </row>
    <row r="85" ht="24" customFormat="1" customHeight="1" s="42">
      <c r="A85" s="22" t="n">
        <v>80</v>
      </c>
      <c r="B85" s="38" t="inlineStr">
        <is>
          <t>Elbow PVC AW 2"</t>
        </is>
      </c>
      <c r="C85" s="41" t="inlineStr">
        <is>
          <t>Pcs</t>
        </is>
      </c>
      <c r="D85" s="26">
        <f>'Week  (2)'!U85</f>
        <v/>
      </c>
      <c r="E85" s="124" t="n"/>
      <c r="F85" s="62" t="n"/>
      <c r="G85" s="25" t="n"/>
      <c r="H85" s="56" t="n"/>
      <c r="I85" s="19" t="n"/>
      <c r="J85" s="64" t="n"/>
      <c r="K85" s="18" t="n"/>
      <c r="L85" s="73" t="n"/>
      <c r="M85" s="73" t="n"/>
      <c r="N85" s="73" t="n"/>
      <c r="O85" s="19" t="n"/>
      <c r="P85" s="18" t="n"/>
      <c r="Q85" s="18" t="n"/>
      <c r="R85" s="73" t="n"/>
      <c r="S85" s="18" t="n"/>
      <c r="T85" s="18" t="n"/>
      <c r="U85" s="26">
        <f>D85+F85+-(H85+J85+L85+N85+P85+R85+T85)</f>
        <v/>
      </c>
      <c r="V85" t="inlineStr">
        <is>
          <t>VALVE AND PIPE</t>
        </is>
      </c>
    </row>
    <row r="86" ht="23.25" customHeight="1">
      <c r="A86" s="22">
        <f>A85+1</f>
        <v/>
      </c>
      <c r="B86" s="122" t="inlineStr">
        <is>
          <t>ELCB 2P, 25A SCHNEIDER</t>
        </is>
      </c>
      <c r="C86" s="123" t="inlineStr">
        <is>
          <t>PCS</t>
        </is>
      </c>
      <c r="D86" s="26">
        <f>'Week  (2)'!U86</f>
        <v/>
      </c>
      <c r="E86" s="125" t="n"/>
      <c r="F86" s="55" t="n"/>
      <c r="G86" s="52" t="n"/>
      <c r="H86" s="55" t="n"/>
      <c r="I86" s="71" t="n"/>
      <c r="J86" s="55" t="n"/>
      <c r="K86" s="18" t="n"/>
      <c r="L86" s="73" t="n"/>
      <c r="M86" s="73" t="n"/>
      <c r="N86" s="73" t="n"/>
      <c r="O86" s="19" t="n"/>
      <c r="P86" s="18" t="n"/>
      <c r="Q86" s="18" t="n"/>
      <c r="R86" s="73" t="n"/>
      <c r="S86" s="18" t="n"/>
      <c r="T86" s="18" t="n"/>
      <c r="U86" s="26">
        <f>D86+F86+-(H86+J86+L86+N86+P86+R86+T86)</f>
        <v/>
      </c>
      <c r="V86" t="inlineStr">
        <is>
          <t>ELECTRICAL</t>
        </is>
      </c>
    </row>
    <row r="87" ht="23.25" customHeight="1">
      <c r="A87" s="22">
        <f>A86+1</f>
        <v/>
      </c>
      <c r="B87" s="122" t="inlineStr">
        <is>
          <t>ELCB 2P, 30A SCHNEIDER</t>
        </is>
      </c>
      <c r="C87" s="123" t="inlineStr">
        <is>
          <t>PCS</t>
        </is>
      </c>
      <c r="D87" s="26">
        <f>'Week  (2)'!U87</f>
        <v/>
      </c>
      <c r="E87" s="124" t="n"/>
      <c r="F87" s="62" t="n"/>
      <c r="G87" s="25" t="n"/>
      <c r="H87" s="56" t="n"/>
      <c r="I87" s="19" t="n"/>
      <c r="J87" s="64" t="n"/>
      <c r="K87" s="18" t="n"/>
      <c r="L87" s="73" t="n"/>
      <c r="M87" s="73" t="n"/>
      <c r="N87" s="73" t="n"/>
      <c r="O87" s="19" t="n"/>
      <c r="P87" s="18" t="n"/>
      <c r="Q87" s="18" t="n"/>
      <c r="R87" s="73" t="n"/>
      <c r="S87" s="18" t="n"/>
      <c r="T87" s="18" t="n"/>
      <c r="U87" s="26">
        <f>D87+F87+-(H87+J87+L87+N87+P87+R87+T87)</f>
        <v/>
      </c>
      <c r="V87" t="inlineStr">
        <is>
          <t>ELECTRICAL</t>
        </is>
      </c>
    </row>
    <row r="88" ht="23.25" customHeight="1">
      <c r="A88" s="22">
        <f>A87+1</f>
        <v/>
      </c>
      <c r="B88" s="122" t="inlineStr">
        <is>
          <t>ELCB 2P, 40A SCHNEIDER</t>
        </is>
      </c>
      <c r="C88" s="123" t="inlineStr">
        <is>
          <t>PCS</t>
        </is>
      </c>
      <c r="D88" s="26">
        <f>'Week  (2)'!U88</f>
        <v/>
      </c>
      <c r="E88" s="125" t="n"/>
      <c r="F88" s="55" t="n"/>
      <c r="G88" s="52" t="n"/>
      <c r="H88" s="55" t="n"/>
      <c r="I88" s="71" t="n"/>
      <c r="J88" s="55" t="n"/>
      <c r="K88" s="18" t="n"/>
      <c r="L88" s="73" t="n"/>
      <c r="M88" s="73" t="n"/>
      <c r="N88" s="73" t="n"/>
      <c r="O88" s="19" t="n"/>
      <c r="P88" s="18" t="n"/>
      <c r="Q88" s="18" t="n"/>
      <c r="R88" s="73" t="n"/>
      <c r="S88" s="18" t="n"/>
      <c r="T88" s="18" t="n"/>
      <c r="U88" s="26">
        <f>D88+F88+-(H88+J88+L88+N88+P88+R88+T88)</f>
        <v/>
      </c>
      <c r="V88" t="inlineStr">
        <is>
          <t>ELECTRICAL</t>
        </is>
      </c>
    </row>
    <row r="89" ht="23.25" customHeight="1">
      <c r="A89" s="22">
        <f>A88+1</f>
        <v/>
      </c>
      <c r="B89" s="122" t="inlineStr">
        <is>
          <t>ELCB 2P, 63A SCHNEIDER</t>
        </is>
      </c>
      <c r="C89" s="123" t="inlineStr">
        <is>
          <t>PCS</t>
        </is>
      </c>
      <c r="D89" s="26">
        <f>'Week  (2)'!U89</f>
        <v/>
      </c>
      <c r="E89" s="124" t="n"/>
      <c r="F89" s="62" t="n"/>
      <c r="G89" s="25" t="n"/>
      <c r="H89" s="56" t="n"/>
      <c r="I89" s="19" t="n"/>
      <c r="J89" s="64" t="n"/>
      <c r="K89" s="18" t="n"/>
      <c r="L89" s="73" t="n"/>
      <c r="M89" s="73" t="n"/>
      <c r="N89" s="73" t="n"/>
      <c r="O89" s="19" t="n"/>
      <c r="P89" s="18" t="n"/>
      <c r="Q89" s="19" t="n"/>
      <c r="R89" s="73" t="n"/>
      <c r="S89" s="18" t="n"/>
      <c r="T89" s="18" t="n"/>
      <c r="U89" s="26">
        <f>D89+F89+-(H89+J89+L89+N89+P89+R89+T89)</f>
        <v/>
      </c>
      <c r="V89" t="inlineStr">
        <is>
          <t>ELECTRICAL</t>
        </is>
      </c>
    </row>
    <row r="90" ht="23.25" customHeight="1">
      <c r="A90" s="22">
        <f>A89+1</f>
        <v/>
      </c>
      <c r="B90" s="122" t="inlineStr">
        <is>
          <t>ELCB 4P, 25A SCHNEIDER</t>
        </is>
      </c>
      <c r="C90" s="123" t="inlineStr">
        <is>
          <t>PCS</t>
        </is>
      </c>
      <c r="D90" s="26">
        <f>'Week  (2)'!U90</f>
        <v/>
      </c>
      <c r="E90" s="125" t="n"/>
      <c r="F90" s="55" t="n"/>
      <c r="G90" s="52" t="n"/>
      <c r="H90" s="55" t="n"/>
      <c r="I90" s="71" t="n"/>
      <c r="J90" s="55" t="n"/>
      <c r="K90" s="18" t="n"/>
      <c r="L90" s="73" t="n"/>
      <c r="M90" s="73" t="n"/>
      <c r="N90" s="73" t="n"/>
      <c r="O90" s="19" t="n"/>
      <c r="P90" s="18" t="n"/>
      <c r="Q90" s="18" t="n"/>
      <c r="R90" s="73" t="n"/>
      <c r="S90" s="18" t="n"/>
      <c r="T90" s="18" t="n"/>
      <c r="U90" s="26">
        <f>D90+F90+-(H90+J90+L90+N90+P90+R90+T90)</f>
        <v/>
      </c>
      <c r="V90" t="inlineStr">
        <is>
          <t>ELECTRICAL</t>
        </is>
      </c>
    </row>
    <row r="91" ht="23.25" customHeight="1">
      <c r="A91" s="22">
        <f>A90+1</f>
        <v/>
      </c>
      <c r="B91" s="122" t="inlineStr">
        <is>
          <t>ELCB 4P, 40A SCHNEIDER</t>
        </is>
      </c>
      <c r="C91" s="123" t="inlineStr">
        <is>
          <t>PCS</t>
        </is>
      </c>
      <c r="D91" s="26">
        <f>'Week  (2)'!U91</f>
        <v/>
      </c>
      <c r="E91" s="124" t="n"/>
      <c r="F91" s="62" t="n"/>
      <c r="G91" s="25" t="n"/>
      <c r="H91" s="56" t="n"/>
      <c r="I91" s="19" t="n"/>
      <c r="J91" s="64" t="n"/>
      <c r="K91" s="18" t="n"/>
      <c r="L91" s="73" t="n"/>
      <c r="M91" s="73" t="n"/>
      <c r="N91" s="73" t="n"/>
      <c r="O91" s="19" t="n"/>
      <c r="P91" s="18" t="n"/>
      <c r="Q91" s="18" t="n"/>
      <c r="R91" s="73" t="n"/>
      <c r="S91" s="18" t="n"/>
      <c r="T91" s="18" t="n"/>
      <c r="U91" s="26">
        <f>D91+F91+-(H91+J91+L91+N91+P91+R91+T91)</f>
        <v/>
      </c>
      <c r="V91" t="inlineStr">
        <is>
          <t>ELECTRICAL</t>
        </is>
      </c>
    </row>
    <row r="92" ht="23.25" customHeight="1">
      <c r="A92" s="22">
        <f>A91+1</f>
        <v/>
      </c>
      <c r="B92" s="122" t="inlineStr">
        <is>
          <t>ELCB 4P, 63A SCHNEIDER</t>
        </is>
      </c>
      <c r="C92" s="123" t="inlineStr">
        <is>
          <t>PCS</t>
        </is>
      </c>
      <c r="D92" s="26">
        <f>'Week  (2)'!U92</f>
        <v/>
      </c>
      <c r="E92" s="125" t="n"/>
      <c r="F92" s="55" t="n"/>
      <c r="G92" s="52" t="n"/>
      <c r="H92" s="55" t="n"/>
      <c r="I92" s="71" t="n"/>
      <c r="J92" s="55" t="n"/>
      <c r="K92" s="18" t="n"/>
      <c r="L92" s="73" t="n"/>
      <c r="M92" s="73" t="n"/>
      <c r="N92" s="73" t="n"/>
      <c r="O92" s="19" t="n"/>
      <c r="P92" s="18" t="n"/>
      <c r="Q92" s="18" t="n"/>
      <c r="R92" s="73" t="n"/>
      <c r="S92" s="18" t="n"/>
      <c r="T92" s="18" t="n"/>
      <c r="U92" s="26">
        <f>D92+F92+-(H92+J92+L92+N92+P92+R92+T92)</f>
        <v/>
      </c>
      <c r="V92" t="inlineStr">
        <is>
          <t>ELECTRICAL</t>
        </is>
      </c>
    </row>
    <row r="93" ht="13.5" customHeight="1">
      <c r="A93" s="22">
        <f>A92+1</f>
        <v/>
      </c>
      <c r="B93" s="122" t="inlineStr">
        <is>
          <t>Emco Paint Biru No. 75</t>
        </is>
      </c>
      <c r="C93" s="123" t="inlineStr">
        <is>
          <t>Klg</t>
        </is>
      </c>
      <c r="D93" s="26">
        <f>'Week  (2)'!U93</f>
        <v/>
      </c>
      <c r="E93" s="124" t="n"/>
      <c r="F93" s="62" t="n"/>
      <c r="G93" s="25" t="n"/>
      <c r="H93" s="56" t="n"/>
      <c r="I93" s="19" t="inlineStr">
        <is>
          <t>Basket lap</t>
        </is>
      </c>
      <c r="J93" s="64" t="n">
        <v>1</v>
      </c>
      <c r="K93" s="18" t="n"/>
      <c r="L93" s="73" t="n"/>
      <c r="M93" s="73" t="n"/>
      <c r="N93" s="73" t="n"/>
      <c r="O93" s="19" t="n"/>
      <c r="P93" s="18" t="n"/>
      <c r="Q93" s="19" t="n"/>
      <c r="R93" s="18" t="n"/>
      <c r="S93" s="18" t="n"/>
      <c r="T93" s="18" t="n"/>
      <c r="U93" s="26">
        <f>D93+F93+-(H93+J93+L93+N93+P93+R93+T93)</f>
        <v/>
      </c>
      <c r="V93" t="inlineStr">
        <is>
          <t>CIVIL</t>
        </is>
      </c>
    </row>
    <row r="94" ht="27" customHeight="1">
      <c r="A94" s="22">
        <f>A93+1</f>
        <v/>
      </c>
      <c r="B94" s="122" t="inlineStr">
        <is>
          <t xml:space="preserve">Emco Paint, Black Color </t>
        </is>
      </c>
      <c r="C94" s="123" t="inlineStr">
        <is>
          <t>PCS</t>
        </is>
      </c>
      <c r="D94" s="26">
        <f>'Week  (2)'!U94</f>
        <v/>
      </c>
      <c r="E94" s="125" t="n"/>
      <c r="F94" s="55" t="n"/>
      <c r="G94" s="72" t="n"/>
      <c r="H94" s="55" t="n"/>
      <c r="I94" s="71" t="n"/>
      <c r="J94" s="55" t="n"/>
      <c r="K94" s="71" t="n"/>
      <c r="L94" s="55" t="n"/>
      <c r="M94" s="25" t="n"/>
      <c r="N94" s="73" t="n"/>
      <c r="O94" s="71" t="n"/>
      <c r="P94" s="18" t="n"/>
      <c r="Q94" s="18" t="n"/>
      <c r="R94" s="73" t="n"/>
      <c r="S94" s="18" t="n"/>
      <c r="T94" s="18" t="n"/>
      <c r="U94" s="26">
        <f>D94+F94+-(H94+J94+L94+N94+P94+R94+T94)</f>
        <v/>
      </c>
      <c r="V94" t="inlineStr">
        <is>
          <t>CIVIL</t>
        </is>
      </c>
    </row>
    <row r="95" ht="25.5" customHeight="1">
      <c r="A95" s="22">
        <f>A94+1</f>
        <v/>
      </c>
      <c r="B95" s="43" t="inlineStr">
        <is>
          <t>Emco Paint, Blue Color No. 102</t>
        </is>
      </c>
      <c r="C95" s="123" t="inlineStr">
        <is>
          <t>PCS</t>
        </is>
      </c>
      <c r="D95" s="26">
        <f>'Week  (2)'!U95</f>
        <v/>
      </c>
      <c r="E95" s="124" t="n"/>
      <c r="F95" s="62" t="n"/>
      <c r="G95" s="25" t="n"/>
      <c r="H95" s="69" t="n"/>
      <c r="I95" s="25" t="n"/>
      <c r="J95" s="69" t="n"/>
      <c r="K95" s="25" t="n"/>
      <c r="L95" s="69" t="n"/>
      <c r="M95" s="68" t="n"/>
      <c r="N95" s="73" t="n"/>
      <c r="O95" s="25" t="n"/>
      <c r="P95" s="73" t="n"/>
      <c r="Q95" s="18" t="n"/>
      <c r="R95" s="73" t="n"/>
      <c r="S95" s="18" t="n"/>
      <c r="T95" s="18" t="n"/>
      <c r="U95" s="26">
        <f>D95+F95+-(H95+J95+L95+N95+P95+R95+T95)</f>
        <v/>
      </c>
      <c r="V95" t="inlineStr">
        <is>
          <t>CIVIL</t>
        </is>
      </c>
    </row>
    <row r="96" ht="13.5" customHeight="1">
      <c r="A96" s="22">
        <f>A95+1</f>
        <v/>
      </c>
      <c r="B96" s="43" t="inlineStr">
        <is>
          <t>Emco Paint Coklat 83</t>
        </is>
      </c>
      <c r="C96" s="123" t="inlineStr">
        <is>
          <t>PCS</t>
        </is>
      </c>
      <c r="D96" s="26">
        <f>'Week  (2)'!U96</f>
        <v/>
      </c>
      <c r="E96" s="130" t="n"/>
      <c r="F96" s="55" t="n"/>
      <c r="G96" s="52" t="n"/>
      <c r="H96" s="55" t="n"/>
      <c r="I96" s="71" t="n"/>
      <c r="J96" s="55" t="n"/>
      <c r="K96" s="71" t="n"/>
      <c r="L96" s="55" t="n"/>
      <c r="M96" s="25" t="n"/>
      <c r="N96" s="73" t="n"/>
      <c r="O96" s="71" t="n"/>
      <c r="P96" s="18" t="n"/>
      <c r="Q96" s="18" t="n"/>
      <c r="R96" s="73" t="n"/>
      <c r="S96" s="18" t="n"/>
      <c r="T96" s="18" t="n"/>
      <c r="U96" s="26">
        <f>D96+F96+-(H96+J96+L96+N96+P96+R96+T96)</f>
        <v/>
      </c>
      <c r="V96" t="inlineStr">
        <is>
          <t>CIVIL</t>
        </is>
      </c>
    </row>
    <row r="97" ht="13.5" customHeight="1">
      <c r="A97" s="22">
        <f>A96+1</f>
        <v/>
      </c>
      <c r="B97" s="122" t="inlineStr">
        <is>
          <t>Emco Paint, Chili Red No. 132</t>
        </is>
      </c>
      <c r="C97" s="123" t="inlineStr">
        <is>
          <t>PCS</t>
        </is>
      </c>
      <c r="D97" s="26">
        <f>'Week  (2)'!U97</f>
        <v/>
      </c>
      <c r="E97" s="124" t="n"/>
      <c r="F97" s="62" t="n"/>
      <c r="G97" s="25" t="n"/>
      <c r="H97" s="56" t="n"/>
      <c r="I97" s="19" t="n"/>
      <c r="J97" s="64" t="n"/>
      <c r="K97" s="18" t="n"/>
      <c r="L97" s="73" t="n"/>
      <c r="M97" s="73" t="n"/>
      <c r="N97" s="73" t="n"/>
      <c r="O97" s="19" t="n"/>
      <c r="P97" s="18" t="n"/>
      <c r="Q97" s="18" t="n"/>
      <c r="R97" s="73" t="n"/>
      <c r="S97" s="18" t="n"/>
      <c r="T97" s="18" t="n"/>
      <c r="U97" s="26">
        <f>D97+F97+-(H97+J97+L97+N97+P97+R97+T97)</f>
        <v/>
      </c>
      <c r="V97" t="inlineStr">
        <is>
          <t>CIVIL</t>
        </is>
      </c>
    </row>
    <row r="98" ht="15" customHeight="1">
      <c r="A98" s="22">
        <f>A97+1</f>
        <v/>
      </c>
      <c r="B98" s="122" t="inlineStr">
        <is>
          <t>Emco Paint, Green Color No. 64</t>
        </is>
      </c>
      <c r="C98" s="123" t="inlineStr">
        <is>
          <t>PCS</t>
        </is>
      </c>
      <c r="D98" s="26">
        <f>'Week  (2)'!U98</f>
        <v/>
      </c>
      <c r="E98" s="125" t="n"/>
      <c r="F98" s="55" t="n"/>
      <c r="G98" s="52" t="n"/>
      <c r="H98" s="55" t="n"/>
      <c r="I98" s="71" t="n"/>
      <c r="J98" s="55" t="n"/>
      <c r="K98" s="18" t="n"/>
      <c r="L98" s="73" t="n"/>
      <c r="M98" s="73" t="n"/>
      <c r="N98" s="73" t="n"/>
      <c r="O98" s="19" t="n"/>
      <c r="P98" s="18" t="n"/>
      <c r="Q98" s="18" t="n"/>
      <c r="R98" s="73" t="n"/>
      <c r="S98" s="18" t="n"/>
      <c r="T98" s="18" t="n"/>
      <c r="U98" s="26">
        <f>D98+F98+-(H98+J98+L98+N98+P98+R98+T98)</f>
        <v/>
      </c>
      <c r="V98" t="inlineStr">
        <is>
          <t>CIVIL</t>
        </is>
      </c>
    </row>
    <row r="99" ht="30" customHeight="1">
      <c r="A99" s="22">
        <f>A98+1</f>
        <v/>
      </c>
      <c r="B99" s="122" t="inlineStr">
        <is>
          <t>Emco Paint, Traffic Red Color No. 78</t>
        </is>
      </c>
      <c r="C99" s="123" t="inlineStr">
        <is>
          <t>PCS</t>
        </is>
      </c>
      <c r="D99" s="26">
        <f>'Week  (2)'!U99</f>
        <v/>
      </c>
      <c r="E99" s="124" t="n"/>
      <c r="F99" s="62" t="n"/>
      <c r="G99" s="25" t="n"/>
      <c r="H99" s="56" t="n"/>
      <c r="I99" s="19" t="n"/>
      <c r="J99" s="64" t="n"/>
      <c r="K99" s="18" t="n"/>
      <c r="L99" s="73" t="n"/>
      <c r="M99" s="73" t="n"/>
      <c r="N99" s="73" t="n"/>
      <c r="O99" s="19" t="n"/>
      <c r="P99" s="18" t="n"/>
      <c r="Q99" s="18" t="n"/>
      <c r="R99" s="73" t="n"/>
      <c r="S99" s="18" t="n"/>
      <c r="T99" s="18" t="n"/>
      <c r="U99" s="26">
        <f>D99+F99+-(H99+J99+L99+N99+P99+R99+T99)</f>
        <v/>
      </c>
      <c r="V99" t="inlineStr">
        <is>
          <t>CIVIL</t>
        </is>
      </c>
    </row>
    <row r="100" ht="15" customHeight="1">
      <c r="A100" s="22">
        <f>A99+1</f>
        <v/>
      </c>
      <c r="B100" s="122" t="inlineStr">
        <is>
          <t>Emco Paint, White Color</t>
        </is>
      </c>
      <c r="C100" s="123" t="inlineStr">
        <is>
          <t>PCS</t>
        </is>
      </c>
      <c r="D100" s="26">
        <f>'Week  (2)'!U100</f>
        <v/>
      </c>
      <c r="E100" s="129" t="n"/>
      <c r="F100" s="55" t="n"/>
      <c r="G100" s="25" t="n"/>
      <c r="H100" s="69" t="n"/>
      <c r="I100" s="19" t="inlineStr">
        <is>
          <t>Basket lap</t>
        </is>
      </c>
      <c r="J100" s="69" t="n">
        <v>1</v>
      </c>
      <c r="K100" s="25" t="n"/>
      <c r="L100" s="69" t="n"/>
      <c r="M100" s="25" t="n"/>
      <c r="N100" s="73" t="n"/>
      <c r="O100" s="25" t="n"/>
      <c r="P100" s="73" t="n"/>
      <c r="Q100" s="72" t="n"/>
      <c r="R100" s="73" t="n"/>
      <c r="S100" s="18" t="n"/>
      <c r="T100" s="18" t="n"/>
      <c r="U100" s="26">
        <f>D100+F100+-(H100+J100+L100+N100+P100+R100+T100)</f>
        <v/>
      </c>
      <c r="V100" t="inlineStr">
        <is>
          <t>CIVIL</t>
        </is>
      </c>
    </row>
    <row r="101" ht="15" customHeight="1">
      <c r="A101" s="22">
        <f>A100+1</f>
        <v/>
      </c>
      <c r="B101" s="122" t="inlineStr">
        <is>
          <t>Emco Paint, Yellow Color No. 67</t>
        </is>
      </c>
      <c r="C101" s="123" t="inlineStr">
        <is>
          <t>PCS</t>
        </is>
      </c>
      <c r="D101" s="26">
        <f>'Week  (2)'!U101</f>
        <v/>
      </c>
      <c r="E101" s="129" t="n"/>
      <c r="F101" s="55" t="n"/>
      <c r="G101" s="72" t="n"/>
      <c r="H101" s="55" t="n"/>
      <c r="I101" s="71" t="n"/>
      <c r="J101" s="55" t="n"/>
      <c r="K101" s="18" t="n"/>
      <c r="L101" s="73" t="n"/>
      <c r="M101" s="73" t="n"/>
      <c r="N101" s="73" t="n"/>
      <c r="O101" s="19" t="n"/>
      <c r="P101" s="18" t="n"/>
      <c r="Q101" s="18" t="n"/>
      <c r="R101" s="73" t="n"/>
      <c r="S101" s="18" t="n"/>
      <c r="T101" s="18" t="n"/>
      <c r="U101" s="26">
        <f>D101+F101+-(H101+J101+L101+N101+P101+R101+T101)</f>
        <v/>
      </c>
      <c r="V101" t="inlineStr">
        <is>
          <t>CIVIL</t>
        </is>
      </c>
    </row>
    <row r="102">
      <c r="A102" s="22">
        <f>A101+1</f>
        <v/>
      </c>
      <c r="B102" s="79" t="inlineStr">
        <is>
          <t>Engsel Jendela 3 "</t>
        </is>
      </c>
      <c r="C102" s="40" t="inlineStr">
        <is>
          <t>Pcs</t>
        </is>
      </c>
      <c r="D102" s="26">
        <f>'Week  (2)'!U102</f>
        <v/>
      </c>
      <c r="E102" s="125" t="n"/>
      <c r="F102" s="55" t="n"/>
      <c r="G102" s="52" t="n"/>
      <c r="H102" s="55" t="n"/>
      <c r="I102" s="71" t="n"/>
      <c r="J102" s="55" t="n"/>
      <c r="K102" s="18" t="n"/>
      <c r="L102" s="73" t="n"/>
      <c r="M102" s="73" t="n"/>
      <c r="N102" s="73" t="n"/>
      <c r="O102" s="19" t="n"/>
      <c r="P102" s="18" t="n"/>
      <c r="Q102" s="18" t="n"/>
      <c r="R102" s="73" t="n"/>
      <c r="S102" s="18" t="n"/>
      <c r="T102" s="18" t="n"/>
      <c r="U102" s="26">
        <f>D102+F102+-(H102+J102+L102+N102+P102+R102+T102)</f>
        <v/>
      </c>
      <c r="V102" t="inlineStr">
        <is>
          <t>CIVIL</t>
        </is>
      </c>
    </row>
    <row r="103">
      <c r="A103" s="22">
        <f>A102+1</f>
        <v/>
      </c>
      <c r="B103" s="79" t="inlineStr">
        <is>
          <t>Engsel Pintu 4"</t>
        </is>
      </c>
      <c r="C103" s="40" t="inlineStr">
        <is>
          <t>Pcs</t>
        </is>
      </c>
      <c r="D103" s="26">
        <f>'Week  (2)'!U103</f>
        <v/>
      </c>
      <c r="E103" s="124" t="n"/>
      <c r="F103" s="62" t="n"/>
      <c r="G103" s="25" t="n"/>
      <c r="H103" s="56" t="n"/>
      <c r="I103" s="19" t="n"/>
      <c r="J103" s="64" t="n"/>
      <c r="K103" s="18" t="n"/>
      <c r="L103" s="73" t="n"/>
      <c r="M103" s="73" t="n"/>
      <c r="N103" s="73" t="n"/>
      <c r="O103" s="19" t="n"/>
      <c r="P103" s="18" t="n"/>
      <c r="Q103" s="18" t="n"/>
      <c r="R103" s="73" t="n"/>
      <c r="S103" s="18" t="n"/>
      <c r="T103" s="18" t="n"/>
      <c r="U103" s="26">
        <f>D103+F103+-(H103+J103+L103+N103+P103+R103+T103)</f>
        <v/>
      </c>
      <c r="V103" t="inlineStr">
        <is>
          <t>CIVIL</t>
        </is>
      </c>
    </row>
    <row r="104" ht="27" customHeight="1">
      <c r="A104" s="22">
        <f>A103+1</f>
        <v/>
      </c>
      <c r="B104" s="38" t="inlineStr">
        <is>
          <t>Engsel Sendok</t>
        </is>
      </c>
      <c r="C104" s="123" t="inlineStr">
        <is>
          <t>PCS</t>
        </is>
      </c>
      <c r="D104" s="26">
        <f>'Week  (2)'!U104</f>
        <v/>
      </c>
      <c r="E104" s="125" t="n"/>
      <c r="F104" s="55" t="n"/>
      <c r="G104" s="52" t="n"/>
      <c r="H104" s="55" t="n"/>
      <c r="I104" s="71" t="n"/>
      <c r="J104" s="55" t="n"/>
      <c r="K104" s="18" t="n"/>
      <c r="L104" s="73" t="n"/>
      <c r="M104" s="73" t="n"/>
      <c r="N104" s="73" t="n"/>
      <c r="O104" s="19" t="n"/>
      <c r="P104" s="18" t="n"/>
      <c r="Q104" s="18" t="inlineStr">
        <is>
          <t>Timor 4</t>
        </is>
      </c>
      <c r="R104" s="73" t="n">
        <v>1</v>
      </c>
      <c r="S104" s="18" t="n"/>
      <c r="T104" s="18" t="n"/>
      <c r="U104" s="26">
        <f>D104+F104+-(H104+J104+L104+N104+P104+R104+T104)</f>
        <v/>
      </c>
      <c r="V104" t="inlineStr">
        <is>
          <t>CIVIL</t>
        </is>
      </c>
    </row>
    <row r="105" ht="15" customFormat="1" customHeight="1" s="42">
      <c r="A105" s="22">
        <f>A104+1</f>
        <v/>
      </c>
      <c r="B105" s="38" t="inlineStr">
        <is>
          <t>Equal Elbow 20 x20</t>
        </is>
      </c>
      <c r="C105" s="123" t="inlineStr">
        <is>
          <t>PCS</t>
        </is>
      </c>
      <c r="D105" s="26">
        <f>'Week  (2)'!U105</f>
        <v/>
      </c>
      <c r="E105" s="124" t="n"/>
      <c r="F105" s="62" t="n"/>
      <c r="G105" s="25" t="n"/>
      <c r="H105" s="56" t="n"/>
      <c r="I105" s="19" t="n"/>
      <c r="J105" s="64" t="n"/>
      <c r="K105" s="18" t="n"/>
      <c r="L105" s="73" t="n"/>
      <c r="M105" s="73" t="n"/>
      <c r="N105" s="73" t="n"/>
      <c r="O105" s="19" t="n"/>
      <c r="P105" s="18" t="n"/>
      <c r="Q105" s="18" t="n"/>
      <c r="R105" s="73" t="n"/>
      <c r="S105" s="18" t="n"/>
      <c r="T105" s="18" t="n"/>
      <c r="U105" s="26">
        <f>D105+F105+-(H105+J105+L105+N105+P105+R105+T105)</f>
        <v/>
      </c>
      <c r="V105" t="inlineStr">
        <is>
          <t>VALVE AND PIPE</t>
        </is>
      </c>
    </row>
    <row r="106" ht="15" customHeight="1">
      <c r="A106" s="22">
        <f>A105+1</f>
        <v/>
      </c>
      <c r="B106" s="38" t="inlineStr">
        <is>
          <t>Equal Elbow 25 x 25</t>
        </is>
      </c>
      <c r="C106" s="123" t="inlineStr">
        <is>
          <t>PCS</t>
        </is>
      </c>
      <c r="D106" s="26">
        <f>'Week  (2)'!U106</f>
        <v/>
      </c>
      <c r="E106" s="125" t="n"/>
      <c r="F106" s="55" t="n"/>
      <c r="G106" s="52" t="n"/>
      <c r="H106" s="55" t="n"/>
      <c r="I106" s="71" t="n"/>
      <c r="J106" s="55" t="n"/>
      <c r="K106" s="18" t="n"/>
      <c r="L106" s="73" t="n"/>
      <c r="M106" s="73" t="n"/>
      <c r="N106" s="73" t="n"/>
      <c r="O106" s="19" t="n"/>
      <c r="P106" s="18" t="n"/>
      <c r="Q106" s="18" t="n"/>
      <c r="R106" s="73" t="n"/>
      <c r="S106" s="18" t="n"/>
      <c r="T106" s="18" t="n"/>
      <c r="U106" s="26">
        <f>D106+F106+-(H106+J106+L106+N106+P106+R106+T106)</f>
        <v/>
      </c>
      <c r="V106" t="inlineStr">
        <is>
          <t>VALVE AND PIPE</t>
        </is>
      </c>
    </row>
    <row r="107" ht="15" customHeight="1">
      <c r="A107" s="22">
        <f>A106+1</f>
        <v/>
      </c>
      <c r="B107" s="38" t="inlineStr">
        <is>
          <t>Equal Elbow 32 x 32</t>
        </is>
      </c>
      <c r="C107" s="123" t="inlineStr">
        <is>
          <t>PCS</t>
        </is>
      </c>
      <c r="D107" s="26">
        <f>'Week  (2)'!U107</f>
        <v/>
      </c>
      <c r="E107" s="124" t="n"/>
      <c r="F107" s="62" t="n"/>
      <c r="G107" s="25" t="n"/>
      <c r="H107" s="56" t="n"/>
      <c r="I107" s="19" t="n"/>
      <c r="J107" s="64" t="n"/>
      <c r="K107" s="18" t="n"/>
      <c r="L107" s="73" t="n"/>
      <c r="M107" s="73" t="n"/>
      <c r="N107" s="73" t="n"/>
      <c r="O107" s="19" t="n"/>
      <c r="P107" s="18" t="n"/>
      <c r="Q107" s="18" t="n"/>
      <c r="R107" s="73" t="n"/>
      <c r="S107" s="18" t="n"/>
      <c r="T107" s="18" t="n"/>
      <c r="U107" s="26">
        <f>D107+F107+-(H107+J107+L107+N107+P107+R107+T107)</f>
        <v/>
      </c>
      <c r="V107" t="inlineStr">
        <is>
          <t>VALVE AND PIPE</t>
        </is>
      </c>
    </row>
    <row r="108" ht="15" customHeight="1">
      <c r="A108" s="22">
        <f>A107+1</f>
        <v/>
      </c>
      <c r="B108" s="38" t="inlineStr">
        <is>
          <t>Equal Tee 32 x 20</t>
        </is>
      </c>
      <c r="C108" s="123" t="inlineStr">
        <is>
          <t>PCS</t>
        </is>
      </c>
      <c r="D108" s="26">
        <f>'Week  (2)'!U108</f>
        <v/>
      </c>
      <c r="E108" s="125" t="n"/>
      <c r="F108" s="55" t="n"/>
      <c r="G108" s="52" t="n"/>
      <c r="H108" s="55" t="n"/>
      <c r="I108" s="71" t="n"/>
      <c r="J108" s="55" t="n"/>
      <c r="K108" s="18" t="n"/>
      <c r="L108" s="73" t="n"/>
      <c r="M108" s="73" t="n"/>
      <c r="N108" s="73" t="n"/>
      <c r="O108" s="19" t="n"/>
      <c r="P108" s="18" t="n"/>
      <c r="Q108" s="18" t="n"/>
      <c r="R108" s="73" t="n"/>
      <c r="S108" s="18" t="n"/>
      <c r="T108" s="18" t="n"/>
      <c r="U108" s="26">
        <f>D108+F108+-(H108+J108+L108+N108+P108+R108+T108)</f>
        <v/>
      </c>
      <c r="V108" t="inlineStr">
        <is>
          <t>VALVE AND PIPE</t>
        </is>
      </c>
    </row>
    <row r="109" ht="15" customHeight="1">
      <c r="A109" s="22">
        <f>A108+1</f>
        <v/>
      </c>
      <c r="B109" s="38" t="inlineStr">
        <is>
          <t>Male thread adaptor 32 x 1"</t>
        </is>
      </c>
      <c r="C109" s="123" t="inlineStr">
        <is>
          <t>PCS</t>
        </is>
      </c>
      <c r="D109" s="26">
        <f>'Week  (2)'!U109</f>
        <v/>
      </c>
      <c r="E109" s="124" t="n"/>
      <c r="F109" s="62" t="n"/>
      <c r="G109" s="25" t="n"/>
      <c r="H109" s="56" t="n"/>
      <c r="I109" s="19" t="n"/>
      <c r="J109" s="64" t="n"/>
      <c r="K109" s="18" t="n"/>
      <c r="L109" s="73" t="n"/>
      <c r="M109" s="73" t="n"/>
      <c r="N109" s="73" t="n"/>
      <c r="O109" s="19" t="n"/>
      <c r="P109" s="18" t="n"/>
      <c r="Q109" s="18" t="n"/>
      <c r="R109" s="73" t="n"/>
      <c r="S109" s="18" t="n"/>
      <c r="T109" s="18" t="n"/>
      <c r="U109" s="26">
        <f>D109+F109+-(H109+J109+L109+N109+P109+R109+T109)</f>
        <v/>
      </c>
      <c r="V109" t="inlineStr">
        <is>
          <t>VALVE AND PIPE</t>
        </is>
      </c>
    </row>
    <row r="110" ht="27" customHeight="1">
      <c r="A110" s="22">
        <f>A109+1</f>
        <v/>
      </c>
      <c r="B110" s="122" t="inlineStr">
        <is>
          <t>FITING LAMPU</t>
        </is>
      </c>
      <c r="C110" s="123" t="inlineStr">
        <is>
          <t>PCS</t>
        </is>
      </c>
      <c r="D110" s="26">
        <f>'Week  (2)'!U110</f>
        <v/>
      </c>
      <c r="E110" s="125" t="n"/>
      <c r="F110" s="55" t="n"/>
      <c r="G110" s="52" t="n"/>
      <c r="H110" s="55" t="n"/>
      <c r="I110" s="71" t="n"/>
      <c r="J110" s="55" t="n"/>
      <c r="K110" s="18" t="n"/>
      <c r="L110" s="73" t="n"/>
      <c r="M110" s="73" t="n"/>
      <c r="N110" s="73" t="n"/>
      <c r="O110" s="19" t="n"/>
      <c r="P110" s="18" t="n"/>
      <c r="Q110" s="73" t="n"/>
      <c r="R110" s="73" t="n"/>
      <c r="S110" s="18" t="n"/>
      <c r="T110" s="18" t="n"/>
      <c r="U110" s="26">
        <f>D110+F110+-(H110+J110+L110+N110+P110+R110+T110)</f>
        <v/>
      </c>
      <c r="V110" t="inlineStr">
        <is>
          <t>LAMP</t>
        </is>
      </c>
    </row>
    <row r="111" ht="25.5" customHeight="1">
      <c r="A111" s="22">
        <f>A110+1</f>
        <v/>
      </c>
      <c r="B111" s="51" t="inlineStr">
        <is>
          <t>Sensor Photo cell</t>
        </is>
      </c>
      <c r="C111" s="123" t="inlineStr">
        <is>
          <t>PCS</t>
        </is>
      </c>
      <c r="D111" s="26">
        <f>'Week  (2)'!U111</f>
        <v/>
      </c>
      <c r="E111" s="124" t="n"/>
      <c r="F111" s="62" t="n"/>
      <c r="G111" s="68" t="n"/>
      <c r="H111" s="56" t="n"/>
      <c r="I111" s="19" t="n"/>
      <c r="J111" s="64" t="n"/>
      <c r="K111" s="18" t="n"/>
      <c r="L111" s="73" t="n"/>
      <c r="M111" s="73" t="n"/>
      <c r="N111" s="73" t="n"/>
      <c r="O111" s="19" t="n"/>
      <c r="P111" s="18" t="n"/>
      <c r="Q111" s="18" t="n"/>
      <c r="R111" s="73" t="n"/>
      <c r="S111" s="18" t="n"/>
      <c r="T111" s="18" t="n"/>
      <c r="U111" s="26">
        <f>D111+F111+-(H111+J111+L111+N111+P111+R111+T111)</f>
        <v/>
      </c>
      <c r="V111" t="inlineStr">
        <is>
          <t>LAMP</t>
        </is>
      </c>
    </row>
    <row r="112" ht="25.5" customHeight="1">
      <c r="A112" s="22">
        <f>A111+1</f>
        <v/>
      </c>
      <c r="B112" s="122" t="inlineStr">
        <is>
          <t>Filter Fleet Guard WF 2071 (Filter Udara)</t>
        </is>
      </c>
      <c r="C112" s="123" t="inlineStr">
        <is>
          <t>PCS</t>
        </is>
      </c>
      <c r="D112" s="26">
        <f>'Week  (2)'!U112</f>
        <v/>
      </c>
      <c r="E112" s="125" t="n"/>
      <c r="F112" s="55" t="n"/>
      <c r="G112" s="52" t="n"/>
      <c r="H112" s="55" t="n"/>
      <c r="I112" s="71" t="n"/>
      <c r="J112" s="55" t="n"/>
      <c r="K112" s="18" t="n"/>
      <c r="L112" s="73" t="n"/>
      <c r="M112" s="73" t="n"/>
      <c r="N112" s="73" t="n"/>
      <c r="O112" s="19" t="n"/>
      <c r="P112" s="18" t="n"/>
      <c r="Q112" s="18" t="n"/>
      <c r="R112" s="73" t="n"/>
      <c r="S112" s="18" t="n"/>
      <c r="T112" s="18" t="n"/>
      <c r="U112" s="26">
        <f>D112+F112+-(H112+J112+L112+N112+P112+R112+T112)</f>
        <v/>
      </c>
      <c r="V112" t="inlineStr">
        <is>
          <t>CONSUMABLE</t>
        </is>
      </c>
    </row>
    <row r="113" ht="42" customHeight="1">
      <c r="A113" s="22">
        <f>A112+1</f>
        <v/>
      </c>
      <c r="B113" s="122" t="inlineStr">
        <is>
          <t>Filter Fleet Guard FS 1212 (Filter Solar)</t>
        </is>
      </c>
      <c r="C113" s="123" t="inlineStr">
        <is>
          <t>PCS</t>
        </is>
      </c>
      <c r="D113" s="26">
        <f>'Week  (2)'!U113</f>
        <v/>
      </c>
      <c r="E113" s="124" t="n"/>
      <c r="F113" s="62" t="n"/>
      <c r="G113" s="25" t="n"/>
      <c r="H113" s="56" t="n"/>
      <c r="I113" s="19" t="n"/>
      <c r="J113" s="64" t="n"/>
      <c r="K113" s="18" t="n"/>
      <c r="L113" s="73" t="n"/>
      <c r="M113" s="73" t="n"/>
      <c r="N113" s="73" t="n"/>
      <c r="O113" s="19" t="n"/>
      <c r="P113" s="18" t="n"/>
      <c r="Q113" s="18" t="n"/>
      <c r="R113" s="73" t="n"/>
      <c r="S113" s="18" t="n"/>
      <c r="T113" s="18" t="n"/>
      <c r="U113" s="26">
        <f>D113+F113+-(H113+J113+L113+N113+P113+R113+T113)</f>
        <v/>
      </c>
      <c r="V113" t="inlineStr">
        <is>
          <t>CONSUMABLE</t>
        </is>
      </c>
    </row>
    <row r="114" ht="30" customHeight="1">
      <c r="A114" s="22">
        <f>A113+1</f>
        <v/>
      </c>
      <c r="B114" s="122" t="inlineStr">
        <is>
          <t>Filter Fleet Guard LF 3000 (Oil Filter )</t>
        </is>
      </c>
      <c r="C114" s="123" t="inlineStr">
        <is>
          <t>PCS</t>
        </is>
      </c>
      <c r="D114" s="26">
        <f>'Week  (2)'!U114</f>
        <v/>
      </c>
      <c r="E114" s="125" t="n"/>
      <c r="F114" s="55" t="n"/>
      <c r="G114" s="52" t="n"/>
      <c r="H114" s="55" t="n"/>
      <c r="I114" s="71" t="n"/>
      <c r="J114" s="55" t="n"/>
      <c r="K114" s="18" t="n"/>
      <c r="L114" s="73" t="n"/>
      <c r="M114" s="73" t="n"/>
      <c r="N114" s="73" t="n"/>
      <c r="O114" s="19" t="n"/>
      <c r="P114" s="18" t="n"/>
      <c r="Q114" s="18" t="n"/>
      <c r="R114" s="73" t="n"/>
      <c r="S114" s="18" t="n"/>
      <c r="T114" s="18" t="n"/>
      <c r="U114" s="26">
        <f>D114+F114+-(H114+J114+L114+N114+P114+R114+T114)</f>
        <v/>
      </c>
      <c r="V114" t="inlineStr">
        <is>
          <t>CONSUMABLE</t>
        </is>
      </c>
    </row>
    <row r="115" ht="27" customHeight="1">
      <c r="A115" s="22">
        <f>A114+1</f>
        <v/>
      </c>
      <c r="B115" s="122" t="inlineStr">
        <is>
          <t>Filter Fleet Guard WF 2076 (Filter Udara)</t>
        </is>
      </c>
      <c r="C115" s="123" t="inlineStr">
        <is>
          <t>PCS</t>
        </is>
      </c>
      <c r="D115" s="26">
        <f>'Week  (2)'!U115</f>
        <v/>
      </c>
      <c r="E115" s="124" t="n"/>
      <c r="F115" s="62" t="n"/>
      <c r="G115" s="25" t="n"/>
      <c r="H115" s="56" t="n"/>
      <c r="I115" s="19" t="n"/>
      <c r="J115" s="64" t="n"/>
      <c r="K115" s="18" t="n"/>
      <c r="L115" s="73" t="n"/>
      <c r="M115" s="73" t="n"/>
      <c r="N115" s="73" t="n"/>
      <c r="O115" s="19" t="n"/>
      <c r="P115" s="18" t="n"/>
      <c r="Q115" s="18" t="n"/>
      <c r="R115" s="73" t="n"/>
      <c r="S115" s="18" t="n"/>
      <c r="T115" s="18" t="n"/>
      <c r="U115" s="26">
        <f>D115+F115+-(H115+J115+L115+N115+P115+R115+T115)</f>
        <v/>
      </c>
      <c r="V115" t="inlineStr">
        <is>
          <t>CONSUMABLE</t>
        </is>
      </c>
    </row>
    <row r="116" ht="20.25" customHeight="1">
      <c r="A116" s="22">
        <f>A115+1</f>
        <v/>
      </c>
      <c r="B116" s="122" t="inlineStr">
        <is>
          <t>Flexible Hose  50 CM</t>
        </is>
      </c>
      <c r="C116" s="123" t="inlineStr">
        <is>
          <t>PCS</t>
        </is>
      </c>
      <c r="D116" s="26">
        <f>'Week  (2)'!U116</f>
        <v/>
      </c>
      <c r="E116" s="125" t="n"/>
      <c r="F116" s="55" t="n"/>
      <c r="G116" s="52" t="n"/>
      <c r="H116" s="55" t="n"/>
      <c r="I116" s="71" t="n"/>
      <c r="J116" s="55" t="n"/>
      <c r="K116" s="18" t="n"/>
      <c r="L116" s="73" t="n"/>
      <c r="M116" s="73" t="n"/>
      <c r="N116" s="73" t="n"/>
      <c r="O116" s="19" t="n"/>
      <c r="P116" s="18" t="n"/>
      <c r="Q116" s="18" t="n"/>
      <c r="R116" s="73" t="n"/>
      <c r="S116" s="18" t="n"/>
      <c r="T116" s="18" t="n"/>
      <c r="U116" s="26">
        <f>D116+F116+-(H116+J116+L116+N116+P116+R116+T116)</f>
        <v/>
      </c>
      <c r="V116" t="inlineStr">
        <is>
          <t>VALVE AND PIPE</t>
        </is>
      </c>
    </row>
    <row r="117" ht="27" customHeight="1">
      <c r="A117" s="22">
        <f>A116+1</f>
        <v/>
      </c>
      <c r="B117" s="122" t="inlineStr">
        <is>
          <t>Flexible Hose  60 CM STAINLESS</t>
        </is>
      </c>
      <c r="C117" s="123" t="inlineStr">
        <is>
          <t>PCS</t>
        </is>
      </c>
      <c r="D117" s="26">
        <f>'Week  (2)'!U117</f>
        <v/>
      </c>
      <c r="E117" s="124" t="n"/>
      <c r="F117" s="62" t="n"/>
      <c r="G117" s="25" t="n"/>
      <c r="H117" s="56" t="n"/>
      <c r="I117" s="19" t="n"/>
      <c r="J117" s="64" t="n"/>
      <c r="K117" s="18" t="n"/>
      <c r="L117" s="73" t="n"/>
      <c r="M117" s="73" t="n"/>
      <c r="N117" s="73" t="n"/>
      <c r="O117" s="19" t="n"/>
      <c r="P117" s="18" t="n"/>
      <c r="Q117" s="18" t="n"/>
      <c r="R117" s="73" t="n"/>
      <c r="S117" s="18" t="n"/>
      <c r="T117" s="18" t="n"/>
      <c r="U117" s="26">
        <f>D117+F117+-(H117+J117+L117+N117+P117+R117+T117)</f>
        <v/>
      </c>
      <c r="V117" t="inlineStr">
        <is>
          <t>VALVE AND PIPE</t>
        </is>
      </c>
    </row>
    <row r="118" ht="28.5" customHeight="1">
      <c r="A118" s="22">
        <f>A117+1</f>
        <v/>
      </c>
      <c r="B118" s="122" t="inlineStr">
        <is>
          <t>Flexible Hose 40 Cm</t>
        </is>
      </c>
      <c r="C118" s="123" t="inlineStr">
        <is>
          <t>PCS</t>
        </is>
      </c>
      <c r="D118" s="26">
        <f>'Week  (2)'!U118</f>
        <v/>
      </c>
      <c r="E118" s="125" t="n"/>
      <c r="F118" s="55" t="n"/>
      <c r="G118" s="52" t="n"/>
      <c r="H118" s="55" t="n"/>
      <c r="I118" s="71" t="n"/>
      <c r="J118" s="55" t="n"/>
      <c r="K118" s="18" t="n"/>
      <c r="L118" s="73" t="n"/>
      <c r="M118" s="73" t="n"/>
      <c r="N118" s="73" t="n"/>
      <c r="O118" s="19" t="n"/>
      <c r="P118" s="18" t="n"/>
      <c r="Q118" s="18" t="n"/>
      <c r="R118" s="73" t="n"/>
      <c r="S118" s="18" t="n"/>
      <c r="T118" s="18" t="n"/>
      <c r="U118" s="26">
        <f>D118+F118+-(H118+J118+L118+N118+P118+R118+T118)</f>
        <v/>
      </c>
      <c r="V118" t="inlineStr">
        <is>
          <t>VALVE AND PIPE</t>
        </is>
      </c>
    </row>
    <row r="119" ht="27" customHeight="1">
      <c r="A119" s="22">
        <f>A118+1</f>
        <v/>
      </c>
      <c r="B119" s="122" t="inlineStr">
        <is>
          <t>Flexible Hose of Washbasin, DUPON</t>
        </is>
      </c>
      <c r="C119" s="123" t="inlineStr">
        <is>
          <t>SET</t>
        </is>
      </c>
      <c r="D119" s="26">
        <f>'Week  (2)'!U119</f>
        <v/>
      </c>
      <c r="E119" s="124" t="n"/>
      <c r="F119" s="62" t="n"/>
      <c r="G119" s="25" t="n"/>
      <c r="H119" s="56" t="n"/>
      <c r="I119" s="19" t="n"/>
      <c r="J119" s="64" t="n"/>
      <c r="K119" s="18" t="n"/>
      <c r="L119" s="73" t="n"/>
      <c r="M119" s="73" t="n"/>
      <c r="N119" s="73" t="n"/>
      <c r="O119" s="19" t="n"/>
      <c r="P119" s="18" t="n"/>
      <c r="Q119" s="18" t="n"/>
      <c r="R119" s="73" t="n"/>
      <c r="S119" s="18" t="n"/>
      <c r="T119" s="18" t="n"/>
      <c r="U119" s="26">
        <f>D119+F119+-(H119+J119+L119+N119+P119+R119+T119)</f>
        <v/>
      </c>
      <c r="V119" t="inlineStr">
        <is>
          <t>VALVE AND PIPE</t>
        </is>
      </c>
    </row>
    <row r="120" ht="27" customHeight="1">
      <c r="A120" s="22">
        <f>A119+1</f>
        <v/>
      </c>
      <c r="B120" s="122" t="inlineStr">
        <is>
          <t>Flexible Hose of Washbasin, MOVE</t>
        </is>
      </c>
      <c r="C120" s="123" t="inlineStr">
        <is>
          <t>PCS</t>
        </is>
      </c>
      <c r="D120" s="26">
        <f>'Week  (2)'!U120</f>
        <v/>
      </c>
      <c r="E120" s="125" t="n"/>
      <c r="F120" s="55" t="n"/>
      <c r="G120" s="52" t="n"/>
      <c r="H120" s="55" t="n"/>
      <c r="I120" s="71" t="n"/>
      <c r="J120" s="55" t="n"/>
      <c r="K120" s="18" t="n"/>
      <c r="L120" s="73" t="n"/>
      <c r="M120" s="73" t="n"/>
      <c r="N120" s="73" t="n"/>
      <c r="O120" s="19" t="n"/>
      <c r="P120" s="18" t="n"/>
      <c r="Q120" s="18" t="n"/>
      <c r="R120" s="73" t="n"/>
      <c r="S120" s="18" t="n"/>
      <c r="T120" s="18" t="n"/>
      <c r="U120" s="26">
        <f>D120+F120+-(H120+J120+L120+N120+P120+R120+T120)</f>
        <v/>
      </c>
      <c r="V120" t="inlineStr">
        <is>
          <t>VALVE AND PIPE</t>
        </is>
      </c>
    </row>
    <row r="121" ht="32.25" customHeight="1">
      <c r="A121" s="22">
        <f>A120+1</f>
        <v/>
      </c>
      <c r="B121" s="122" t="inlineStr">
        <is>
          <t>Floating Valve of Closet ( Tombol Atas )</t>
        </is>
      </c>
      <c r="C121" s="123" t="inlineStr">
        <is>
          <t>PCS</t>
        </is>
      </c>
      <c r="D121" s="26">
        <f>'Week  (2)'!U121</f>
        <v/>
      </c>
      <c r="E121" s="124" t="n"/>
      <c r="F121" s="62" t="n"/>
      <c r="G121" s="25" t="n"/>
      <c r="H121" s="56" t="n"/>
      <c r="I121" s="19" t="n"/>
      <c r="J121" s="64" t="n"/>
      <c r="K121" s="18" t="n"/>
      <c r="L121" s="73" t="n"/>
      <c r="M121" s="73" t="n"/>
      <c r="N121" s="73" t="n"/>
      <c r="O121" s="19" t="n"/>
      <c r="P121" s="18" t="n"/>
      <c r="Q121" s="18" t="n"/>
      <c r="R121" s="73" t="n"/>
      <c r="S121" s="18" t="n"/>
      <c r="T121" s="18" t="n"/>
      <c r="U121" s="26">
        <f>D121+F121+-(H121+J121+L121+N121+P121+R121+T121)</f>
        <v/>
      </c>
      <c r="V121" t="inlineStr">
        <is>
          <t>SANITARY</t>
        </is>
      </c>
    </row>
    <row r="122" ht="27.75" customHeight="1">
      <c r="A122" s="22">
        <f>A121+1</f>
        <v/>
      </c>
      <c r="B122" s="122" t="inlineStr">
        <is>
          <t>Floating Valve of Closet ( Tombol Samping  )</t>
        </is>
      </c>
      <c r="C122" s="123" t="inlineStr">
        <is>
          <t>PCS</t>
        </is>
      </c>
      <c r="D122" s="26">
        <f>'Week  (2)'!U122</f>
        <v/>
      </c>
      <c r="E122" s="125" t="n"/>
      <c r="F122" s="55" t="n"/>
      <c r="G122" s="52" t="n"/>
      <c r="H122" s="55" t="n"/>
      <c r="I122" s="71" t="n"/>
      <c r="J122" s="55" t="n"/>
      <c r="K122" s="18" t="n"/>
      <c r="L122" s="73" t="n"/>
      <c r="M122" s="73" t="n"/>
      <c r="N122" s="73" t="n"/>
      <c r="O122" s="19" t="n"/>
      <c r="P122" s="18" t="n"/>
      <c r="Q122" s="18" t="n"/>
      <c r="R122" s="73" t="n"/>
      <c r="S122" s="18" t="n"/>
      <c r="T122" s="18" t="n"/>
      <c r="U122" s="26">
        <f>D122+F122+-(H122+J122+L122+N122+P122+R122+T122)</f>
        <v/>
      </c>
      <c r="V122" t="inlineStr">
        <is>
          <t>SANITARY</t>
        </is>
      </c>
    </row>
    <row r="123" ht="24" customHeight="1">
      <c r="A123" s="22">
        <f>A122+1</f>
        <v/>
      </c>
      <c r="B123" s="122" t="inlineStr">
        <is>
          <t>Floor Drain</t>
        </is>
      </c>
      <c r="C123" s="123" t="inlineStr">
        <is>
          <t>PCS</t>
        </is>
      </c>
      <c r="D123" s="26">
        <f>'Week  (2)'!U123</f>
        <v/>
      </c>
      <c r="E123" s="124" t="n"/>
      <c r="F123" s="62" t="n"/>
      <c r="G123" s="25" t="n"/>
      <c r="H123" s="56" t="n"/>
      <c r="I123" s="19" t="n"/>
      <c r="J123" s="64" t="n"/>
      <c r="K123" s="18" t="n"/>
      <c r="L123" s="73" t="n"/>
      <c r="M123" s="73" t="n"/>
      <c r="N123" s="73" t="n"/>
      <c r="O123" s="19" t="n"/>
      <c r="P123" s="18" t="n"/>
      <c r="Q123" s="18" t="n"/>
      <c r="R123" s="73" t="n"/>
      <c r="S123" s="18" t="n"/>
      <c r="T123" s="18" t="n"/>
      <c r="U123" s="26">
        <f>D123+F123+-(H123+J123+L123+N123+P123+R123+T123)</f>
        <v/>
      </c>
      <c r="V123" t="inlineStr">
        <is>
          <t>SANITARY</t>
        </is>
      </c>
    </row>
    <row r="124" ht="24" customHeight="1">
      <c r="A124" s="22">
        <f>A123+1</f>
        <v/>
      </c>
      <c r="B124" s="122" t="inlineStr">
        <is>
          <t>FREON R 22 DUPONT ( 13,62 Kg )</t>
        </is>
      </c>
      <c r="C124" s="123" t="inlineStr">
        <is>
          <t>BTL</t>
        </is>
      </c>
      <c r="D124" s="26">
        <f>'Week  (2)'!U124</f>
        <v/>
      </c>
      <c r="E124" s="125" t="n"/>
      <c r="F124" s="55" t="n"/>
      <c r="G124" s="52" t="n"/>
      <c r="H124" s="55" t="n"/>
      <c r="I124" s="71" t="n"/>
      <c r="J124" s="55" t="n"/>
      <c r="K124" s="18" t="n"/>
      <c r="L124" s="73" t="n"/>
      <c r="M124" s="73" t="n"/>
      <c r="N124" s="73" t="n"/>
      <c r="O124" s="19" t="n"/>
      <c r="P124" s="18" t="n"/>
      <c r="Q124" s="18" t="n"/>
      <c r="R124" s="73" t="n"/>
      <c r="S124" s="18" t="n"/>
      <c r="T124" s="18" t="n"/>
      <c r="U124" s="26">
        <f>D124+F124+-(H124+J124+L124+N124+P124+R124+T124)</f>
        <v/>
      </c>
      <c r="V124" t="inlineStr">
        <is>
          <t>AC</t>
        </is>
      </c>
    </row>
    <row r="125" ht="24" customHeight="1">
      <c r="A125" s="22">
        <f>A124+1</f>
        <v/>
      </c>
      <c r="B125" s="122" t="inlineStr">
        <is>
          <t xml:space="preserve">FREON R 32 </t>
        </is>
      </c>
      <c r="C125" s="123" t="inlineStr">
        <is>
          <t>BTL</t>
        </is>
      </c>
      <c r="D125" s="26">
        <f>'Week  (2)'!U125</f>
        <v/>
      </c>
      <c r="E125" s="124" t="n"/>
      <c r="F125" s="62" t="n"/>
      <c r="G125" s="25" t="n"/>
      <c r="H125" s="56" t="n"/>
      <c r="I125" s="19" t="n"/>
      <c r="J125" s="64" t="n"/>
      <c r="K125" s="18" t="n"/>
      <c r="L125" s="73" t="n"/>
      <c r="M125" s="73" t="n"/>
      <c r="N125" s="73" t="n"/>
      <c r="O125" s="19" t="n"/>
      <c r="P125" s="18" t="n"/>
      <c r="Q125" s="18" t="n"/>
      <c r="R125" s="73" t="n"/>
      <c r="S125" s="18" t="n"/>
      <c r="T125" s="18" t="n"/>
      <c r="U125" s="26">
        <f>D125+F125+-(H125+J125+L125+N125+P125+R125+T125)</f>
        <v/>
      </c>
      <c r="V125" t="inlineStr">
        <is>
          <t>AC</t>
        </is>
      </c>
    </row>
    <row r="126" ht="27" customHeight="1">
      <c r="A126" s="22">
        <f>A125+1</f>
        <v/>
      </c>
      <c r="B126" s="79" t="inlineStr">
        <is>
          <t>FLANGE PVC 2,5"</t>
        </is>
      </c>
      <c r="C126" s="29" t="inlineStr">
        <is>
          <t>Pcs</t>
        </is>
      </c>
      <c r="D126" s="26">
        <f>'Week  (2)'!U126</f>
        <v/>
      </c>
      <c r="E126" s="125" t="n"/>
      <c r="F126" s="55" t="n"/>
      <c r="G126" s="52" t="n"/>
      <c r="H126" s="55" t="n"/>
      <c r="I126" s="71" t="n"/>
      <c r="J126" s="55" t="n"/>
      <c r="K126" s="18" t="n"/>
      <c r="L126" s="73" t="n"/>
      <c r="M126" s="73" t="n"/>
      <c r="N126" s="73" t="n"/>
      <c r="O126" s="19" t="n"/>
      <c r="P126" s="18" t="n"/>
      <c r="Q126" s="18" t="n"/>
      <c r="R126" s="73" t="n"/>
      <c r="S126" s="18" t="n"/>
      <c r="T126" s="18" t="n"/>
      <c r="U126" s="26">
        <f>D126+F126+-(H126+J126+L126+N126+P126+R126+T126)</f>
        <v/>
      </c>
      <c r="V126" t="inlineStr">
        <is>
          <t>VALVE AND PIPE</t>
        </is>
      </c>
    </row>
    <row r="127" ht="27" customHeight="1">
      <c r="A127" s="22">
        <f>A126+1</f>
        <v/>
      </c>
      <c r="B127" s="79" t="inlineStr">
        <is>
          <t>FLANGE PVC 2"</t>
        </is>
      </c>
      <c r="C127" s="29" t="inlineStr">
        <is>
          <t>Pcs</t>
        </is>
      </c>
      <c r="D127" s="26">
        <f>'Week  (2)'!U127</f>
        <v/>
      </c>
      <c r="E127" s="124" t="n"/>
      <c r="F127" s="62" t="n"/>
      <c r="G127" s="25" t="n"/>
      <c r="H127" s="56" t="n"/>
      <c r="I127" s="19" t="n"/>
      <c r="J127" s="64" t="n"/>
      <c r="K127" s="18" t="n"/>
      <c r="L127" s="73" t="n"/>
      <c r="M127" s="73" t="n"/>
      <c r="N127" s="73" t="n"/>
      <c r="O127" s="19" t="n"/>
      <c r="P127" s="18" t="n"/>
      <c r="Q127" s="19" t="n"/>
      <c r="R127" s="73" t="n"/>
      <c r="S127" s="18" t="n"/>
      <c r="T127" s="18" t="n"/>
      <c r="U127" s="26">
        <f>D127+F127+-(H127+J127+L127+N127+P127+R127+T127)</f>
        <v/>
      </c>
      <c r="V127" t="inlineStr">
        <is>
          <t>VALVE AND PIPE</t>
        </is>
      </c>
    </row>
    <row r="128">
      <c r="A128" s="22">
        <f>A127+1</f>
        <v/>
      </c>
      <c r="B128" s="79" t="inlineStr">
        <is>
          <t xml:space="preserve">Grendel </t>
        </is>
      </c>
      <c r="C128" s="40" t="inlineStr">
        <is>
          <t>Pcs</t>
        </is>
      </c>
      <c r="D128" s="26">
        <f>'Week  (2)'!U128</f>
        <v/>
      </c>
      <c r="E128" s="125" t="n"/>
      <c r="F128" s="55" t="n"/>
      <c r="G128" s="52" t="n"/>
      <c r="H128" s="55" t="n"/>
      <c r="I128" s="71" t="n"/>
      <c r="J128" s="55" t="n"/>
      <c r="K128" s="19" t="n"/>
      <c r="L128" s="73" t="n"/>
      <c r="M128" s="73" t="n"/>
      <c r="N128" s="73" t="n"/>
      <c r="O128" s="19" t="n"/>
      <c r="P128" s="18" t="n"/>
      <c r="Q128" s="18" t="n"/>
      <c r="R128" s="73" t="n"/>
      <c r="S128" s="18" t="n"/>
      <c r="T128" s="18" t="n"/>
      <c r="U128" s="26">
        <f>D128+F128+-(H128+J128+L128+N128+P128+R128+T128)</f>
        <v/>
      </c>
      <c r="V128" t="inlineStr">
        <is>
          <t>CIVIL</t>
        </is>
      </c>
    </row>
    <row r="129" ht="27" customHeight="1">
      <c r="A129" s="22">
        <f>A128+1</f>
        <v/>
      </c>
      <c r="B129" s="122" t="inlineStr">
        <is>
          <t xml:space="preserve">Hand Shower </t>
        </is>
      </c>
      <c r="C129" s="123" t="inlineStr">
        <is>
          <t>PCS</t>
        </is>
      </c>
      <c r="D129" s="26">
        <f>'Week  (2)'!U129</f>
        <v/>
      </c>
      <c r="E129" s="124" t="n"/>
      <c r="F129" s="62" t="n"/>
      <c r="G129" s="68" t="n"/>
      <c r="H129" s="56" t="n"/>
      <c r="I129" s="19" t="n"/>
      <c r="J129" s="64" t="n"/>
      <c r="K129" s="19" t="n"/>
      <c r="L129" s="73" t="n"/>
      <c r="M129" s="73" t="n"/>
      <c r="N129" s="73" t="n"/>
      <c r="O129" s="19" t="n"/>
      <c r="P129" s="18" t="n"/>
      <c r="Q129" s="18" t="n"/>
      <c r="R129" s="73" t="n"/>
      <c r="S129" s="18" t="n"/>
      <c r="T129" s="18" t="n"/>
      <c r="U129" s="26">
        <f>D129+F129+-(H129+J129+L129+N129+P129+R129+T129)</f>
        <v/>
      </c>
      <c r="V129" t="inlineStr">
        <is>
          <t>SANITARY</t>
        </is>
      </c>
    </row>
    <row r="130" ht="27" customHeight="1">
      <c r="A130" s="22">
        <f>A129+1</f>
        <v/>
      </c>
      <c r="B130" s="122" t="inlineStr">
        <is>
          <t xml:space="preserve">HANDLE PINTU </t>
        </is>
      </c>
      <c r="C130" s="123" t="inlineStr">
        <is>
          <t>Set</t>
        </is>
      </c>
      <c r="D130" s="26">
        <f>'Week  (2)'!U130</f>
        <v/>
      </c>
      <c r="E130" s="124" t="n"/>
      <c r="F130" s="55" t="n"/>
      <c r="G130" s="52" t="n"/>
      <c r="H130" s="55" t="n"/>
      <c r="I130" s="71" t="n"/>
      <c r="J130" s="55" t="n"/>
      <c r="K130" s="18" t="n"/>
      <c r="L130" s="73" t="n"/>
      <c r="M130" s="73" t="n"/>
      <c r="N130" s="73" t="n"/>
      <c r="O130" s="19" t="n"/>
      <c r="P130" s="18" t="n"/>
      <c r="Q130" s="18" t="n"/>
      <c r="R130" s="73" t="n"/>
      <c r="S130" s="18" t="n"/>
      <c r="T130" s="18" t="n"/>
      <c r="U130" s="26">
        <f>D130+F130+-(H130+J130+L130+N130+P130+R130+T130)</f>
        <v/>
      </c>
      <c r="V130" t="inlineStr">
        <is>
          <t>CIVIL</t>
        </is>
      </c>
    </row>
    <row r="131" ht="27" customHeight="1">
      <c r="A131" s="22">
        <f>A130+1</f>
        <v/>
      </c>
      <c r="B131" s="122" t="inlineStr">
        <is>
          <t>Hose of Washing Machine Drain</t>
        </is>
      </c>
      <c r="C131" s="123" t="inlineStr">
        <is>
          <t>PCS</t>
        </is>
      </c>
      <c r="D131" s="26">
        <f>'Week  (2)'!U131</f>
        <v/>
      </c>
      <c r="E131" s="124" t="n"/>
      <c r="F131" s="62" t="n"/>
      <c r="G131" s="25" t="n"/>
      <c r="H131" s="56" t="n"/>
      <c r="I131" s="19" t="n"/>
      <c r="J131" s="64" t="n"/>
      <c r="K131" s="18" t="n"/>
      <c r="L131" s="73" t="n"/>
      <c r="M131" s="73" t="n"/>
      <c r="N131" s="73" t="n"/>
      <c r="O131" s="19" t="n"/>
      <c r="P131" s="18" t="n"/>
      <c r="Q131" s="18" t="n"/>
      <c r="R131" s="73" t="n"/>
      <c r="S131" s="18" t="n"/>
      <c r="T131" s="18" t="n"/>
      <c r="U131" s="26">
        <f>D131+F131+-(H131+J131+L131+N131+P131+R131+T131)</f>
        <v/>
      </c>
      <c r="V131" t="inlineStr">
        <is>
          <t>SANITARY</t>
        </is>
      </c>
    </row>
    <row r="132" ht="13.5" customHeight="1">
      <c r="A132" s="22">
        <f>A131+1</f>
        <v/>
      </c>
      <c r="B132" s="122" t="inlineStr">
        <is>
          <t>Ignition of Stove</t>
        </is>
      </c>
      <c r="C132" s="123" t="inlineStr">
        <is>
          <t>PCS</t>
        </is>
      </c>
      <c r="D132" s="26">
        <f>'Week  (2)'!U132</f>
        <v/>
      </c>
      <c r="E132" s="125" t="n"/>
      <c r="F132" s="55" t="n"/>
      <c r="G132" s="52" t="n"/>
      <c r="H132" s="55" t="n"/>
      <c r="I132" s="71" t="n"/>
      <c r="J132" s="55" t="n"/>
      <c r="K132" s="18" t="n"/>
      <c r="L132" s="73" t="n"/>
      <c r="M132" s="73" t="n"/>
      <c r="N132" s="73" t="n"/>
      <c r="O132" s="19" t="n"/>
      <c r="P132" s="18" t="n"/>
      <c r="Q132" s="18" t="n"/>
      <c r="R132" s="73" t="n"/>
      <c r="S132" s="18" t="n"/>
      <c r="T132" s="18" t="n"/>
      <c r="U132" s="26">
        <f>D132+F132+-(H132+J132+L132+N132+P132+R132+T132)</f>
        <v/>
      </c>
      <c r="V132" t="inlineStr">
        <is>
          <t>SPAREPART</t>
        </is>
      </c>
    </row>
    <row r="133" ht="15" customHeight="1">
      <c r="A133" s="22">
        <f>A132+1</f>
        <v/>
      </c>
      <c r="B133" s="122" t="inlineStr">
        <is>
          <t xml:space="preserve">Jati Plywood </t>
        </is>
      </c>
      <c r="C133" s="123" t="inlineStr">
        <is>
          <t>PCS</t>
        </is>
      </c>
      <c r="D133" s="26">
        <f>'Week  (2)'!U133</f>
        <v/>
      </c>
      <c r="E133" s="124" t="n"/>
      <c r="F133" s="62" t="n"/>
      <c r="G133" s="25" t="n"/>
      <c r="H133" s="56" t="n"/>
      <c r="I133" s="19" t="n"/>
      <c r="J133" s="64" t="n"/>
      <c r="K133" s="18" t="n"/>
      <c r="L133" s="73" t="n"/>
      <c r="M133" s="73" t="n"/>
      <c r="N133" s="73" t="n"/>
      <c r="O133" s="19" t="n"/>
      <c r="P133" s="18" t="n"/>
      <c r="Q133" s="18" t="n"/>
      <c r="R133" s="73" t="n"/>
      <c r="S133" s="18" t="n"/>
      <c r="T133" s="18" t="n"/>
      <c r="U133" s="26">
        <f>D133+F133+-(H133+J133+L133+N133+P133+R133+T133)</f>
        <v/>
      </c>
      <c r="V133" t="inlineStr">
        <is>
          <t>CIVIL</t>
        </is>
      </c>
    </row>
    <row r="134" ht="24" customHeight="1">
      <c r="A134" s="22">
        <f>A133+1</f>
        <v/>
      </c>
      <c r="B134" s="79" t="inlineStr">
        <is>
          <t>Kabel NYY 4 x 2,5</t>
        </is>
      </c>
      <c r="C134" s="29" t="inlineStr">
        <is>
          <t>Meter</t>
        </is>
      </c>
      <c r="D134" s="26">
        <f>'Week  (2)'!U134</f>
        <v/>
      </c>
      <c r="E134" s="125" t="n"/>
      <c r="F134" s="55" t="n"/>
      <c r="G134" s="52" t="n"/>
      <c r="H134" s="55" t="n"/>
      <c r="I134" s="71" t="n"/>
      <c r="J134" s="55" t="n"/>
      <c r="K134" s="18" t="n"/>
      <c r="L134" s="73" t="n"/>
      <c r="M134" s="73" t="n"/>
      <c r="N134" s="73" t="n"/>
      <c r="O134" s="19" t="n"/>
      <c r="P134" s="18" t="n"/>
      <c r="Q134" s="18" t="n"/>
      <c r="R134" s="73" t="n"/>
      <c r="S134" s="18" t="n"/>
      <c r="T134" s="18" t="n"/>
      <c r="U134" s="26">
        <f>D134+F134+-(H134+J134+L134+N134+P134+R134+T134)</f>
        <v/>
      </c>
      <c r="V134" t="inlineStr">
        <is>
          <t>ELECTRICAL</t>
        </is>
      </c>
    </row>
    <row r="135" ht="24" customHeight="1">
      <c r="A135" s="22">
        <f>A134+1</f>
        <v/>
      </c>
      <c r="B135" s="79" t="inlineStr">
        <is>
          <t>Kabel NYYHY 4 x 2,5</t>
        </is>
      </c>
      <c r="C135" s="29" t="inlineStr">
        <is>
          <t>Meter</t>
        </is>
      </c>
      <c r="D135" s="26">
        <f>'Week  (2)'!U135</f>
        <v/>
      </c>
      <c r="E135" s="124" t="n"/>
      <c r="F135" s="62" t="n"/>
      <c r="G135" s="25" t="n"/>
      <c r="H135" s="56" t="n"/>
      <c r="I135" s="19" t="n"/>
      <c r="J135" s="64" t="n"/>
      <c r="K135" s="18" t="n"/>
      <c r="L135" s="73" t="n"/>
      <c r="M135" s="73" t="n"/>
      <c r="N135" s="73" t="n"/>
      <c r="O135" s="19" t="n"/>
      <c r="P135" s="18" t="n"/>
      <c r="Q135" s="18" t="n"/>
      <c r="R135" s="73" t="n"/>
      <c r="S135" s="18" t="n"/>
      <c r="T135" s="18" t="n"/>
      <c r="U135" s="26">
        <f>D135+F135+-(H135+J135+L135+N135+P135+R135+T135)</f>
        <v/>
      </c>
      <c r="V135" t="inlineStr">
        <is>
          <t>ELECTRICAL</t>
        </is>
      </c>
    </row>
    <row r="136" ht="24" customHeight="1">
      <c r="A136" s="22">
        <f>A135+1</f>
        <v/>
      </c>
      <c r="B136" s="79" t="inlineStr">
        <is>
          <t>Kabel NYY 3 x 2,5</t>
        </is>
      </c>
      <c r="C136" s="29" t="inlineStr">
        <is>
          <t>Meter</t>
        </is>
      </c>
      <c r="D136" s="26">
        <f>'Week  (2)'!U136</f>
        <v/>
      </c>
      <c r="E136" s="125" t="n"/>
      <c r="F136" s="55" t="n"/>
      <c r="G136" s="52" t="n"/>
      <c r="H136" s="55" t="n"/>
      <c r="I136" s="71" t="n"/>
      <c r="J136" s="55" t="n"/>
      <c r="K136" s="18" t="n"/>
      <c r="L136" s="73" t="n"/>
      <c r="M136" s="73" t="n"/>
      <c r="N136" s="73" t="n"/>
      <c r="O136" s="19" t="n"/>
      <c r="P136" s="18" t="n"/>
      <c r="Q136" s="18" t="n"/>
      <c r="R136" s="73" t="n"/>
      <c r="S136" s="18" t="n"/>
      <c r="T136" s="18" t="n"/>
      <c r="U136" s="26">
        <f>D136+F136+-(H136+J136+L136+N136+P136+R136+T136)</f>
        <v/>
      </c>
      <c r="V136" t="inlineStr">
        <is>
          <t>ELECTRICAL</t>
        </is>
      </c>
    </row>
    <row r="137" ht="24" customHeight="1">
      <c r="A137" s="22">
        <f>A136+1</f>
        <v/>
      </c>
      <c r="B137" s="79" t="inlineStr">
        <is>
          <t>Kabel NYM 3 x 2,5</t>
        </is>
      </c>
      <c r="C137" s="29" t="inlineStr">
        <is>
          <t>Meter</t>
        </is>
      </c>
      <c r="D137" s="26">
        <f>'Week  (2)'!U137</f>
        <v/>
      </c>
      <c r="E137" s="124" t="n"/>
      <c r="F137" s="62" t="n"/>
      <c r="G137" s="25" t="n"/>
      <c r="H137" s="56" t="n"/>
      <c r="I137" s="25" t="n"/>
      <c r="J137" s="56" t="n"/>
      <c r="K137" s="25" t="n"/>
      <c r="L137" s="73" t="n"/>
      <c r="M137" s="73" t="n"/>
      <c r="N137" s="73" t="n"/>
      <c r="O137" s="19" t="n"/>
      <c r="P137" s="18" t="n"/>
      <c r="Q137" s="18" t="n"/>
      <c r="R137" s="73" t="n"/>
      <c r="S137" s="18" t="n"/>
      <c r="T137" s="18" t="n"/>
      <c r="U137" s="26">
        <f>D137+F137+-(H137+J137+L137+N137+P137+R137+T137)</f>
        <v/>
      </c>
      <c r="V137" t="inlineStr">
        <is>
          <t>ELECTRICAL</t>
        </is>
      </c>
    </row>
    <row r="138" ht="24" customHeight="1">
      <c r="A138" s="22">
        <f>A137+1</f>
        <v/>
      </c>
      <c r="B138" s="79" t="inlineStr">
        <is>
          <t>Kabel NYM 3 x 1,5</t>
        </is>
      </c>
      <c r="C138" s="29" t="inlineStr">
        <is>
          <t>Meter</t>
        </is>
      </c>
      <c r="D138" s="26">
        <f>'Week  (2)'!U138</f>
        <v/>
      </c>
      <c r="E138" s="124" t="n"/>
      <c r="F138" s="62" t="n"/>
      <c r="G138" s="25" t="n"/>
      <c r="H138" s="56" t="n"/>
      <c r="I138" s="25" t="n"/>
      <c r="J138" s="56" t="n"/>
      <c r="K138" s="19" t="n"/>
      <c r="L138" s="73" t="n"/>
      <c r="M138" s="73" t="n"/>
      <c r="N138" s="73" t="n"/>
      <c r="O138" s="19" t="n"/>
      <c r="P138" s="18" t="n"/>
      <c r="Q138" s="18" t="n"/>
      <c r="R138" s="73" t="n"/>
      <c r="S138" s="18" t="n"/>
      <c r="T138" s="18" t="n"/>
      <c r="U138" s="26">
        <f>D138+F138+-(H138+J138+L138+N138+P138+R138+T138)</f>
        <v/>
      </c>
      <c r="V138" t="inlineStr">
        <is>
          <t>ELECTRICAL</t>
        </is>
      </c>
    </row>
    <row r="139" ht="24" customHeight="1">
      <c r="A139" s="22">
        <f>A138+1</f>
        <v/>
      </c>
      <c r="B139" s="79" t="inlineStr">
        <is>
          <t>Kawat Seling Calfit</t>
        </is>
      </c>
      <c r="C139" s="29" t="inlineStr">
        <is>
          <t>M</t>
        </is>
      </c>
      <c r="D139" s="26">
        <f>'Week  (2)'!U139</f>
        <v/>
      </c>
      <c r="E139" s="125" t="n"/>
      <c r="F139" s="55" t="n"/>
      <c r="G139" s="52" t="n"/>
      <c r="H139" s="55" t="n"/>
      <c r="I139" s="71" t="n"/>
      <c r="J139" s="55" t="n"/>
      <c r="K139" s="18" t="n"/>
      <c r="L139" s="73" t="n"/>
      <c r="M139" s="73" t="n"/>
      <c r="N139" s="73" t="n"/>
      <c r="O139" s="19" t="n"/>
      <c r="P139" s="18" t="n"/>
      <c r="Q139" s="18" t="n"/>
      <c r="R139" s="73" t="n"/>
      <c r="S139" s="18" t="n"/>
      <c r="T139" s="18" t="n"/>
      <c r="U139" s="26">
        <f>D139+F139+-(H139+J139+L139+N139+P139+R139+T139)</f>
        <v/>
      </c>
      <c r="V139" t="inlineStr">
        <is>
          <t>CONSUMABLE</t>
        </is>
      </c>
    </row>
    <row r="140" ht="27" customHeight="1">
      <c r="A140" s="22">
        <f>A139+1</f>
        <v/>
      </c>
      <c r="B140" s="122" t="inlineStr">
        <is>
          <t>Kayu 3 x 20 x 4</t>
        </is>
      </c>
      <c r="C140" s="123" t="inlineStr">
        <is>
          <t>Batang</t>
        </is>
      </c>
      <c r="D140" s="26">
        <f>'Week  (2)'!U140</f>
        <v/>
      </c>
      <c r="E140" s="124" t="n"/>
      <c r="F140" s="62" t="n"/>
      <c r="G140" s="25" t="n"/>
      <c r="H140" s="56" t="n"/>
      <c r="I140" s="19" t="n"/>
      <c r="J140" s="64" t="n"/>
      <c r="K140" s="18" t="n"/>
      <c r="L140" s="73" t="n"/>
      <c r="M140" s="73" t="n"/>
      <c r="N140" s="73" t="n"/>
      <c r="O140" s="19" t="n"/>
      <c r="P140" s="18" t="n"/>
      <c r="Q140" s="18" t="n"/>
      <c r="R140" s="73" t="n"/>
      <c r="S140" s="18" t="n"/>
      <c r="T140" s="18" t="n"/>
      <c r="U140" s="26">
        <f>D140+F140+-(H140+J140+L140+N140+P140+R140+T140)</f>
        <v/>
      </c>
      <c r="V140" t="inlineStr">
        <is>
          <t>CIVIL</t>
        </is>
      </c>
    </row>
    <row r="141" ht="25.5" customHeight="1">
      <c r="A141" s="22">
        <f>A140+1</f>
        <v/>
      </c>
      <c r="B141" s="122" t="inlineStr">
        <is>
          <t>Kayu 6 x 12 x 4</t>
        </is>
      </c>
      <c r="C141" s="123" t="inlineStr">
        <is>
          <t>Batang</t>
        </is>
      </c>
      <c r="D141" s="26">
        <f>'Week  (2)'!U141</f>
        <v/>
      </c>
      <c r="E141" s="125" t="n"/>
      <c r="F141" s="55" t="n"/>
      <c r="G141" s="52" t="n"/>
      <c r="H141" s="55" t="n"/>
      <c r="I141" s="71" t="n"/>
      <c r="J141" s="55" t="n"/>
      <c r="K141" s="18" t="n"/>
      <c r="L141" s="73" t="n"/>
      <c r="M141" s="73" t="n"/>
      <c r="N141" s="73" t="n"/>
      <c r="O141" s="19" t="n"/>
      <c r="P141" s="18" t="n"/>
      <c r="Q141" s="18" t="n"/>
      <c r="R141" s="73" t="n"/>
      <c r="S141" s="18" t="n"/>
      <c r="T141" s="18" t="n"/>
      <c r="U141" s="26">
        <f>D141+F141+-(H141+J141+L141+N141+P141+R141+T141)</f>
        <v/>
      </c>
      <c r="V141" t="inlineStr">
        <is>
          <t>CIVIL</t>
        </is>
      </c>
    </row>
    <row r="142" ht="27" customHeight="1">
      <c r="A142" s="22">
        <f>A141+1</f>
        <v/>
      </c>
      <c r="B142" s="122" t="inlineStr">
        <is>
          <t>Kayu 6 x 15 x 4</t>
        </is>
      </c>
      <c r="C142" s="123" t="inlineStr">
        <is>
          <t>Batang</t>
        </is>
      </c>
      <c r="D142" s="26">
        <f>'Week  (2)'!U142</f>
        <v/>
      </c>
      <c r="E142" s="124" t="n"/>
      <c r="F142" s="62" t="n"/>
      <c r="G142" s="25" t="n"/>
      <c r="H142" s="56" t="n"/>
      <c r="I142" s="19" t="n"/>
      <c r="J142" s="64" t="n"/>
      <c r="K142" s="18" t="n"/>
      <c r="L142" s="73" t="n"/>
      <c r="M142" s="73" t="n"/>
      <c r="N142" s="73" t="n"/>
      <c r="O142" s="19" t="n"/>
      <c r="P142" s="18" t="n"/>
      <c r="Q142" s="18" t="n"/>
      <c r="R142" s="73" t="n"/>
      <c r="S142" s="18" t="n"/>
      <c r="T142" s="18" t="n"/>
      <c r="U142" s="26">
        <f>D142+F142+-(H142+J142+L142+N142+P142+R142+T142)</f>
        <v/>
      </c>
      <c r="V142" t="inlineStr">
        <is>
          <t>CIVIL</t>
        </is>
      </c>
    </row>
    <row r="143" ht="13.5" customHeight="1">
      <c r="A143" s="22">
        <f>A142+1</f>
        <v/>
      </c>
      <c r="B143" s="122" t="inlineStr">
        <is>
          <t>Kayu 8 x 12 x 4</t>
        </is>
      </c>
      <c r="C143" s="123" t="inlineStr">
        <is>
          <t>Batang</t>
        </is>
      </c>
      <c r="D143" s="26">
        <f>'Week  (2)'!U143</f>
        <v/>
      </c>
      <c r="E143" s="125" t="n"/>
      <c r="F143" s="55" t="n"/>
      <c r="G143" s="52" t="n"/>
      <c r="H143" s="55" t="n"/>
      <c r="I143" s="71" t="n"/>
      <c r="J143" s="55" t="n"/>
      <c r="K143" s="18" t="n"/>
      <c r="L143" s="73" t="n"/>
      <c r="M143" s="73" t="n"/>
      <c r="N143" s="73" t="n"/>
      <c r="O143" s="19" t="n"/>
      <c r="P143" s="18" t="n"/>
      <c r="Q143" s="18" t="n"/>
      <c r="R143" s="73" t="n"/>
      <c r="S143" s="18" t="n"/>
      <c r="T143" s="18" t="n"/>
      <c r="U143" s="26">
        <f>D143+F143+-(H143+J143+L143+N143+P143+R143+T143)</f>
        <v/>
      </c>
      <c r="V143" t="inlineStr">
        <is>
          <t>CIVIL</t>
        </is>
      </c>
    </row>
    <row r="144" ht="27.75" customHeight="1">
      <c r="A144" s="22">
        <f>A143+1</f>
        <v/>
      </c>
      <c r="B144" s="79" t="inlineStr">
        <is>
          <t>Klem Selang LPG</t>
        </is>
      </c>
      <c r="C144" s="40" t="inlineStr">
        <is>
          <t>Pcs</t>
        </is>
      </c>
      <c r="D144" s="26">
        <f>'Week  (2)'!U144</f>
        <v/>
      </c>
      <c r="E144" s="124" t="n"/>
      <c r="F144" s="62" t="n"/>
      <c r="G144" s="25" t="n"/>
      <c r="H144" s="56" t="n"/>
      <c r="I144" s="19" t="n"/>
      <c r="J144" s="64" t="n"/>
      <c r="K144" s="18" t="n"/>
      <c r="L144" s="73" t="n"/>
      <c r="M144" s="73" t="n"/>
      <c r="N144" s="73" t="n"/>
      <c r="O144" s="19" t="n"/>
      <c r="P144" s="18" t="n"/>
      <c r="Q144" s="18" t="n"/>
      <c r="R144" s="73" t="n"/>
      <c r="S144" s="18" t="n"/>
      <c r="T144" s="18" t="n"/>
      <c r="U144" s="26">
        <f>D144+F144+-(H144+J144+L144+N144+P144+R144+T144)</f>
        <v/>
      </c>
      <c r="V144" t="inlineStr">
        <is>
          <t>CONSUMABLE</t>
        </is>
      </c>
    </row>
    <row r="145" ht="26.25" customHeight="1">
      <c r="A145" s="22">
        <f>A144+1</f>
        <v/>
      </c>
      <c r="B145" s="79" t="inlineStr">
        <is>
          <t>Klem Seling Calfit</t>
        </is>
      </c>
      <c r="C145" s="29" t="inlineStr">
        <is>
          <t>Pcs</t>
        </is>
      </c>
      <c r="D145" s="26">
        <f>'Week  (2)'!U145</f>
        <v/>
      </c>
      <c r="E145" s="125" t="n"/>
      <c r="F145" s="55" t="n"/>
      <c r="G145" s="52" t="n"/>
      <c r="H145" s="55" t="n"/>
      <c r="I145" s="71" t="n"/>
      <c r="J145" s="55" t="n"/>
      <c r="K145" s="18" t="n"/>
      <c r="L145" s="73" t="n"/>
      <c r="M145" s="73" t="n"/>
      <c r="N145" s="73" t="n"/>
      <c r="O145" s="19" t="n"/>
      <c r="P145" s="18" t="n"/>
      <c r="Q145" s="18" t="n"/>
      <c r="R145" s="73" t="n"/>
      <c r="S145" s="18" t="n"/>
      <c r="T145" s="18" t="n"/>
      <c r="U145" s="26">
        <f>D145+F145+-(H145+J145+L145+N145+P145+R145+T145)</f>
        <v/>
      </c>
      <c r="V145" t="inlineStr">
        <is>
          <t>CONSUMABLE</t>
        </is>
      </c>
    </row>
    <row r="146" ht="26.25" customHeight="1">
      <c r="A146" s="22">
        <f>A145+1</f>
        <v/>
      </c>
      <c r="B146" s="27" t="inlineStr">
        <is>
          <t>Kuas 3"</t>
        </is>
      </c>
      <c r="C146" s="123" t="inlineStr">
        <is>
          <t>PCS</t>
        </is>
      </c>
      <c r="D146" s="26">
        <f>'Week  (2)'!U146</f>
        <v/>
      </c>
      <c r="E146" s="124" t="n"/>
      <c r="F146" s="62" t="n"/>
      <c r="G146" s="25" t="n"/>
      <c r="H146" s="56" t="n"/>
      <c r="I146" s="19" t="n"/>
      <c r="J146" s="64" t="n"/>
      <c r="K146" s="18" t="n"/>
      <c r="L146" s="73" t="n"/>
      <c r="M146" s="73" t="n"/>
      <c r="N146" s="73" t="n"/>
      <c r="O146" s="19" t="n"/>
      <c r="P146" s="18" t="n"/>
      <c r="Q146" s="18" t="n"/>
      <c r="R146" s="73" t="n"/>
      <c r="S146" s="18" t="n"/>
      <c r="T146" s="18" t="n"/>
      <c r="U146" s="26">
        <f>D146+F146+-(H146+J146+L146+N146+P146+R146+T146)</f>
        <v/>
      </c>
      <c r="V146" t="inlineStr">
        <is>
          <t>CONSUMABLE</t>
        </is>
      </c>
    </row>
    <row r="147" ht="15" customHeight="1">
      <c r="A147" s="22">
        <f>A146+1</f>
        <v/>
      </c>
      <c r="B147" s="27" t="inlineStr">
        <is>
          <t>Kuas 2"</t>
        </is>
      </c>
      <c r="C147" s="123" t="inlineStr">
        <is>
          <t>PCS</t>
        </is>
      </c>
      <c r="D147" s="26">
        <f>'Week  (2)'!U147</f>
        <v/>
      </c>
      <c r="E147" s="124" t="n"/>
      <c r="F147" s="55" t="n"/>
      <c r="G147" s="52" t="n"/>
      <c r="H147" s="55" t="n"/>
      <c r="I147" s="19" t="n"/>
      <c r="J147" s="55" t="n"/>
      <c r="K147" s="18" t="n"/>
      <c r="L147" s="73" t="n"/>
      <c r="M147" s="73" t="n"/>
      <c r="N147" s="73" t="n"/>
      <c r="O147" s="19" t="n"/>
      <c r="P147" s="18" t="n"/>
      <c r="Q147" s="18" t="n"/>
      <c r="R147" s="73" t="n"/>
      <c r="S147" s="18" t="n"/>
      <c r="T147" s="18" t="n"/>
      <c r="U147" s="26">
        <f>D147+F147+-(H147+J147+L147+N147+P147+R147+T147)</f>
        <v/>
      </c>
      <c r="V147" t="inlineStr">
        <is>
          <t>CONSUMABLE</t>
        </is>
      </c>
    </row>
    <row r="148" ht="15" customHeight="1">
      <c r="A148" s="22">
        <f>A147+1</f>
        <v/>
      </c>
      <c r="B148" s="78" t="inlineStr">
        <is>
          <t xml:space="preserve">Pipa AC Inverter 1 PK </t>
        </is>
      </c>
      <c r="C148" s="123" t="inlineStr">
        <is>
          <t>PCS</t>
        </is>
      </c>
      <c r="D148" s="26">
        <f>'Week  (2)'!U148</f>
        <v/>
      </c>
      <c r="E148" s="124" t="n"/>
      <c r="F148" s="55" t="n"/>
      <c r="G148" s="52" t="n"/>
      <c r="H148" s="55" t="n"/>
      <c r="I148" s="52" t="n"/>
      <c r="J148" s="55" t="n"/>
      <c r="K148" s="52" t="n"/>
      <c r="L148" s="55" t="n"/>
      <c r="M148" s="73" t="n"/>
      <c r="N148" s="73" t="n"/>
      <c r="O148" s="19" t="n"/>
      <c r="P148" s="18" t="n"/>
      <c r="Q148" s="19" t="n"/>
      <c r="R148" s="18" t="n"/>
      <c r="S148" s="18" t="n"/>
      <c r="T148" s="18" t="n"/>
      <c r="U148" s="26">
        <f>D148+F148+-(H148+J148+L148+N148+P148+R148+T148)</f>
        <v/>
      </c>
      <c r="V148" t="inlineStr">
        <is>
          <t>AC</t>
        </is>
      </c>
    </row>
    <row r="149" ht="15" customHeight="1">
      <c r="A149" s="22">
        <f>A148+1</f>
        <v/>
      </c>
      <c r="B149" s="78" t="inlineStr">
        <is>
          <t xml:space="preserve">Pipa AC Inverter 1,5 PK </t>
        </is>
      </c>
      <c r="C149" s="123" t="inlineStr">
        <is>
          <t>PCS</t>
        </is>
      </c>
      <c r="D149" s="26">
        <f>'Week  (2)'!U149</f>
        <v/>
      </c>
      <c r="E149" s="124" t="n"/>
      <c r="F149" s="55" t="n"/>
      <c r="G149" s="52" t="n"/>
      <c r="H149" s="55" t="n"/>
      <c r="I149" s="71" t="n"/>
      <c r="J149" s="55" t="n"/>
      <c r="K149" s="52" t="n"/>
      <c r="L149" s="55" t="n"/>
      <c r="M149" s="73" t="n"/>
      <c r="N149" s="73" t="n"/>
      <c r="O149" s="19" t="n"/>
      <c r="P149" s="18" t="n"/>
      <c r="Q149" s="18" t="n"/>
      <c r="R149" s="73" t="n"/>
      <c r="S149" s="18" t="n"/>
      <c r="T149" s="18" t="n"/>
      <c r="U149" s="26">
        <f>D149+F149+-(H149+J149+L149+N149+P149+R149+T149)</f>
        <v/>
      </c>
      <c r="V149" t="inlineStr">
        <is>
          <t>AC</t>
        </is>
      </c>
    </row>
    <row r="150" ht="27" customHeight="1">
      <c r="A150" s="22">
        <f>A149+1</f>
        <v/>
      </c>
      <c r="B150" s="79" t="inlineStr">
        <is>
          <t>LAMPU LED PHILIPS 6 WATT KUNING</t>
        </is>
      </c>
      <c r="C150" s="123" t="inlineStr">
        <is>
          <t>PCS</t>
        </is>
      </c>
      <c r="D150" s="26">
        <f>'Week  (2)'!U150</f>
        <v/>
      </c>
      <c r="E150" s="124" t="n"/>
      <c r="F150" s="62" t="n"/>
      <c r="G150" s="25" t="n"/>
      <c r="H150" s="56" t="n"/>
      <c r="I150" s="19" t="n"/>
      <c r="J150" s="64" t="n"/>
      <c r="K150" s="18" t="n"/>
      <c r="L150" s="73" t="n"/>
      <c r="M150" s="73" t="n"/>
      <c r="N150" s="73" t="n"/>
      <c r="O150" s="19" t="n"/>
      <c r="P150" s="18" t="n"/>
      <c r="Q150" s="18" t="n"/>
      <c r="R150" s="73" t="n"/>
      <c r="S150" s="18" t="n"/>
      <c r="T150" s="18" t="n"/>
      <c r="U150" s="26">
        <f>D150+F150+-(H150+J150+L150+N150+P150+R150+T150)</f>
        <v/>
      </c>
      <c r="V150" t="inlineStr">
        <is>
          <t>LAMP</t>
        </is>
      </c>
    </row>
    <row r="151" ht="15" customHeight="1">
      <c r="A151" s="22">
        <f>A150+1</f>
        <v/>
      </c>
      <c r="B151" s="44" t="inlineStr">
        <is>
          <t>Lampu HPLN Philips 250  Watt</t>
        </is>
      </c>
      <c r="C151" s="123" t="inlineStr">
        <is>
          <t>PCS</t>
        </is>
      </c>
      <c r="D151" s="26">
        <f>'Week  (2)'!U151</f>
        <v/>
      </c>
      <c r="E151" s="125" t="n"/>
      <c r="F151" s="55" t="n"/>
      <c r="G151" s="52" t="n"/>
      <c r="H151" s="55" t="n"/>
      <c r="I151" s="71" t="n"/>
      <c r="J151" s="55" t="n"/>
      <c r="K151" s="18" t="n"/>
      <c r="L151" s="73" t="n"/>
      <c r="M151" s="73" t="n"/>
      <c r="N151" s="73" t="n"/>
      <c r="O151" s="19" t="n"/>
      <c r="P151" s="18" t="n"/>
      <c r="Q151" s="18" t="n"/>
      <c r="R151" s="73" t="n"/>
      <c r="S151" s="18" t="n"/>
      <c r="T151" s="18" t="n"/>
      <c r="U151" s="26">
        <f>D151+F151+-(H151+J151+L151+N151+P151+R151+T151)</f>
        <v/>
      </c>
      <c r="V151" t="inlineStr">
        <is>
          <t>LAMP</t>
        </is>
      </c>
    </row>
    <row r="152" ht="25.5" customHeight="1">
      <c r="A152" s="22">
        <f>A151+1</f>
        <v/>
      </c>
      <c r="B152" s="44" t="inlineStr">
        <is>
          <t>LED  DRIVER POWER 56 WATT 50/60 HZ</t>
        </is>
      </c>
      <c r="C152" s="123" t="inlineStr">
        <is>
          <t>PCS</t>
        </is>
      </c>
      <c r="D152" s="26">
        <f>'Week  (2)'!U152</f>
        <v/>
      </c>
      <c r="E152" s="124" t="n"/>
      <c r="F152" s="62" t="n"/>
      <c r="G152" s="25" t="n"/>
      <c r="H152" s="56" t="n"/>
      <c r="I152" s="19" t="n"/>
      <c r="J152" s="64" t="n"/>
      <c r="K152" s="18" t="n"/>
      <c r="L152" s="73" t="n"/>
      <c r="M152" s="73" t="n"/>
      <c r="N152" s="73" t="n"/>
      <c r="O152" s="19" t="n"/>
      <c r="P152" s="18" t="n"/>
      <c r="Q152" s="18" t="n"/>
      <c r="R152" s="73" t="n"/>
      <c r="S152" s="18" t="n"/>
      <c r="T152" s="18" t="n"/>
      <c r="U152" s="26">
        <f>D152+F152+-(H152+J152+L152+N152+P152+R152+T152)</f>
        <v/>
      </c>
      <c r="V152" t="inlineStr">
        <is>
          <t>LAMP</t>
        </is>
      </c>
    </row>
    <row r="153" ht="14.25" customHeight="1">
      <c r="A153" s="22">
        <f>A152+1</f>
        <v/>
      </c>
      <c r="B153" s="79" t="inlineStr">
        <is>
          <t xml:space="preserve">LAMPU LED PHILIPS 10 WATT </t>
        </is>
      </c>
      <c r="C153" s="29" t="inlineStr">
        <is>
          <t>Pcs</t>
        </is>
      </c>
      <c r="D153" s="26">
        <f>'Week  (2)'!U153</f>
        <v/>
      </c>
      <c r="E153" s="125" t="n"/>
      <c r="F153" s="55" t="n"/>
      <c r="G153" s="72" t="n"/>
      <c r="H153" s="55" t="n"/>
      <c r="I153" s="71" t="n"/>
      <c r="J153" s="55" t="n"/>
      <c r="K153" s="18" t="n"/>
      <c r="L153" s="73" t="n"/>
      <c r="M153" s="73" t="n"/>
      <c r="N153" s="73" t="n"/>
      <c r="O153" s="19" t="n"/>
      <c r="P153" s="18" t="n"/>
      <c r="Q153" s="19" t="n"/>
      <c r="R153" s="73" t="n"/>
      <c r="S153" s="18" t="n"/>
      <c r="T153" s="18" t="n"/>
      <c r="U153" s="26">
        <f>D153+F153+-(H153+J153+L153+N153+P153+R153+T153)</f>
        <v/>
      </c>
      <c r="V153" t="inlineStr">
        <is>
          <t>LAMP</t>
        </is>
      </c>
    </row>
    <row r="154" ht="14.25" customHeight="1">
      <c r="A154" s="22">
        <f>A153+1</f>
        <v/>
      </c>
      <c r="B154" s="79" t="inlineStr">
        <is>
          <t xml:space="preserve">LAMPU LED PHILIPS  8 WATT </t>
        </is>
      </c>
      <c r="C154" s="29" t="inlineStr">
        <is>
          <t>Pcs</t>
        </is>
      </c>
      <c r="D154" s="26">
        <f>'Week  (2)'!U154</f>
        <v/>
      </c>
      <c r="E154" s="124" t="n"/>
      <c r="F154" s="62" t="n"/>
      <c r="G154" s="25" t="n"/>
      <c r="H154" s="56" t="n"/>
      <c r="I154" s="19" t="n"/>
      <c r="J154" s="64" t="n"/>
      <c r="K154" s="18" t="n"/>
      <c r="L154" s="73" t="n"/>
      <c r="M154" s="73" t="n"/>
      <c r="N154" s="73" t="n"/>
      <c r="O154" s="19" t="n"/>
      <c r="P154" s="18" t="n"/>
      <c r="Q154" s="18" t="n"/>
      <c r="R154" s="73" t="n"/>
      <c r="S154" s="18" t="n"/>
      <c r="T154" s="18" t="n"/>
      <c r="U154" s="26">
        <f>D154+F154+-(H154+J154+L154+N154+P154+R154+T154)</f>
        <v/>
      </c>
      <c r="V154" t="inlineStr">
        <is>
          <t>LAMP</t>
        </is>
      </c>
    </row>
    <row r="155" ht="14.25" customHeight="1">
      <c r="A155" s="22">
        <f>A154+1</f>
        <v/>
      </c>
      <c r="B155" s="79" t="inlineStr">
        <is>
          <t>LAMPU LED PHILIPS 14,5 WATT</t>
        </is>
      </c>
      <c r="C155" s="29" t="inlineStr">
        <is>
          <t>Pcs</t>
        </is>
      </c>
      <c r="D155" s="26">
        <f>'Week  (2)'!U155</f>
        <v/>
      </c>
      <c r="E155" s="125" t="n"/>
      <c r="F155" s="55" t="n"/>
      <c r="G155" s="52" t="n"/>
      <c r="H155" s="55" t="n"/>
      <c r="I155" s="71" t="n"/>
      <c r="J155" s="55" t="n"/>
      <c r="K155" s="71" t="n"/>
      <c r="L155" s="55" t="n"/>
      <c r="M155" s="73" t="n"/>
      <c r="N155" s="73" t="n"/>
      <c r="O155" s="19" t="n"/>
      <c r="P155" s="18" t="n"/>
      <c r="Q155" s="19" t="n"/>
      <c r="R155" s="73" t="n"/>
      <c r="S155" s="18" t="n"/>
      <c r="T155" s="18" t="n"/>
      <c r="U155" s="26">
        <f>D155+F155+-(H155+J155+L155+N155+P155+R155+T155)</f>
        <v/>
      </c>
      <c r="V155" t="inlineStr">
        <is>
          <t>LAMP</t>
        </is>
      </c>
    </row>
    <row r="156" ht="51" customHeight="1">
      <c r="A156" s="22">
        <f>A155+1</f>
        <v/>
      </c>
      <c r="B156" s="79" t="inlineStr">
        <is>
          <t>LAMPU LED PHILIPS 6 WATT</t>
        </is>
      </c>
      <c r="C156" s="29" t="inlineStr">
        <is>
          <t>Pcs</t>
        </is>
      </c>
      <c r="D156" s="26">
        <f>'Week  (2)'!U156</f>
        <v/>
      </c>
      <c r="E156" s="129" t="n"/>
      <c r="F156" s="62" t="n"/>
      <c r="G156" s="68" t="n"/>
      <c r="H156" s="56" t="n"/>
      <c r="I156" s="19" t="inlineStr">
        <is>
          <t>Sulawesi 6=1, Bali 2=1, Sulawesi 10=1, Bali 20=1</t>
        </is>
      </c>
      <c r="J156" s="64">
        <f>1+1+1+1</f>
        <v/>
      </c>
      <c r="K156" s="73" t="inlineStr">
        <is>
          <t>Jawa 1</t>
        </is>
      </c>
      <c r="L156" s="73" t="n">
        <v>2</v>
      </c>
      <c r="M156" s="73" t="inlineStr">
        <is>
          <t>Sumatera 1=1, Lombok 20=1</t>
        </is>
      </c>
      <c r="N156" s="73">
        <f>1+1</f>
        <v/>
      </c>
      <c r="O156" s="19" t="n"/>
      <c r="P156" s="18" t="n"/>
      <c r="Q156" s="19" t="n"/>
      <c r="R156" s="73" t="n"/>
      <c r="S156" s="19" t="n"/>
      <c r="T156" s="18" t="n"/>
      <c r="U156" s="26">
        <f>D156+F156+-(H156+J156+L156+N156+P156+R156+T156)</f>
        <v/>
      </c>
      <c r="V156" t="inlineStr">
        <is>
          <t>LAMP</t>
        </is>
      </c>
    </row>
    <row r="157" ht="25.5" customHeight="1">
      <c r="A157" s="22">
        <f>A156+1</f>
        <v/>
      </c>
      <c r="B157" s="44" t="inlineStr">
        <is>
          <t>Lampu REFLEKTOR TOKI RF220V 500W</t>
        </is>
      </c>
      <c r="C157" s="123" t="inlineStr">
        <is>
          <t>PCS</t>
        </is>
      </c>
      <c r="D157" s="26">
        <f>'Week  (2)'!U157</f>
        <v/>
      </c>
      <c r="E157" s="125" t="n"/>
      <c r="F157" s="55" t="n"/>
      <c r="G157" s="52" t="n"/>
      <c r="H157" s="55" t="n"/>
      <c r="I157" s="71" t="n"/>
      <c r="J157" s="55" t="n"/>
      <c r="K157" s="18" t="n"/>
      <c r="L157" s="73" t="n"/>
      <c r="M157" s="73" t="n"/>
      <c r="N157" s="73" t="n"/>
      <c r="O157" s="19" t="n"/>
      <c r="P157" s="18" t="n"/>
      <c r="Q157" s="18" t="n"/>
      <c r="R157" s="73" t="n"/>
      <c r="S157" s="18" t="n"/>
      <c r="T157" s="18" t="n"/>
      <c r="U157" s="26">
        <f>D157+F157+-(H157+J157+L157+N157+P157+R157+T157)</f>
        <v/>
      </c>
      <c r="V157" t="inlineStr">
        <is>
          <t>LAMP</t>
        </is>
      </c>
    </row>
    <row r="158" ht="15" customHeight="1">
      <c r="A158" s="22">
        <f>A157+1</f>
        <v/>
      </c>
      <c r="B158" s="122" t="inlineStr">
        <is>
          <t>Lem Fox</t>
        </is>
      </c>
      <c r="C158" s="123" t="inlineStr">
        <is>
          <t>Pcs</t>
        </is>
      </c>
      <c r="D158" s="26">
        <f>'Week  (2)'!U158</f>
        <v/>
      </c>
      <c r="E158" s="124" t="n"/>
      <c r="F158" s="62" t="n"/>
      <c r="G158" s="25" t="n"/>
      <c r="H158" s="56" t="n"/>
      <c r="I158" s="19" t="n"/>
      <c r="J158" s="64" t="n"/>
      <c r="K158" s="73" t="n"/>
      <c r="L158" s="73" t="n"/>
      <c r="M158" s="73" t="n"/>
      <c r="N158" s="73" t="n"/>
      <c r="O158" s="19" t="n"/>
      <c r="P158" s="18" t="n"/>
      <c r="Q158" s="18" t="n"/>
      <c r="R158" s="73" t="n"/>
      <c r="S158" s="18" t="n"/>
      <c r="T158" s="18" t="n"/>
      <c r="U158" s="26">
        <f>D158+F158+-(H158+J158+L158+N158+P158+R158+T158)</f>
        <v/>
      </c>
      <c r="V158" t="inlineStr">
        <is>
          <t>CIVIL</t>
        </is>
      </c>
    </row>
    <row r="159" ht="15" customHeight="1">
      <c r="A159" s="22">
        <f>A158+1</f>
        <v/>
      </c>
      <c r="B159" s="122" t="inlineStr">
        <is>
          <t>Level Switch, RADAR</t>
        </is>
      </c>
      <c r="C159" s="123" t="inlineStr">
        <is>
          <t>PCS</t>
        </is>
      </c>
      <c r="D159" s="26">
        <f>'Week  (2)'!U159</f>
        <v/>
      </c>
      <c r="E159" s="125" t="n"/>
      <c r="F159" s="55" t="n"/>
      <c r="G159" s="52" t="n"/>
      <c r="H159" s="55" t="n"/>
      <c r="I159" s="71" t="n"/>
      <c r="J159" s="55" t="n"/>
      <c r="K159" s="18" t="n"/>
      <c r="L159" s="73" t="n"/>
      <c r="M159" s="73" t="n"/>
      <c r="N159" s="73" t="n"/>
      <c r="O159" s="19" t="n"/>
      <c r="P159" s="18" t="n"/>
      <c r="Q159" s="18" t="n"/>
      <c r="R159" s="73" t="n"/>
      <c r="S159" s="18" t="n"/>
      <c r="T159" s="18" t="n"/>
      <c r="U159" s="26">
        <f>D159+F159+-(H159+J159+L159+N159+P159+R159+T159)</f>
        <v/>
      </c>
      <c r="V159" t="inlineStr">
        <is>
          <t>SANITARY</t>
        </is>
      </c>
    </row>
    <row r="160" ht="15" customHeight="1">
      <c r="A160" s="22">
        <f>A159+1</f>
        <v/>
      </c>
      <c r="B160" s="122" t="inlineStr">
        <is>
          <t>FLOAT SWITCH</t>
        </is>
      </c>
      <c r="C160" s="123" t="inlineStr">
        <is>
          <t>PCS</t>
        </is>
      </c>
      <c r="D160" s="26">
        <f>'Week  (2)'!U160</f>
        <v/>
      </c>
      <c r="E160" s="124" t="n"/>
      <c r="F160" s="62" t="n"/>
      <c r="G160" s="25" t="n"/>
      <c r="H160" s="56" t="n"/>
      <c r="I160" s="19" t="n"/>
      <c r="J160" s="64" t="n"/>
      <c r="K160" s="18" t="n"/>
      <c r="L160" s="73" t="n"/>
      <c r="M160" s="73" t="n"/>
      <c r="N160" s="73" t="n"/>
      <c r="O160" s="19" t="n"/>
      <c r="P160" s="18" t="n"/>
      <c r="Q160" s="18" t="n"/>
      <c r="R160" s="73" t="n"/>
      <c r="S160" s="18" t="n"/>
      <c r="T160" s="18" t="n"/>
      <c r="U160" s="26">
        <f>D160+F160+-(H160+J160+L160+N160+P160+R160+T160)</f>
        <v/>
      </c>
      <c r="V160" t="inlineStr">
        <is>
          <t>SANITARY</t>
        </is>
      </c>
    </row>
    <row r="161" ht="15" customHeight="1">
      <c r="A161" s="22">
        <f>A160+1</f>
        <v/>
      </c>
      <c r="B161" s="122" t="inlineStr">
        <is>
          <t>Lock 808</t>
        </is>
      </c>
      <c r="C161" s="123" t="inlineStr">
        <is>
          <t>PCS</t>
        </is>
      </c>
      <c r="D161" s="26">
        <f>'Week  (2)'!U161</f>
        <v/>
      </c>
      <c r="E161" s="125" t="n"/>
      <c r="F161" s="55" t="n"/>
      <c r="G161" s="52" t="n"/>
      <c r="H161" s="55" t="n"/>
      <c r="I161" s="71" t="n"/>
      <c r="J161" s="55" t="n"/>
      <c r="K161" s="18" t="inlineStr">
        <is>
          <t>Madura 6</t>
        </is>
      </c>
      <c r="L161" s="73" t="n">
        <v>1</v>
      </c>
      <c r="M161" s="73" t="n"/>
      <c r="N161" s="73" t="n"/>
      <c r="O161" s="19" t="n"/>
      <c r="P161" s="18" t="n"/>
      <c r="Q161" s="18" t="n"/>
      <c r="R161" s="73" t="n"/>
      <c r="S161" s="18" t="n"/>
      <c r="T161" s="18" t="n"/>
      <c r="U161" s="26">
        <f>D161+F161+-(H161+J161+L161+N161+P161+R161+T161)</f>
        <v/>
      </c>
      <c r="V161" t="inlineStr">
        <is>
          <t>CIVIL</t>
        </is>
      </c>
    </row>
    <row r="162" ht="15" customHeight="1">
      <c r="A162" s="22">
        <f>A161+1</f>
        <v/>
      </c>
      <c r="B162" s="122" t="inlineStr">
        <is>
          <t>Pad Lock (Gembok )</t>
        </is>
      </c>
      <c r="C162" s="123" t="inlineStr">
        <is>
          <t>PCS</t>
        </is>
      </c>
      <c r="D162" s="26">
        <f>'Week  (2)'!U162</f>
        <v/>
      </c>
      <c r="E162" s="124" t="n"/>
      <c r="F162" s="62" t="n"/>
      <c r="G162" s="25" t="n"/>
      <c r="H162" s="56" t="n"/>
      <c r="I162" s="19" t="n"/>
      <c r="J162" s="64" t="n"/>
      <c r="K162" s="18" t="n"/>
      <c r="L162" s="73" t="n"/>
      <c r="M162" s="73" t="n"/>
      <c r="N162" s="73" t="n"/>
      <c r="O162" s="19" t="n"/>
      <c r="P162" s="18" t="n"/>
      <c r="Q162" s="18" t="n"/>
      <c r="R162" s="73" t="n"/>
      <c r="S162" s="18" t="n"/>
      <c r="T162" s="18" t="n"/>
      <c r="U162" s="26">
        <f>D162+F162+-(H162+J162+L162+N162+P162+R162+T162)</f>
        <v/>
      </c>
      <c r="V162" t="inlineStr">
        <is>
          <t>CIVIL</t>
        </is>
      </c>
    </row>
    <row r="163" ht="14.25" customHeight="1">
      <c r="A163" s="22">
        <f>A162+1</f>
        <v/>
      </c>
      <c r="B163" s="79" t="inlineStr">
        <is>
          <t>Magneto Stove 4 Burner</t>
        </is>
      </c>
      <c r="C163" s="29" t="inlineStr">
        <is>
          <t>Pcs</t>
        </is>
      </c>
      <c r="D163" s="26">
        <f>'Week  (2)'!U163</f>
        <v/>
      </c>
      <c r="E163" s="125" t="n"/>
      <c r="F163" s="55" t="n"/>
      <c r="G163" s="52" t="n"/>
      <c r="H163" s="55" t="n"/>
      <c r="I163" s="71" t="n"/>
      <c r="J163" s="55" t="n"/>
      <c r="K163" s="18" t="n"/>
      <c r="L163" s="73" t="n"/>
      <c r="M163" s="73" t="n"/>
      <c r="N163" s="73" t="n"/>
      <c r="O163" s="19" t="n"/>
      <c r="P163" s="18" t="n"/>
      <c r="Q163" s="18" t="n"/>
      <c r="R163" s="73" t="n"/>
      <c r="S163" s="18" t="n"/>
      <c r="T163" s="18" t="n"/>
      <c r="U163" s="26">
        <f>D163+F163+-(H163+J163+L163+N163+P163+R163+T163)</f>
        <v/>
      </c>
      <c r="V163" t="inlineStr">
        <is>
          <t>CONSUMABLE</t>
        </is>
      </c>
    </row>
    <row r="164" ht="14.25" customHeight="1">
      <c r="A164" s="22">
        <f>A163+1</f>
        <v/>
      </c>
      <c r="B164" s="79" t="inlineStr">
        <is>
          <t>Magneto Stove 6 Burner</t>
        </is>
      </c>
      <c r="C164" s="29" t="inlineStr">
        <is>
          <t>Pcs</t>
        </is>
      </c>
      <c r="D164" s="26">
        <f>'Week  (2)'!U164</f>
        <v/>
      </c>
      <c r="E164" s="124" t="n"/>
      <c r="F164" s="62" t="n"/>
      <c r="G164" s="25" t="n"/>
      <c r="H164" s="56" t="n"/>
      <c r="I164" s="19" t="n"/>
      <c r="J164" s="64" t="n"/>
      <c r="K164" s="18" t="n"/>
      <c r="L164" s="73" t="n"/>
      <c r="M164" s="73" t="n"/>
      <c r="N164" s="73" t="n"/>
      <c r="O164" s="19" t="n"/>
      <c r="P164" s="18" t="n"/>
      <c r="Q164" s="18" t="n"/>
      <c r="R164" s="73" t="n"/>
      <c r="S164" s="18" t="n"/>
      <c r="T164" s="18" t="n"/>
      <c r="U164" s="26">
        <f>D164+F164+-(H164+J164+L164+N164+P164+R164+T164)</f>
        <v/>
      </c>
      <c r="V164" t="inlineStr">
        <is>
          <t>CONSUMABLE</t>
        </is>
      </c>
    </row>
    <row r="165" ht="15" customHeight="1">
      <c r="A165" s="22">
        <f>A164+1</f>
        <v/>
      </c>
      <c r="B165" s="122" t="inlineStr">
        <is>
          <t>MCB 10 A - 1 Phase, Schneider</t>
        </is>
      </c>
      <c r="C165" s="123" t="inlineStr">
        <is>
          <t>PCS</t>
        </is>
      </c>
      <c r="D165" s="26">
        <f>'Week  (2)'!U165</f>
        <v/>
      </c>
      <c r="E165" s="125" t="n"/>
      <c r="F165" s="55" t="n"/>
      <c r="G165" s="52" t="n"/>
      <c r="H165" s="55" t="n"/>
      <c r="I165" s="71" t="n"/>
      <c r="J165" s="55" t="n"/>
      <c r="K165" s="18" t="n"/>
      <c r="L165" s="73" t="n"/>
      <c r="M165" s="73" t="n"/>
      <c r="N165" s="73" t="n"/>
      <c r="O165" s="19" t="n"/>
      <c r="P165" s="18" t="n"/>
      <c r="Q165" s="18" t="n"/>
      <c r="R165" s="73" t="n"/>
      <c r="S165" s="18" t="n"/>
      <c r="T165" s="18" t="n"/>
      <c r="U165" s="26">
        <f>D165+F165+-(H165+J165+L165+N165+P165+R165+T165)</f>
        <v/>
      </c>
      <c r="V165" t="inlineStr">
        <is>
          <t>ELECTRICAL</t>
        </is>
      </c>
    </row>
    <row r="166" ht="26.25" customHeight="1">
      <c r="A166" s="22">
        <f>A165+1</f>
        <v/>
      </c>
      <c r="B166" s="122" t="inlineStr">
        <is>
          <t>MCB 16 A - 1 Phase, Schneider</t>
        </is>
      </c>
      <c r="C166" s="123" t="inlineStr">
        <is>
          <t>PCS</t>
        </is>
      </c>
      <c r="D166" s="26">
        <f>'Week  (2)'!U166</f>
        <v/>
      </c>
      <c r="E166" s="124" t="n"/>
      <c r="F166" s="62" t="n"/>
      <c r="G166" s="25" t="n"/>
      <c r="H166" s="56" t="n"/>
      <c r="I166" s="19" t="n"/>
      <c r="J166" s="64" t="n"/>
      <c r="K166" s="18" t="n"/>
      <c r="L166" s="73" t="n"/>
      <c r="M166" s="73" t="n"/>
      <c r="N166" s="73" t="n"/>
      <c r="O166" s="19" t="n"/>
      <c r="P166" s="18" t="n"/>
      <c r="Q166" s="18" t="n"/>
      <c r="R166" s="73" t="n"/>
      <c r="S166" s="18" t="n"/>
      <c r="T166" s="18" t="n"/>
      <c r="U166" s="26">
        <f>D166+F166+-(H166+J166+L166+N166+P166+R166+T166)</f>
        <v/>
      </c>
      <c r="V166" t="inlineStr">
        <is>
          <t>ELECTRICAL</t>
        </is>
      </c>
    </row>
    <row r="167" ht="15" customHeight="1">
      <c r="A167" s="22">
        <f>A166+1</f>
        <v/>
      </c>
      <c r="B167" s="122" t="inlineStr">
        <is>
          <t>MCB 16 A - 3 phase</t>
        </is>
      </c>
      <c r="C167" s="123" t="inlineStr">
        <is>
          <t>PCS</t>
        </is>
      </c>
      <c r="D167" s="26">
        <f>'Week  (2)'!U167</f>
        <v/>
      </c>
      <c r="E167" s="125" t="n"/>
      <c r="F167" s="55" t="n"/>
      <c r="G167" s="52" t="n"/>
      <c r="H167" s="55" t="n"/>
      <c r="I167" s="71" t="n"/>
      <c r="J167" s="55" t="n"/>
      <c r="K167" s="18" t="n"/>
      <c r="L167" s="73" t="n"/>
      <c r="M167" s="73" t="n"/>
      <c r="N167" s="73" t="n"/>
      <c r="O167" s="19" t="n"/>
      <c r="P167" s="18" t="n"/>
      <c r="Q167" s="18" t="n"/>
      <c r="R167" s="73" t="n"/>
      <c r="S167" s="18" t="n"/>
      <c r="T167" s="18" t="n"/>
      <c r="U167" s="26">
        <f>D167+F167+-(H167+J167+L167+N167+P167+R167+T167)</f>
        <v/>
      </c>
      <c r="V167" t="inlineStr">
        <is>
          <t>ELECTRICAL</t>
        </is>
      </c>
    </row>
    <row r="168" ht="15" customHeight="1">
      <c r="A168" s="22">
        <f>A167+1</f>
        <v/>
      </c>
      <c r="B168" s="122" t="inlineStr">
        <is>
          <t>MCB 20 A - 1 phase</t>
        </is>
      </c>
      <c r="C168" s="123" t="inlineStr">
        <is>
          <t>PCS</t>
        </is>
      </c>
      <c r="D168" s="26">
        <f>'Week  (2)'!U168</f>
        <v/>
      </c>
      <c r="E168" s="124" t="n"/>
      <c r="F168" s="62" t="n"/>
      <c r="G168" s="25" t="n"/>
      <c r="H168" s="56" t="n"/>
      <c r="I168" s="19" t="n"/>
      <c r="J168" s="64" t="n"/>
      <c r="K168" s="18" t="n"/>
      <c r="L168" s="73" t="n"/>
      <c r="M168" s="73" t="n"/>
      <c r="N168" s="73" t="n"/>
      <c r="O168" s="19" t="n"/>
      <c r="P168" s="18" t="n"/>
      <c r="Q168" s="18" t="n"/>
      <c r="R168" s="73" t="n"/>
      <c r="S168" s="18" t="n"/>
      <c r="T168" s="18" t="n"/>
      <c r="U168" s="26">
        <f>D168+F168+-(H168+J168+L168+N168+P168+R168+T168)</f>
        <v/>
      </c>
      <c r="V168" t="inlineStr">
        <is>
          <t>ELECTRICAL</t>
        </is>
      </c>
    </row>
    <row r="169" ht="15" customHeight="1">
      <c r="A169" s="22">
        <f>A168+1</f>
        <v/>
      </c>
      <c r="B169" s="122" t="inlineStr">
        <is>
          <t>MCB 20 A - 3 phase</t>
        </is>
      </c>
      <c r="C169" s="123" t="inlineStr">
        <is>
          <t>PCS</t>
        </is>
      </c>
      <c r="D169" s="26">
        <f>'Week  (2)'!U169</f>
        <v/>
      </c>
      <c r="E169" s="125" t="n"/>
      <c r="F169" s="55" t="n"/>
      <c r="G169" s="52" t="n"/>
      <c r="H169" s="55" t="n"/>
      <c r="I169" s="71" t="n"/>
      <c r="J169" s="55" t="n"/>
      <c r="K169" s="18" t="n"/>
      <c r="L169" s="73" t="n"/>
      <c r="M169" s="73" t="n"/>
      <c r="N169" s="73" t="n"/>
      <c r="O169" s="19" t="n"/>
      <c r="P169" s="18" t="n"/>
      <c r="Q169" s="18" t="n"/>
      <c r="R169" s="73" t="n"/>
      <c r="S169" s="18" t="n"/>
      <c r="T169" s="18" t="n"/>
      <c r="U169" s="26">
        <f>D169+F169+-(H169+J169+L169+N169+P169+R169+T169)</f>
        <v/>
      </c>
      <c r="V169" t="inlineStr">
        <is>
          <t>ELECTRICAL</t>
        </is>
      </c>
    </row>
    <row r="170" ht="15" customHeight="1">
      <c r="A170" s="22">
        <f>A169+1</f>
        <v/>
      </c>
      <c r="B170" s="122" t="inlineStr">
        <is>
          <t>MCB 32 A - 1 phase</t>
        </is>
      </c>
      <c r="C170" s="123" t="inlineStr">
        <is>
          <t>PCS</t>
        </is>
      </c>
      <c r="D170" s="26">
        <f>'Week  (2)'!U170</f>
        <v/>
      </c>
      <c r="E170" s="124" t="n"/>
      <c r="F170" s="62" t="n"/>
      <c r="G170" s="25" t="n"/>
      <c r="H170" s="56" t="n"/>
      <c r="I170" s="19" t="n"/>
      <c r="J170" s="64" t="n"/>
      <c r="K170" s="18" t="n"/>
      <c r="L170" s="73" t="n"/>
      <c r="M170" s="73" t="n"/>
      <c r="N170" s="73" t="n"/>
      <c r="O170" s="19" t="n"/>
      <c r="P170" s="18" t="n"/>
      <c r="Q170" s="18" t="n"/>
      <c r="R170" s="73" t="n"/>
      <c r="S170" s="18" t="n"/>
      <c r="T170" s="18" t="n"/>
      <c r="U170" s="26">
        <f>D170+F170+-(H170+J170+L170+N170+P170+R170+T170)</f>
        <v/>
      </c>
      <c r="V170" t="inlineStr">
        <is>
          <t>ELECTRICAL</t>
        </is>
      </c>
    </row>
    <row r="171" ht="15" customHeight="1">
      <c r="A171" s="22">
        <f>A170+1</f>
        <v/>
      </c>
      <c r="B171" s="122" t="inlineStr">
        <is>
          <t>MCB 63 A - 1 Phase, Schneider</t>
        </is>
      </c>
      <c r="C171" s="123" t="inlineStr">
        <is>
          <t>PCS</t>
        </is>
      </c>
      <c r="D171" s="26">
        <f>'Week  (2)'!U171</f>
        <v/>
      </c>
      <c r="E171" s="125" t="n"/>
      <c r="F171" s="55" t="n"/>
      <c r="G171" s="52" t="n"/>
      <c r="H171" s="55" t="n"/>
      <c r="I171" s="71" t="n"/>
      <c r="J171" s="55" t="n"/>
      <c r="K171" s="18" t="n"/>
      <c r="L171" s="73" t="n"/>
      <c r="M171" s="73" t="n"/>
      <c r="N171" s="73" t="n"/>
      <c r="O171" s="19" t="n"/>
      <c r="P171" s="18" t="n"/>
      <c r="Q171" s="18" t="n"/>
      <c r="R171" s="73" t="n"/>
      <c r="S171" s="18" t="n"/>
      <c r="T171" s="18" t="n"/>
      <c r="U171" s="26">
        <f>D171+F171+-(H171+J171+L171+N171+P171+R171+T171)</f>
        <v/>
      </c>
      <c r="V171" t="inlineStr">
        <is>
          <t>ELECTRICAL</t>
        </is>
      </c>
    </row>
    <row r="172" ht="15" customHeight="1">
      <c r="A172" s="22">
        <f>A171+1</f>
        <v/>
      </c>
      <c r="B172" s="122" t="inlineStr">
        <is>
          <t>MCB 32 A - 3 phase</t>
        </is>
      </c>
      <c r="C172" s="123" t="inlineStr">
        <is>
          <t>PCS</t>
        </is>
      </c>
      <c r="D172" s="26">
        <f>'Week  (2)'!U172</f>
        <v/>
      </c>
      <c r="E172" s="124" t="n"/>
      <c r="F172" s="62" t="n"/>
      <c r="G172" s="25" t="n"/>
      <c r="H172" s="56" t="n"/>
      <c r="I172" s="19" t="n"/>
      <c r="J172" s="64" t="n"/>
      <c r="K172" s="18" t="n"/>
      <c r="L172" s="73" t="n"/>
      <c r="M172" s="73" t="n"/>
      <c r="N172" s="73" t="n"/>
      <c r="O172" s="19" t="n"/>
      <c r="P172" s="18" t="n"/>
      <c r="Q172" s="18" t="n"/>
      <c r="R172" s="73" t="n"/>
      <c r="S172" s="18" t="n"/>
      <c r="T172" s="18" t="n"/>
      <c r="U172" s="26">
        <f>D172+F172+-(H172+J172+L172+N172+P172+R172+T172)</f>
        <v/>
      </c>
      <c r="V172" t="inlineStr">
        <is>
          <t>ELECTRICAL</t>
        </is>
      </c>
    </row>
    <row r="173" ht="15" customHeight="1">
      <c r="A173" s="22">
        <f>A172+1</f>
        <v/>
      </c>
      <c r="B173" s="122" t="inlineStr">
        <is>
          <t>MCB 50 A - 1 phase</t>
        </is>
      </c>
      <c r="C173" s="123" t="inlineStr">
        <is>
          <t>PCS</t>
        </is>
      </c>
      <c r="D173" s="26">
        <f>'Week  (2)'!U173</f>
        <v/>
      </c>
      <c r="E173" s="125" t="n"/>
      <c r="F173" s="55" t="n"/>
      <c r="G173" s="52" t="n"/>
      <c r="H173" s="55" t="n"/>
      <c r="I173" s="71" t="n"/>
      <c r="J173" s="55" t="n"/>
      <c r="K173" s="18" t="n"/>
      <c r="L173" s="73" t="n"/>
      <c r="M173" s="73" t="n"/>
      <c r="N173" s="73" t="n"/>
      <c r="O173" s="19" t="n"/>
      <c r="P173" s="18" t="n"/>
      <c r="Q173" s="19" t="n"/>
      <c r="R173" s="73" t="n"/>
      <c r="S173" s="18" t="n"/>
      <c r="T173" s="18" t="n"/>
      <c r="U173" s="26">
        <f>D173+F173+-(H173+J173+L173+N173+P173+R173+T173)</f>
        <v/>
      </c>
      <c r="V173" t="inlineStr">
        <is>
          <t>ELECTRICAL</t>
        </is>
      </c>
    </row>
    <row r="174" ht="15" customHeight="1">
      <c r="A174" s="22">
        <f>A173+1</f>
        <v/>
      </c>
      <c r="B174" s="122" t="inlineStr">
        <is>
          <t>MCB 6 A - 1 Phase, Schneider</t>
        </is>
      </c>
      <c r="C174" s="123" t="inlineStr">
        <is>
          <t>PCS</t>
        </is>
      </c>
      <c r="D174" s="26">
        <f>'Week  (2)'!U174</f>
        <v/>
      </c>
      <c r="E174" s="124" t="n"/>
      <c r="F174" s="62" t="n"/>
      <c r="G174" s="25" t="n"/>
      <c r="H174" s="56" t="n"/>
      <c r="I174" s="19" t="n"/>
      <c r="J174" s="64" t="n"/>
      <c r="K174" s="18" t="n"/>
      <c r="L174" s="73" t="n"/>
      <c r="M174" s="73" t="n"/>
      <c r="N174" s="73" t="n"/>
      <c r="O174" s="73" t="n"/>
      <c r="P174" s="73" t="n"/>
      <c r="Q174" s="18" t="n"/>
      <c r="R174" s="73" t="n"/>
      <c r="S174" s="18" t="n"/>
      <c r="T174" s="18" t="n"/>
      <c r="U174" s="26">
        <f>D174+F174+-(H174+J174+L174+N174+P174+R174+T174)</f>
        <v/>
      </c>
      <c r="V174" t="inlineStr">
        <is>
          <t>ELECTRICAL</t>
        </is>
      </c>
    </row>
    <row r="175" ht="15" customHeight="1">
      <c r="A175" s="22">
        <f>A174+1</f>
        <v/>
      </c>
      <c r="B175" s="122" t="inlineStr">
        <is>
          <t>MCB 63 A - 3 Phase, Schneider</t>
        </is>
      </c>
      <c r="C175" s="123" t="inlineStr">
        <is>
          <t>PCS</t>
        </is>
      </c>
      <c r="D175" s="26">
        <f>'Week  (2)'!U175</f>
        <v/>
      </c>
      <c r="E175" s="125" t="n"/>
      <c r="F175" s="55" t="n"/>
      <c r="G175" s="52" t="n"/>
      <c r="H175" s="55" t="n"/>
      <c r="I175" s="71" t="n"/>
      <c r="J175" s="55" t="n"/>
      <c r="K175" s="18" t="n"/>
      <c r="L175" s="73" t="n"/>
      <c r="M175" s="73" t="n"/>
      <c r="N175" s="73" t="n"/>
      <c r="O175" s="19" t="n"/>
      <c r="P175" s="18" t="n"/>
      <c r="Q175" s="18" t="n"/>
      <c r="R175" s="73" t="n"/>
      <c r="S175" s="18" t="n"/>
      <c r="T175" s="18" t="n"/>
      <c r="U175" s="26">
        <f>D175+F175+-(H175+J175+L175+N175+P175+R175+T175)</f>
        <v/>
      </c>
      <c r="V175" t="inlineStr">
        <is>
          <t>ELECTRICAL</t>
        </is>
      </c>
    </row>
    <row r="176" ht="15" customHeight="1">
      <c r="A176" s="22">
        <f>A175+1</f>
        <v/>
      </c>
      <c r="B176" s="122" t="inlineStr">
        <is>
          <t>MCCB 60 A EZC 1000BSchneider</t>
        </is>
      </c>
      <c r="C176" s="123" t="inlineStr">
        <is>
          <t>PCS</t>
        </is>
      </c>
      <c r="D176" s="26">
        <f>'Week  (2)'!U176</f>
        <v/>
      </c>
      <c r="E176" s="124" t="n"/>
      <c r="F176" s="62" t="n"/>
      <c r="G176" s="25" t="n"/>
      <c r="H176" s="56" t="n"/>
      <c r="I176" s="19" t="n"/>
      <c r="J176" s="64" t="n"/>
      <c r="K176" s="18" t="n"/>
      <c r="L176" s="73" t="n"/>
      <c r="M176" s="73" t="n"/>
      <c r="N176" s="73" t="n"/>
      <c r="O176" s="19" t="n"/>
      <c r="P176" s="18" t="n"/>
      <c r="Q176" s="18" t="n"/>
      <c r="R176" s="73" t="n"/>
      <c r="S176" s="18" t="n"/>
      <c r="T176" s="18" t="n"/>
      <c r="U176" s="26">
        <f>D176+F176+-(H176+J176+L176+N176+P176+R176+T176)</f>
        <v/>
      </c>
      <c r="V176" t="inlineStr">
        <is>
          <t>ELECTRICAL</t>
        </is>
      </c>
    </row>
    <row r="177" ht="15" customHeight="1">
      <c r="A177" s="22">
        <f>A176+1</f>
        <v/>
      </c>
      <c r="B177" s="122" t="inlineStr">
        <is>
          <t>Mechanical seal 560-20</t>
        </is>
      </c>
      <c r="C177" s="123" t="inlineStr">
        <is>
          <t>PCS</t>
        </is>
      </c>
      <c r="D177" s="26">
        <f>'Week  (2)'!U177</f>
        <v/>
      </c>
      <c r="E177" s="125" t="n"/>
      <c r="F177" s="55" t="n"/>
      <c r="G177" s="52" t="n"/>
      <c r="H177" s="55" t="n"/>
      <c r="I177" s="71" t="n"/>
      <c r="J177" s="55" t="n"/>
      <c r="K177" s="18" t="n"/>
      <c r="L177" s="73" t="n"/>
      <c r="M177" s="73" t="n"/>
      <c r="N177" s="73" t="n"/>
      <c r="O177" s="19" t="n"/>
      <c r="P177" s="18" t="n"/>
      <c r="Q177" s="18" t="n"/>
      <c r="R177" s="73" t="n"/>
      <c r="S177" s="18" t="n"/>
      <c r="T177" s="18" t="n"/>
      <c r="U177" s="26">
        <f>D177+F177+-(H177+J177+L177+N177+P177+R177+T177)</f>
        <v/>
      </c>
      <c r="V177" t="inlineStr">
        <is>
          <t>MECHANICAL</t>
        </is>
      </c>
    </row>
    <row r="178" ht="30" customHeight="1">
      <c r="A178" s="22">
        <f>A177+1</f>
        <v/>
      </c>
      <c r="B178" s="122" t="inlineStr">
        <is>
          <t>Modul Indoor AC 1,5 PK Panasonic</t>
        </is>
      </c>
      <c r="C178" s="123" t="inlineStr">
        <is>
          <t>PCS</t>
        </is>
      </c>
      <c r="D178" s="26">
        <f>'Week  (2)'!U178</f>
        <v/>
      </c>
      <c r="E178" s="124" t="n"/>
      <c r="F178" s="62" t="n"/>
      <c r="G178" s="25" t="n"/>
      <c r="H178" s="56" t="n"/>
      <c r="I178" s="19" t="n"/>
      <c r="J178" s="64" t="n"/>
      <c r="K178" s="18" t="n"/>
      <c r="L178" s="73" t="n"/>
      <c r="M178" s="73" t="n"/>
      <c r="N178" s="73" t="n"/>
      <c r="O178" s="19" t="n"/>
      <c r="P178" s="18" t="n"/>
      <c r="Q178" s="18" t="n"/>
      <c r="R178" s="73" t="n"/>
      <c r="S178" s="18" t="n"/>
      <c r="T178" s="18" t="n"/>
      <c r="U178" s="26">
        <f>D178+F178+-(H178+J178+L178+N178+P178+R178+T178)</f>
        <v/>
      </c>
      <c r="V178" t="inlineStr">
        <is>
          <t>AC</t>
        </is>
      </c>
    </row>
    <row r="179" ht="15" customHeight="1">
      <c r="A179" s="22">
        <f>A178+1</f>
        <v/>
      </c>
      <c r="B179" s="122" t="inlineStr">
        <is>
          <t>Mowilek  503</t>
        </is>
      </c>
      <c r="C179" s="123" t="inlineStr">
        <is>
          <t>KG</t>
        </is>
      </c>
      <c r="D179" s="26">
        <f>'Week  (2)'!U179</f>
        <v/>
      </c>
      <c r="E179" s="125" t="n"/>
      <c r="F179" s="55" t="n"/>
      <c r="G179" s="52" t="n"/>
      <c r="H179" s="55" t="n"/>
      <c r="I179" s="71" t="n"/>
      <c r="J179" s="55" t="n"/>
      <c r="K179" s="18" t="n"/>
      <c r="L179" s="73" t="n"/>
      <c r="M179" s="73" t="n"/>
      <c r="N179" s="73" t="n"/>
      <c r="O179" s="19" t="n"/>
      <c r="P179" s="18" t="n"/>
      <c r="Q179" s="18" t="n"/>
      <c r="R179" s="73" t="n"/>
      <c r="S179" s="18" t="n"/>
      <c r="T179" s="18" t="n"/>
      <c r="U179" s="26">
        <f>D179+F179+-(H179+J179+L179+N179+P179+R179+T179)</f>
        <v/>
      </c>
      <c r="V179" t="inlineStr">
        <is>
          <t>CIVIL</t>
        </is>
      </c>
    </row>
    <row r="180" ht="15" customHeight="1">
      <c r="A180" s="22">
        <f>A179+1</f>
        <v/>
      </c>
      <c r="B180" s="122" t="inlineStr">
        <is>
          <t>NO DROP</t>
        </is>
      </c>
      <c r="C180" s="123" t="inlineStr">
        <is>
          <t>KG</t>
        </is>
      </c>
      <c r="D180" s="26">
        <f>'Week  (2)'!U180</f>
        <v/>
      </c>
      <c r="E180" s="124" t="n"/>
      <c r="F180" s="62" t="n"/>
      <c r="G180" s="68" t="n"/>
      <c r="H180" s="69" t="n"/>
      <c r="I180" s="19" t="n"/>
      <c r="J180" s="64" t="n"/>
      <c r="K180" s="18" t="n"/>
      <c r="L180" s="73" t="n"/>
      <c r="M180" s="73" t="inlineStr">
        <is>
          <t>Jawa 12</t>
        </is>
      </c>
      <c r="N180" s="73" t="n">
        <v>1</v>
      </c>
      <c r="O180" s="19" t="n"/>
      <c r="P180" s="18" t="n"/>
      <c r="Q180" s="18" t="n"/>
      <c r="R180" s="73" t="n"/>
      <c r="S180" s="18" t="n"/>
      <c r="T180" s="18" t="n"/>
      <c r="U180" s="26">
        <f>D180+F180+-(H180+J180+L180+N180+P180+R180+T180)</f>
        <v/>
      </c>
      <c r="V180" t="inlineStr">
        <is>
          <t>CIVIL</t>
        </is>
      </c>
    </row>
    <row r="181" ht="15" customHeight="1">
      <c r="A181" s="22">
        <f>A180+1</f>
        <v/>
      </c>
      <c r="B181" s="122" t="inlineStr">
        <is>
          <t>NO DROP KASSA</t>
        </is>
      </c>
      <c r="C181" s="123" t="inlineStr">
        <is>
          <t>PCS</t>
        </is>
      </c>
      <c r="D181" s="26">
        <f>'Week  (2)'!U181</f>
        <v/>
      </c>
      <c r="E181" s="125" t="n"/>
      <c r="F181" s="55" t="n"/>
      <c r="G181" s="68" t="n"/>
      <c r="H181" s="56" t="n"/>
      <c r="I181" s="19" t="n"/>
      <c r="J181" s="55" t="n"/>
      <c r="K181" s="18" t="n"/>
      <c r="L181" s="73" t="n"/>
      <c r="M181" s="73" t="inlineStr">
        <is>
          <t>Timor 15</t>
        </is>
      </c>
      <c r="N181" s="73" t="n">
        <v>3</v>
      </c>
      <c r="O181" s="19" t="n"/>
      <c r="P181" s="18" t="n"/>
      <c r="Q181" s="18" t="n"/>
      <c r="R181" s="73" t="n"/>
      <c r="S181" s="18" t="n"/>
      <c r="T181" s="18" t="n"/>
      <c r="U181" s="26">
        <f>D181+F181+-(H181+J181+L181+N181+P181+R181+T181)</f>
        <v/>
      </c>
      <c r="V181" t="inlineStr">
        <is>
          <t>CIVIL</t>
        </is>
      </c>
    </row>
    <row r="182" ht="30" customHeight="1">
      <c r="A182" s="22">
        <f>A181+1</f>
        <v/>
      </c>
      <c r="B182" s="122" t="inlineStr">
        <is>
          <t>OIL COMPRESSOR SUNISO, 4 TR</t>
        </is>
      </c>
      <c r="C182" s="123" t="inlineStr">
        <is>
          <t>GLN</t>
        </is>
      </c>
      <c r="D182" s="26">
        <f>'Week  (2)'!U182</f>
        <v/>
      </c>
      <c r="E182" s="124" t="n"/>
      <c r="F182" s="62" t="n"/>
      <c r="G182" s="25" t="n"/>
      <c r="H182" s="56" t="n"/>
      <c r="I182" s="19" t="n"/>
      <c r="J182" s="64" t="n"/>
      <c r="K182" s="18" t="n"/>
      <c r="L182" s="73" t="n"/>
      <c r="M182" s="73" t="n"/>
      <c r="N182" s="73" t="n"/>
      <c r="O182" s="19" t="n"/>
      <c r="P182" s="18" t="n"/>
      <c r="Q182" s="18" t="n"/>
      <c r="R182" s="73" t="n"/>
      <c r="S182" s="18" t="n"/>
      <c r="T182" s="18" t="n"/>
      <c r="U182" s="26">
        <f>D182+F182+-(H182+J182+L182+N182+P182+R182+T182)</f>
        <v/>
      </c>
      <c r="V182" t="inlineStr">
        <is>
          <t>OIL &amp; GAS</t>
        </is>
      </c>
    </row>
    <row r="183" ht="15" customHeight="1">
      <c r="A183" s="22">
        <f>A182+1</f>
        <v/>
      </c>
      <c r="B183" s="122" t="inlineStr">
        <is>
          <t>OIL MEDITRAN SX , 4 LTR</t>
        </is>
      </c>
      <c r="C183" s="123" t="inlineStr">
        <is>
          <t>GLN</t>
        </is>
      </c>
      <c r="D183" s="26">
        <f>'Week  (2)'!U183</f>
        <v/>
      </c>
      <c r="E183" s="125" t="n"/>
      <c r="F183" s="55" t="n"/>
      <c r="G183" s="52" t="n"/>
      <c r="H183" s="55" t="n"/>
      <c r="I183" s="71" t="n"/>
      <c r="J183" s="55" t="n"/>
      <c r="K183" s="18" t="n"/>
      <c r="L183" s="73" t="n"/>
      <c r="M183" s="73" t="n"/>
      <c r="N183" s="73" t="n"/>
      <c r="O183" s="19" t="n"/>
      <c r="P183" s="18" t="n"/>
      <c r="Q183" s="18" t="n"/>
      <c r="R183" s="73" t="n"/>
      <c r="S183" s="18" t="n"/>
      <c r="T183" s="18" t="n"/>
      <c r="U183" s="26">
        <f>D183+F183+-(H183+J183+L183+N183+P183+R183+T183)</f>
        <v/>
      </c>
      <c r="V183" t="inlineStr">
        <is>
          <t>OIL &amp; GAS</t>
        </is>
      </c>
    </row>
    <row r="184" ht="30" customHeight="1">
      <c r="A184" s="22">
        <f>A183+1</f>
        <v/>
      </c>
      <c r="B184" s="122" t="inlineStr">
        <is>
          <t>Over Load Relay  LRD 08, SCHNEIDER 4 A</t>
        </is>
      </c>
      <c r="C184" s="123" t="inlineStr">
        <is>
          <t>PCS</t>
        </is>
      </c>
      <c r="D184" s="26">
        <f>'Week  (2)'!U184</f>
        <v/>
      </c>
      <c r="E184" s="124" t="n"/>
      <c r="F184" s="62" t="n"/>
      <c r="G184" s="25" t="n"/>
      <c r="H184" s="56" t="n"/>
      <c r="I184" s="19" t="n"/>
      <c r="J184" s="64" t="n"/>
      <c r="K184" s="18" t="n"/>
      <c r="L184" s="73" t="n"/>
      <c r="M184" s="73" t="n"/>
      <c r="N184" s="73" t="n"/>
      <c r="O184" s="19" t="n"/>
      <c r="P184" s="18" t="n"/>
      <c r="Q184" s="18" t="n"/>
      <c r="R184" s="73" t="n"/>
      <c r="S184" s="18" t="n"/>
      <c r="T184" s="18" t="n"/>
      <c r="U184" s="26">
        <f>D184+F184+-(H184+J184+L184+N184+P184+R184+T184)</f>
        <v/>
      </c>
      <c r="V184" t="inlineStr">
        <is>
          <t>ELECTRICAL</t>
        </is>
      </c>
    </row>
    <row r="185" ht="30" customHeight="1">
      <c r="A185" s="22">
        <f>A184+1</f>
        <v/>
      </c>
      <c r="B185" s="122" t="inlineStr">
        <is>
          <t>Over Load  Relay LRD 10, SCHNEIDER 6 A</t>
        </is>
      </c>
      <c r="C185" s="123" t="inlineStr">
        <is>
          <t>PCS</t>
        </is>
      </c>
      <c r="D185" s="26">
        <f>'Week  (2)'!U185</f>
        <v/>
      </c>
      <c r="E185" s="125" t="n"/>
      <c r="F185" s="55" t="n"/>
      <c r="G185" s="52" t="n"/>
      <c r="H185" s="55" t="n"/>
      <c r="I185" s="71" t="n"/>
      <c r="J185" s="55" t="n"/>
      <c r="K185" s="18" t="n"/>
      <c r="L185" s="73" t="n"/>
      <c r="M185" s="73" t="n"/>
      <c r="N185" s="73" t="n"/>
      <c r="O185" s="19" t="n"/>
      <c r="P185" s="18" t="n"/>
      <c r="Q185" s="18" t="n"/>
      <c r="R185" s="73" t="n"/>
      <c r="S185" s="18" t="n"/>
      <c r="T185" s="18" t="n"/>
      <c r="U185" s="26">
        <f>D185+F185+-(H185+J185+L185+N185+P185+R185+T185)</f>
        <v/>
      </c>
      <c r="V185" t="inlineStr">
        <is>
          <t>ELECTRICAL</t>
        </is>
      </c>
    </row>
    <row r="186" ht="30" customHeight="1">
      <c r="A186" s="22">
        <f>A185+1</f>
        <v/>
      </c>
      <c r="B186" s="122" t="inlineStr">
        <is>
          <t>Over Load  Relay LRD 12 , SCHNEIDER 8 A</t>
        </is>
      </c>
      <c r="C186" s="123" t="inlineStr">
        <is>
          <t>PCS</t>
        </is>
      </c>
      <c r="D186" s="26">
        <f>'Week  (2)'!U186</f>
        <v/>
      </c>
      <c r="E186" s="124" t="n"/>
      <c r="F186" s="62" t="n"/>
      <c r="G186" s="25" t="n"/>
      <c r="H186" s="56" t="n"/>
      <c r="I186" s="19" t="n"/>
      <c r="J186" s="64" t="n"/>
      <c r="K186" s="18" t="n"/>
      <c r="L186" s="73" t="n"/>
      <c r="M186" s="73" t="n"/>
      <c r="N186" s="73" t="n"/>
      <c r="O186" s="19" t="n"/>
      <c r="P186" s="18" t="n"/>
      <c r="Q186" s="18" t="n"/>
      <c r="R186" s="73" t="n"/>
      <c r="S186" s="18" t="n"/>
      <c r="T186" s="18" t="n"/>
      <c r="U186" s="26">
        <f>D186+F186+-(H186+J186+L186+N186+P186+R186+T186)</f>
        <v/>
      </c>
      <c r="V186" t="inlineStr">
        <is>
          <t>ELECTRICAL</t>
        </is>
      </c>
    </row>
    <row r="187" ht="30" customHeight="1">
      <c r="A187" s="22">
        <f>A186+1</f>
        <v/>
      </c>
      <c r="B187" s="122" t="inlineStr">
        <is>
          <t>Over Load  Relay LRD 14, SCHNEIDER 10 A</t>
        </is>
      </c>
      <c r="C187" s="123" t="inlineStr">
        <is>
          <t>PCS</t>
        </is>
      </c>
      <c r="D187" s="26">
        <f>'Week  (2)'!U187</f>
        <v/>
      </c>
      <c r="E187" s="125" t="n"/>
      <c r="F187" s="55" t="n"/>
      <c r="G187" s="52" t="n"/>
      <c r="H187" s="55" t="n"/>
      <c r="I187" s="71" t="n"/>
      <c r="J187" s="55" t="n"/>
      <c r="K187" s="18" t="n"/>
      <c r="L187" s="73" t="n"/>
      <c r="M187" s="73" t="n"/>
      <c r="N187" s="73" t="n"/>
      <c r="O187" s="19" t="n"/>
      <c r="P187" s="18" t="n"/>
      <c r="Q187" s="18" t="n"/>
      <c r="R187" s="73" t="n"/>
      <c r="S187" s="18" t="n"/>
      <c r="T187" s="18" t="n"/>
      <c r="U187" s="26">
        <f>D187+F187+-(H187+J187+L187+N187+P187+R187+T187)</f>
        <v/>
      </c>
      <c r="V187" t="inlineStr">
        <is>
          <t>ELECTRICAL</t>
        </is>
      </c>
    </row>
    <row r="188" ht="30" customHeight="1">
      <c r="A188" s="22">
        <f>A187+1</f>
        <v/>
      </c>
      <c r="B188" s="122" t="inlineStr">
        <is>
          <t>Over Load  Relay LRD 16, SCHNEIDER 13</t>
        </is>
      </c>
      <c r="C188" s="123" t="inlineStr">
        <is>
          <t>PCS</t>
        </is>
      </c>
      <c r="D188" s="26">
        <f>'Week  (2)'!U188</f>
        <v/>
      </c>
      <c r="E188" s="124" t="n"/>
      <c r="F188" s="62" t="n"/>
      <c r="G188" s="25" t="n"/>
      <c r="H188" s="56" t="n"/>
      <c r="I188" s="19" t="n"/>
      <c r="J188" s="64" t="n"/>
      <c r="K188" s="18" t="n"/>
      <c r="L188" s="73" t="n"/>
      <c r="M188" s="73" t="n"/>
      <c r="N188" s="73" t="n"/>
      <c r="O188" s="19" t="n"/>
      <c r="P188" s="18" t="n"/>
      <c r="Q188" s="18" t="n"/>
      <c r="R188" s="73" t="n"/>
      <c r="S188" s="18" t="n"/>
      <c r="T188" s="18" t="n"/>
      <c r="U188" s="26">
        <f>D188+F188+-(H188+J188+L188+N188+P188+R188+T188)</f>
        <v/>
      </c>
      <c r="V188" t="inlineStr">
        <is>
          <t>ELECTRICAL</t>
        </is>
      </c>
    </row>
    <row r="189" ht="30" customHeight="1">
      <c r="A189" s="22">
        <f>A188+1</f>
        <v/>
      </c>
      <c r="B189" s="122" t="inlineStr">
        <is>
          <t>Over Load  Relay LRD 21, SCHNEIDER 18 A</t>
        </is>
      </c>
      <c r="C189" s="123" t="inlineStr">
        <is>
          <t>PCS</t>
        </is>
      </c>
      <c r="D189" s="26">
        <f>'Week  (2)'!U189</f>
        <v/>
      </c>
      <c r="E189" s="125" t="n"/>
      <c r="F189" s="55" t="n"/>
      <c r="G189" s="52" t="n"/>
      <c r="H189" s="55" t="n"/>
      <c r="I189" s="71" t="n"/>
      <c r="J189" s="55" t="n"/>
      <c r="K189" s="18" t="n"/>
      <c r="L189" s="73" t="n"/>
      <c r="M189" s="73" t="n"/>
      <c r="N189" s="73" t="n"/>
      <c r="O189" s="19" t="n"/>
      <c r="P189" s="18" t="n"/>
      <c r="Q189" s="18" t="n"/>
      <c r="R189" s="73" t="n"/>
      <c r="S189" s="18" t="n"/>
      <c r="T189" s="18" t="n"/>
      <c r="U189" s="26">
        <f>D189+F189+-(H189+J189+L189+N189+P189+R189+T189)</f>
        <v/>
      </c>
      <c r="V189" t="inlineStr">
        <is>
          <t>ELECTRICAL</t>
        </is>
      </c>
    </row>
    <row r="190" ht="30" customHeight="1">
      <c r="A190" s="22">
        <f>A189+1</f>
        <v/>
      </c>
      <c r="B190" s="122" t="inlineStr">
        <is>
          <t>Over Load  Relay LRD 22, SCHNEIDER 24 A</t>
        </is>
      </c>
      <c r="C190" s="123" t="inlineStr">
        <is>
          <t>PCS</t>
        </is>
      </c>
      <c r="D190" s="26">
        <f>'Week  (2)'!U190</f>
        <v/>
      </c>
      <c r="E190" s="124" t="n"/>
      <c r="F190" s="62" t="n"/>
      <c r="G190" s="25" t="n"/>
      <c r="H190" s="56" t="n"/>
      <c r="I190" s="19" t="n"/>
      <c r="J190" s="64" t="n"/>
      <c r="K190" s="18" t="n"/>
      <c r="L190" s="73" t="n"/>
      <c r="M190" s="73" t="n"/>
      <c r="N190" s="73" t="n"/>
      <c r="O190" s="19" t="n"/>
      <c r="P190" s="18" t="n"/>
      <c r="Q190" s="19" t="n"/>
      <c r="R190" s="18" t="n"/>
      <c r="S190" s="18" t="n"/>
      <c r="T190" s="18" t="n"/>
      <c r="U190" s="26">
        <f>D190+F190+-(H190+J190+L190+N190+P190+R190+T190)</f>
        <v/>
      </c>
      <c r="V190" t="inlineStr">
        <is>
          <t>ELECTRICAL</t>
        </is>
      </c>
    </row>
    <row r="191" ht="30" customHeight="1">
      <c r="A191" s="22">
        <f>A190+1</f>
        <v/>
      </c>
      <c r="B191" s="122" t="inlineStr">
        <is>
          <t>Over Load  Relay LRD 32, SCHNEIDER 32 A</t>
        </is>
      </c>
      <c r="C191" s="123" t="inlineStr">
        <is>
          <t>PCS</t>
        </is>
      </c>
      <c r="D191" s="26">
        <f>'Week  (2)'!U191</f>
        <v/>
      </c>
      <c r="E191" s="125" t="n"/>
      <c r="F191" s="55" t="n"/>
      <c r="G191" s="52" t="n"/>
      <c r="H191" s="55" t="n"/>
      <c r="I191" s="71" t="n"/>
      <c r="J191" s="55" t="n"/>
      <c r="K191" s="18" t="n"/>
      <c r="L191" s="73" t="n"/>
      <c r="M191" s="73" t="n"/>
      <c r="N191" s="73" t="n"/>
      <c r="O191" s="19" t="n"/>
      <c r="P191" s="18" t="n"/>
      <c r="Q191" s="18" t="n"/>
      <c r="R191" s="73" t="n"/>
      <c r="S191" s="18" t="n"/>
      <c r="T191" s="18" t="n"/>
      <c r="U191" s="26">
        <f>D191+F191+-(H191+J191+L191+N191+P191+R191+T191)</f>
        <v/>
      </c>
      <c r="V191" t="inlineStr">
        <is>
          <t>ELECTRICAL</t>
        </is>
      </c>
    </row>
    <row r="192" ht="30" customHeight="1">
      <c r="A192" s="22">
        <f>A191+1</f>
        <v/>
      </c>
      <c r="B192" s="122" t="inlineStr">
        <is>
          <t>Overload of Water Dispencer 1/5 PK</t>
        </is>
      </c>
      <c r="C192" s="123" t="inlineStr">
        <is>
          <t>PCS</t>
        </is>
      </c>
      <c r="D192" s="26">
        <f>'Week  (2)'!U192</f>
        <v/>
      </c>
      <c r="E192" s="124" t="n"/>
      <c r="F192" s="62" t="n"/>
      <c r="G192" s="25" t="n"/>
      <c r="H192" s="56" t="n"/>
      <c r="I192" s="19" t="n"/>
      <c r="J192" s="64" t="n"/>
      <c r="K192" s="18" t="n"/>
      <c r="L192" s="73" t="n"/>
      <c r="M192" s="73" t="n"/>
      <c r="N192" s="73" t="n"/>
      <c r="O192" s="19" t="n"/>
      <c r="P192" s="18" t="n"/>
      <c r="Q192" s="18" t="n"/>
      <c r="R192" s="73" t="n"/>
      <c r="S192" s="18" t="n"/>
      <c r="T192" s="18" t="n"/>
      <c r="U192" s="26">
        <f>D192+F192+-(H192+J192+L192+N192+P192+R192+T192)</f>
        <v/>
      </c>
      <c r="V192" t="inlineStr">
        <is>
          <t>ELECTRICAL</t>
        </is>
      </c>
    </row>
    <row r="193" ht="15" customHeight="1">
      <c r="A193" s="22">
        <f>A192+1</f>
        <v/>
      </c>
      <c r="B193" s="122" t="inlineStr">
        <is>
          <t xml:space="preserve">Overload Refrigerator </t>
        </is>
      </c>
      <c r="C193" s="123" t="inlineStr">
        <is>
          <t>PCS</t>
        </is>
      </c>
      <c r="D193" s="26">
        <f>'Week  (2)'!U193</f>
        <v/>
      </c>
      <c r="E193" s="125" t="n"/>
      <c r="F193" s="55" t="n"/>
      <c r="G193" s="52" t="n"/>
      <c r="H193" s="55" t="n"/>
      <c r="I193" s="71" t="n"/>
      <c r="J193" s="55" t="n"/>
      <c r="K193" s="18" t="n"/>
      <c r="L193" s="73" t="n"/>
      <c r="M193" s="73" t="n"/>
      <c r="N193" s="73" t="n"/>
      <c r="O193" s="19" t="n"/>
      <c r="P193" s="18" t="n"/>
      <c r="Q193" s="18" t="n"/>
      <c r="R193" s="73" t="n"/>
      <c r="S193" s="18" t="n"/>
      <c r="T193" s="18" t="n"/>
      <c r="U193" s="26">
        <f>D193+F193+-(H193+J193+L193+N193+P193+R193+T193)</f>
        <v/>
      </c>
      <c r="V193" t="inlineStr">
        <is>
          <t>ELECTRICAL</t>
        </is>
      </c>
    </row>
    <row r="194" ht="25.5" customHeight="1">
      <c r="A194" s="22">
        <f>A193+1</f>
        <v/>
      </c>
      <c r="B194" s="122" t="inlineStr">
        <is>
          <t>PAKAN LAS RD 460 2,0</t>
        </is>
      </c>
      <c r="C194" s="123" t="inlineStr">
        <is>
          <t>KG</t>
        </is>
      </c>
      <c r="D194" s="26">
        <f>'Week  (2)'!U194</f>
        <v/>
      </c>
      <c r="E194" s="124" t="n"/>
      <c r="F194" s="62" t="n"/>
      <c r="G194" s="25" t="n"/>
      <c r="H194" s="69" t="n"/>
      <c r="I194" s="19" t="n"/>
      <c r="J194" s="73" t="n"/>
      <c r="K194" s="19" t="n"/>
      <c r="L194" s="73" t="n"/>
      <c r="M194" s="73" t="n"/>
      <c r="N194" s="73" t="n"/>
      <c r="O194" s="19" t="n"/>
      <c r="P194" s="73" t="n"/>
      <c r="Q194" s="73" t="inlineStr">
        <is>
          <t>Reservoir tank</t>
        </is>
      </c>
      <c r="R194" s="73" t="n">
        <v>0.1</v>
      </c>
      <c r="S194" s="18" t="n"/>
      <c r="T194" s="18" t="n"/>
      <c r="U194" s="26">
        <f>D194+F194+-(H194+J194+L194+N194+P194+R194+T194)</f>
        <v/>
      </c>
      <c r="V194" t="inlineStr">
        <is>
          <t>CONSUMABLE</t>
        </is>
      </c>
    </row>
    <row r="195" ht="15" customHeight="1">
      <c r="A195" s="22">
        <f>A194+1</f>
        <v/>
      </c>
      <c r="B195" s="122" t="inlineStr">
        <is>
          <t>PRESSURE GAUGE WIKA 10</t>
        </is>
      </c>
      <c r="C195" s="123" t="inlineStr">
        <is>
          <t>PCS</t>
        </is>
      </c>
      <c r="D195" s="26">
        <f>'Week  (2)'!U195</f>
        <v/>
      </c>
      <c r="E195" s="125" t="n"/>
      <c r="F195" s="55" t="n"/>
      <c r="G195" s="52" t="n"/>
      <c r="H195" s="55" t="n"/>
      <c r="I195" s="71" t="n"/>
      <c r="J195" s="55" t="n"/>
      <c r="K195" s="18" t="n"/>
      <c r="L195" s="73" t="n"/>
      <c r="M195" s="73" t="n"/>
      <c r="N195" s="73" t="n"/>
      <c r="O195" s="19" t="n"/>
      <c r="P195" s="18" t="n"/>
      <c r="Q195" s="18" t="n"/>
      <c r="R195" s="73" t="n"/>
      <c r="S195" s="18" t="n"/>
      <c r="T195" s="18" t="n"/>
      <c r="U195" s="26">
        <f>D195+F195+-(H195+J195+L195+N195+P195+R195+T195)</f>
        <v/>
      </c>
      <c r="V195" t="inlineStr">
        <is>
          <t>VALVE AND PIPE</t>
        </is>
      </c>
    </row>
    <row r="196" ht="30" customHeight="1">
      <c r="A196" s="22">
        <f>A195+1</f>
        <v/>
      </c>
      <c r="B196" s="122" t="inlineStr">
        <is>
          <t>Pee Pipe DUPON 4160 NC ( Syphon Kitchen sink )</t>
        </is>
      </c>
      <c r="C196" s="123" t="inlineStr">
        <is>
          <t>SET</t>
        </is>
      </c>
      <c r="D196" s="26">
        <f>'Week  (2)'!U196</f>
        <v/>
      </c>
      <c r="E196" s="124" t="n"/>
      <c r="F196" s="62" t="n"/>
      <c r="G196" s="25" t="n"/>
      <c r="H196" s="56" t="n"/>
      <c r="I196" s="19" t="n"/>
      <c r="J196" s="64" t="n"/>
      <c r="K196" s="18" t="inlineStr">
        <is>
          <t>Timor 13</t>
        </is>
      </c>
      <c r="L196" s="73" t="n">
        <v>1</v>
      </c>
      <c r="M196" s="73" t="n"/>
      <c r="N196" s="73" t="n"/>
      <c r="O196" s="19" t="n"/>
      <c r="P196" s="18" t="n"/>
      <c r="Q196" s="18" t="n"/>
      <c r="R196" s="73" t="n"/>
      <c r="S196" s="18" t="n"/>
      <c r="T196" s="18" t="n"/>
      <c r="U196" s="26">
        <f>D196+F196+-(H196+J196+L196+N196+P196+R196+T196)</f>
        <v/>
      </c>
      <c r="V196" t="inlineStr">
        <is>
          <t>SANITARY</t>
        </is>
      </c>
    </row>
    <row r="197" ht="15" customHeight="1">
      <c r="A197" s="22">
        <f>A196+1</f>
        <v/>
      </c>
      <c r="B197" s="122" t="inlineStr">
        <is>
          <t xml:space="preserve">PESAWAT TELEPHONE </t>
        </is>
      </c>
      <c r="C197" s="123" t="inlineStr">
        <is>
          <t>SET</t>
        </is>
      </c>
      <c r="D197" s="26">
        <f>'Week  (2)'!U197</f>
        <v/>
      </c>
      <c r="E197" s="125" t="n"/>
      <c r="F197" s="55" t="n"/>
      <c r="G197" s="52" t="n"/>
      <c r="H197" s="55" t="n"/>
      <c r="I197" s="71" t="n"/>
      <c r="J197" s="55" t="n"/>
      <c r="K197" s="18" t="n"/>
      <c r="L197" s="73" t="n"/>
      <c r="M197" s="73" t="n"/>
      <c r="N197" s="73" t="n"/>
      <c r="O197" s="19" t="n"/>
      <c r="P197" s="18" t="n"/>
      <c r="Q197" s="18" t="n"/>
      <c r="R197" s="73" t="n"/>
      <c r="S197" s="18" t="n"/>
      <c r="T197" s="18" t="n"/>
      <c r="U197" s="26">
        <f>D197+F197+-(H197+J197+L197+N197+P197+R197+T197)</f>
        <v/>
      </c>
      <c r="V197" t="inlineStr">
        <is>
          <t>CONSUMABLE</t>
        </is>
      </c>
    </row>
    <row r="198">
      <c r="A198" s="22">
        <f>A197+1</f>
        <v/>
      </c>
      <c r="B198" s="79" t="inlineStr">
        <is>
          <t>Plug Besi 1/2"</t>
        </is>
      </c>
      <c r="C198" s="40" t="inlineStr">
        <is>
          <t>Pcs</t>
        </is>
      </c>
      <c r="D198" s="26">
        <f>'Week  (2)'!U198</f>
        <v/>
      </c>
      <c r="E198" s="124" t="n"/>
      <c r="F198" s="62" t="n"/>
      <c r="G198" s="25" t="n"/>
      <c r="H198" s="56" t="n"/>
      <c r="I198" s="19" t="n"/>
      <c r="J198" s="64" t="n"/>
      <c r="K198" s="18" t="n"/>
      <c r="L198" s="73" t="n"/>
      <c r="M198" s="73" t="n"/>
      <c r="N198" s="73" t="n"/>
      <c r="O198" s="19" t="n"/>
      <c r="P198" s="18" t="n"/>
      <c r="Q198" s="18" t="n"/>
      <c r="R198" s="73" t="n"/>
      <c r="S198" s="18" t="n"/>
      <c r="T198" s="18" t="n"/>
      <c r="U198" s="26">
        <f>D198+F198+-(H198+J198+L198+N198+P198+R198+T198)</f>
        <v/>
      </c>
      <c r="V198" t="inlineStr">
        <is>
          <t>VALVE AND PIPE</t>
        </is>
      </c>
    </row>
    <row r="199" ht="15" customHeight="1">
      <c r="A199" s="22">
        <f>A198+1</f>
        <v/>
      </c>
      <c r="B199" s="122" t="inlineStr">
        <is>
          <t>Plywood Meranti 6mm</t>
        </is>
      </c>
      <c r="C199" s="123" t="inlineStr">
        <is>
          <t xml:space="preserve">Lbr </t>
        </is>
      </c>
      <c r="D199" s="26">
        <f>'Week  (2)'!U199</f>
        <v/>
      </c>
      <c r="E199" s="125" t="n"/>
      <c r="F199" s="55" t="n"/>
      <c r="G199" s="52" t="n"/>
      <c r="H199" s="74" t="n"/>
      <c r="I199" s="71" t="n"/>
      <c r="J199" s="55" t="n"/>
      <c r="K199" s="19" t="n"/>
      <c r="L199" s="73" t="n"/>
      <c r="M199" s="73" t="n"/>
      <c r="N199" s="73" t="n"/>
      <c r="O199" s="19" t="n"/>
      <c r="P199" s="18" t="n"/>
      <c r="Q199" s="18" t="n"/>
      <c r="R199" s="73" t="n"/>
      <c r="S199" s="18" t="n"/>
      <c r="T199" s="18" t="n"/>
      <c r="U199" s="26">
        <f>D199+F199+-(H199+J199+L199+N199+P199+R199+T199)</f>
        <v/>
      </c>
      <c r="V199" t="inlineStr">
        <is>
          <t>CIVIL</t>
        </is>
      </c>
    </row>
    <row r="200" ht="15" customHeight="1">
      <c r="A200" s="22">
        <f>A199+1</f>
        <v/>
      </c>
      <c r="B200" s="122" t="inlineStr">
        <is>
          <t>Plywood Meranti 20 mm</t>
        </is>
      </c>
      <c r="C200" s="123" t="inlineStr">
        <is>
          <t xml:space="preserve">Lbr </t>
        </is>
      </c>
      <c r="D200" s="26">
        <f>'Week  (2)'!U200</f>
        <v/>
      </c>
      <c r="E200" s="124" t="n"/>
      <c r="F200" s="62" t="n"/>
      <c r="G200" s="25" t="n"/>
      <c r="H200" s="66" t="n"/>
      <c r="I200" s="19" t="n"/>
      <c r="J200" s="64" t="n"/>
      <c r="K200" s="18" t="n"/>
      <c r="L200" s="73" t="n"/>
      <c r="M200" s="73" t="n"/>
      <c r="N200" s="73" t="n"/>
      <c r="O200" s="19" t="n"/>
      <c r="P200" s="18" t="n"/>
      <c r="Q200" s="18" t="n"/>
      <c r="R200" s="73" t="n"/>
      <c r="S200" s="18" t="n"/>
      <c r="T200" s="18" t="n"/>
      <c r="U200" s="26">
        <f>D200+F200+-(H200+J200+L200+N200+P200+R200+T200)</f>
        <v/>
      </c>
      <c r="V200" t="inlineStr">
        <is>
          <t>CIVIL</t>
        </is>
      </c>
    </row>
    <row r="201" ht="15" customHeight="1">
      <c r="A201" s="22">
        <f>A200+1</f>
        <v/>
      </c>
      <c r="B201" s="122" t="inlineStr">
        <is>
          <t>PIPA PVC 2"</t>
        </is>
      </c>
      <c r="C201" s="123" t="inlineStr">
        <is>
          <t>PCS</t>
        </is>
      </c>
      <c r="D201" s="26">
        <f>'Week  (2)'!U201</f>
        <v/>
      </c>
      <c r="E201" s="125" t="n"/>
      <c r="F201" s="55" t="n"/>
      <c r="G201" s="52" t="n"/>
      <c r="H201" s="55" t="n"/>
      <c r="I201" s="71" t="n"/>
      <c r="J201" s="55" t="n"/>
      <c r="K201" s="18" t="n"/>
      <c r="L201" s="73" t="n"/>
      <c r="M201" s="73" t="n"/>
      <c r="N201" s="73" t="n"/>
      <c r="O201" s="19" t="n"/>
      <c r="P201" s="18" t="n"/>
      <c r="Q201" s="18" t="n"/>
      <c r="R201" s="73" t="n"/>
      <c r="S201" s="18" t="n"/>
      <c r="T201" s="18" t="n"/>
      <c r="U201" s="26">
        <f>D201+F201+-(H201+J201+L201+N201+P201+R201+T201)</f>
        <v/>
      </c>
      <c r="V201" t="inlineStr">
        <is>
          <t>VALVE AND PIPE</t>
        </is>
      </c>
    </row>
    <row r="202" ht="15" customHeight="1">
      <c r="A202" s="22">
        <f>A201+1</f>
        <v/>
      </c>
      <c r="B202" s="122" t="inlineStr">
        <is>
          <t>PIPA PVC 1"</t>
        </is>
      </c>
      <c r="C202" s="123" t="inlineStr">
        <is>
          <t>PCS</t>
        </is>
      </c>
      <c r="D202" s="26">
        <f>'Week  (2)'!U202</f>
        <v/>
      </c>
      <c r="E202" s="124" t="n"/>
      <c r="F202" s="62" t="n"/>
      <c r="G202" s="25" t="n"/>
      <c r="H202" s="56" t="n"/>
      <c r="I202" s="19" t="n"/>
      <c r="J202" s="64" t="n"/>
      <c r="K202" s="18" t="n"/>
      <c r="L202" s="73" t="n"/>
      <c r="M202" s="73" t="n"/>
      <c r="N202" s="73" t="n"/>
      <c r="O202" s="19" t="n"/>
      <c r="P202" s="18" t="n"/>
      <c r="Q202" s="18" t="n"/>
      <c r="R202" s="73" t="n"/>
      <c r="S202" s="18" t="n"/>
      <c r="T202" s="18" t="n"/>
      <c r="U202" s="26">
        <f>D202+F202+-(H202+J202+L202+N202+P202+R202+T202)</f>
        <v/>
      </c>
      <c r="V202" t="inlineStr">
        <is>
          <t>VALVE AND PIPE</t>
        </is>
      </c>
    </row>
    <row r="203" ht="15" customHeight="1">
      <c r="A203" s="22">
        <f>A202+1</f>
        <v/>
      </c>
      <c r="B203" s="122" t="inlineStr">
        <is>
          <t>PIPA PVC 3/4"</t>
        </is>
      </c>
      <c r="C203" s="123" t="inlineStr">
        <is>
          <t>PCS</t>
        </is>
      </c>
      <c r="D203" s="26">
        <f>'Week  (2)'!U203</f>
        <v/>
      </c>
      <c r="E203" s="125" t="n"/>
      <c r="F203" s="55" t="n"/>
      <c r="G203" s="52" t="n"/>
      <c r="H203" s="55" t="n"/>
      <c r="I203" s="71" t="n"/>
      <c r="J203" s="55" t="n"/>
      <c r="K203" s="18" t="n"/>
      <c r="L203" s="73" t="n"/>
      <c r="M203" s="73" t="n"/>
      <c r="N203" s="73" t="n"/>
      <c r="O203" s="19" t="n"/>
      <c r="P203" s="18" t="n"/>
      <c r="Q203" s="18" t="n"/>
      <c r="R203" s="73" t="n"/>
      <c r="S203" s="18" t="n"/>
      <c r="T203" s="18" t="n"/>
      <c r="U203" s="26">
        <f>D203+F203+-(H203+J203+L203+N203+P203+R203+T203)</f>
        <v/>
      </c>
      <c r="V203" t="inlineStr">
        <is>
          <t>VALVE AND PIPE</t>
        </is>
      </c>
    </row>
    <row r="204" ht="15" customHeight="1">
      <c r="A204" s="22">
        <f>A203+1</f>
        <v/>
      </c>
      <c r="B204" s="122" t="inlineStr">
        <is>
          <t>PIPA PVC 1/2"</t>
        </is>
      </c>
      <c r="C204" s="123" t="inlineStr">
        <is>
          <t>PCS</t>
        </is>
      </c>
      <c r="D204" s="26">
        <f>'Week  (2)'!U204</f>
        <v/>
      </c>
      <c r="E204" s="124" t="n"/>
      <c r="F204" s="62" t="n"/>
      <c r="G204" s="25" t="n"/>
      <c r="H204" s="56" t="n"/>
      <c r="I204" s="18" t="n"/>
      <c r="J204" s="64" t="n"/>
      <c r="K204" s="18" t="n"/>
      <c r="L204" s="64" t="n"/>
      <c r="M204" s="73" t="n"/>
      <c r="N204" s="73" t="n"/>
      <c r="O204" s="19" t="n"/>
      <c r="P204" s="18" t="n"/>
      <c r="Q204" s="18" t="n"/>
      <c r="R204" s="73" t="n"/>
      <c r="S204" s="18" t="n"/>
      <c r="T204" s="18" t="n"/>
      <c r="U204" s="26">
        <f>D204+F204+-(H204+J204+L204+N204+P204+R204+T204)</f>
        <v/>
      </c>
      <c r="V204" t="inlineStr">
        <is>
          <t>VALVE AND PIPE</t>
        </is>
      </c>
    </row>
    <row r="205" ht="30" customHeight="1">
      <c r="A205" s="22">
        <f>A204+1</f>
        <v/>
      </c>
      <c r="B205" s="122" t="inlineStr">
        <is>
          <t>Push Drainage ( Avur Wash Basin )</t>
        </is>
      </c>
      <c r="C205" s="123" t="inlineStr">
        <is>
          <t>PCS</t>
        </is>
      </c>
      <c r="D205" s="26">
        <f>'Week  (2)'!U205</f>
        <v/>
      </c>
      <c r="E205" s="125" t="n"/>
      <c r="F205" s="55" t="n"/>
      <c r="G205" s="52" t="n"/>
      <c r="H205" s="55" t="n"/>
      <c r="I205" s="71" t="n"/>
      <c r="J205" s="55" t="n"/>
      <c r="K205" s="18" t="n"/>
      <c r="L205" s="73" t="n"/>
      <c r="M205" s="73" t="n"/>
      <c r="N205" s="73" t="n"/>
      <c r="O205" s="19" t="n"/>
      <c r="P205" s="18" t="n"/>
      <c r="Q205" s="18" t="n"/>
      <c r="R205" s="73" t="n"/>
      <c r="S205" s="18" t="n"/>
      <c r="T205" s="18" t="n"/>
      <c r="U205" s="26">
        <f>D205+F205+-(H205+J205+L205+N205+P205+R205+T205)</f>
        <v/>
      </c>
      <c r="V205" t="inlineStr">
        <is>
          <t>SANITARY</t>
        </is>
      </c>
    </row>
    <row r="206" ht="15" customHeight="1">
      <c r="A206" s="22">
        <f>A205+1</f>
        <v/>
      </c>
      <c r="B206" s="122" t="inlineStr">
        <is>
          <t>Regulator LPG</t>
        </is>
      </c>
      <c r="C206" s="123" t="inlineStr">
        <is>
          <t>PCS</t>
        </is>
      </c>
      <c r="D206" s="26">
        <f>'Week  (2)'!U206</f>
        <v/>
      </c>
      <c r="E206" s="124" t="n"/>
      <c r="F206" s="62" t="n"/>
      <c r="G206" s="68" t="n"/>
      <c r="H206" s="56" t="n"/>
      <c r="I206" s="19" t="n"/>
      <c r="J206" s="64" t="n"/>
      <c r="K206" s="19" t="inlineStr">
        <is>
          <t>Sumatera 16</t>
        </is>
      </c>
      <c r="L206" s="73" t="n">
        <v>1</v>
      </c>
      <c r="M206" s="73" t="n"/>
      <c r="N206" s="73" t="n"/>
      <c r="O206" s="19" t="n"/>
      <c r="P206" s="18" t="n"/>
      <c r="Q206" s="18" t="n"/>
      <c r="R206" s="73" t="n"/>
      <c r="S206" s="18" t="n"/>
      <c r="T206" s="18" t="n"/>
      <c r="U206" s="26">
        <f>D206+F206+-(H206+J206+L206+N206+P206+R206+T206)</f>
        <v/>
      </c>
      <c r="V206" t="inlineStr">
        <is>
          <t>CONSUMABLE</t>
        </is>
      </c>
    </row>
    <row r="207" ht="15" customHeight="1">
      <c r="A207" s="22">
        <f>A206+1</f>
        <v/>
      </c>
      <c r="B207" s="122" t="inlineStr">
        <is>
          <t>REMOTE AC MULTI</t>
        </is>
      </c>
      <c r="C207" s="123" t="inlineStr">
        <is>
          <t>PCS</t>
        </is>
      </c>
      <c r="D207" s="26">
        <f>'Week  (2)'!U207</f>
        <v/>
      </c>
      <c r="E207" s="125" t="n"/>
      <c r="F207" s="55" t="n"/>
      <c r="G207" s="52" t="n"/>
      <c r="H207" s="55" t="n"/>
      <c r="I207" s="71" t="n"/>
      <c r="J207" s="55" t="n"/>
      <c r="K207" s="18" t="n"/>
      <c r="L207" s="73" t="n"/>
      <c r="M207" s="73" t="n"/>
      <c r="N207" s="73" t="n"/>
      <c r="O207" s="19" t="n"/>
      <c r="P207" s="18" t="n"/>
      <c r="Q207" s="18" t="n"/>
      <c r="R207" s="73" t="n"/>
      <c r="S207" s="18" t="n"/>
      <c r="T207" s="18" t="n"/>
      <c r="U207" s="26">
        <f>D207+F207+-(H207+J207+L207+N207+P207+R207+T207)</f>
        <v/>
      </c>
      <c r="V207" t="inlineStr">
        <is>
          <t>AC</t>
        </is>
      </c>
    </row>
    <row r="208" ht="15" customHeight="1">
      <c r="A208" s="22">
        <f>A207+1</f>
        <v/>
      </c>
      <c r="B208" s="122" t="inlineStr">
        <is>
          <t>REMOTE TV  MULTI</t>
        </is>
      </c>
      <c r="C208" s="123" t="inlineStr">
        <is>
          <t>PCS</t>
        </is>
      </c>
      <c r="D208" s="26">
        <f>'Week  (2)'!U208</f>
        <v/>
      </c>
      <c r="E208" s="124" t="n"/>
      <c r="F208" s="62" t="n"/>
      <c r="G208" s="25" t="n"/>
      <c r="H208" s="56" t="n"/>
      <c r="I208" s="19" t="n"/>
      <c r="J208" s="64" t="n"/>
      <c r="K208" s="18" t="n"/>
      <c r="L208" s="73" t="n"/>
      <c r="M208" s="73" t="n"/>
      <c r="N208" s="73" t="n"/>
      <c r="O208" s="19" t="n"/>
      <c r="P208" s="18" t="n"/>
      <c r="Q208" s="18" t="n"/>
      <c r="R208" s="73" t="n"/>
      <c r="S208" s="18" t="n"/>
      <c r="T208" s="18" t="n"/>
      <c r="U208" s="26">
        <f>D208+F208+-(H208+J208+L208+N208+P208+R208+T208)</f>
        <v/>
      </c>
      <c r="V208" t="inlineStr">
        <is>
          <t>AC</t>
        </is>
      </c>
    </row>
    <row r="209" ht="15" customHeight="1">
      <c r="A209" s="22">
        <f>A208+1</f>
        <v/>
      </c>
      <c r="B209" s="122" t="inlineStr">
        <is>
          <t xml:space="preserve">SAKLAR DOBLE </t>
        </is>
      </c>
      <c r="C209" s="123" t="inlineStr">
        <is>
          <t>PCS</t>
        </is>
      </c>
      <c r="D209" s="26">
        <f>'Week  (2)'!U209</f>
        <v/>
      </c>
      <c r="E209" s="125" t="n"/>
      <c r="F209" s="55" t="n"/>
      <c r="G209" s="52" t="n"/>
      <c r="H209" s="55" t="n"/>
      <c r="I209" s="71" t="n"/>
      <c r="J209" s="55" t="n"/>
      <c r="K209" s="18" t="n"/>
      <c r="L209" s="73" t="n"/>
      <c r="M209" s="73" t="n"/>
      <c r="N209" s="73" t="n"/>
      <c r="O209" s="19" t="n"/>
      <c r="P209" s="18" t="n"/>
      <c r="Q209" s="18" t="n"/>
      <c r="R209" s="73" t="n"/>
      <c r="S209" s="18" t="n"/>
      <c r="T209" s="18" t="n"/>
      <c r="U209" s="26">
        <f>D209+F209+-(H209+J209+L209+N209+P209+R209+T209)</f>
        <v/>
      </c>
      <c r="V209" t="inlineStr">
        <is>
          <t>ELECTRICAL</t>
        </is>
      </c>
    </row>
    <row r="210" ht="15" customHeight="1">
      <c r="A210" s="22">
        <f>A209+1</f>
        <v/>
      </c>
      <c r="B210" s="122" t="inlineStr">
        <is>
          <t>SAKLAR TUNGGAL</t>
        </is>
      </c>
      <c r="C210" s="123" t="inlineStr">
        <is>
          <t>PCS</t>
        </is>
      </c>
      <c r="D210" s="26">
        <f>'Week  (2)'!U210</f>
        <v/>
      </c>
      <c r="E210" s="124" t="n"/>
      <c r="F210" s="62" t="n"/>
      <c r="G210" s="25" t="n"/>
      <c r="H210" s="56" t="n"/>
      <c r="I210" s="19" t="n"/>
      <c r="J210" s="64" t="n"/>
      <c r="K210" s="18" t="n"/>
      <c r="L210" s="73" t="n"/>
      <c r="M210" s="73" t="n"/>
      <c r="N210" s="73" t="n"/>
      <c r="O210" s="19" t="n"/>
      <c r="P210" s="18" t="n"/>
      <c r="Q210" s="18" t="n"/>
      <c r="R210" s="73" t="n"/>
      <c r="S210" s="18" t="n"/>
      <c r="T210" s="18" t="n"/>
      <c r="U210" s="26">
        <f>D210+F210+-(H210+J210+L210+N210+P210+R210+T210)</f>
        <v/>
      </c>
      <c r="V210" t="inlineStr">
        <is>
          <t>ELECTRICAL</t>
        </is>
      </c>
    </row>
    <row r="211" ht="15" customHeight="1">
      <c r="A211" s="22">
        <f>A210+1</f>
        <v/>
      </c>
      <c r="B211" s="38" t="inlineStr">
        <is>
          <t>Sock Drat LUAR 20 x 1/2" HDPE</t>
        </is>
      </c>
      <c r="C211" s="123" t="inlineStr">
        <is>
          <t>PCS</t>
        </is>
      </c>
      <c r="D211" s="26">
        <f>'Week  (2)'!U211</f>
        <v/>
      </c>
      <c r="E211" s="125" t="n"/>
      <c r="F211" s="55" t="n"/>
      <c r="G211" s="52" t="n"/>
      <c r="H211" s="55" t="n"/>
      <c r="I211" s="71" t="n"/>
      <c r="J211" s="55" t="n"/>
      <c r="K211" s="18" t="n"/>
      <c r="L211" s="73" t="n"/>
      <c r="M211" s="73" t="n"/>
      <c r="N211" s="73" t="n"/>
      <c r="O211" s="19" t="n"/>
      <c r="P211" s="18" t="n"/>
      <c r="Q211" s="18" t="n"/>
      <c r="R211" s="73" t="n"/>
      <c r="S211" s="18" t="n"/>
      <c r="T211" s="18" t="n"/>
      <c r="U211" s="26">
        <f>D211+F211+-(H211+J211+L211+N211+P211+R211+T211)</f>
        <v/>
      </c>
      <c r="V211" t="inlineStr">
        <is>
          <t>VALVE AND PIPE</t>
        </is>
      </c>
    </row>
    <row r="212" ht="15" customHeight="1">
      <c r="A212" s="22">
        <f>A211+1</f>
        <v/>
      </c>
      <c r="B212" s="128" t="inlineStr">
        <is>
          <t>Seat &amp; Cover Closet</t>
        </is>
      </c>
      <c r="C212" s="123" t="inlineStr">
        <is>
          <t>PCS</t>
        </is>
      </c>
      <c r="D212" s="26">
        <f>'Week  (2)'!U212</f>
        <v/>
      </c>
      <c r="E212" s="124" t="n"/>
      <c r="F212" s="62" t="n"/>
      <c r="G212" s="68" t="n"/>
      <c r="H212" s="56" t="n"/>
      <c r="I212" s="19" t="n"/>
      <c r="J212" s="64" t="n"/>
      <c r="K212" s="18" t="n"/>
      <c r="L212" s="73" t="n"/>
      <c r="M212" s="73" t="inlineStr">
        <is>
          <t>Sumatera 16</t>
        </is>
      </c>
      <c r="N212" s="73" t="n">
        <v>1</v>
      </c>
      <c r="O212" s="19" t="n"/>
      <c r="P212" s="18" t="n"/>
      <c r="Q212" s="18" t="n"/>
      <c r="R212" s="73" t="n"/>
      <c r="S212" s="18" t="n"/>
      <c r="T212" s="18" t="n"/>
      <c r="U212" s="26">
        <f>D212+F212+-(H212+J212+L212+N212+P212+R212+T212)</f>
        <v/>
      </c>
      <c r="V212" t="inlineStr">
        <is>
          <t>SANITARY</t>
        </is>
      </c>
    </row>
    <row r="213">
      <c r="A213" s="22">
        <f>A212+1</f>
        <v/>
      </c>
      <c r="B213" s="79" t="inlineStr">
        <is>
          <t xml:space="preserve">Selang LPG </t>
        </is>
      </c>
      <c r="C213" s="40" t="inlineStr">
        <is>
          <t>M</t>
        </is>
      </c>
      <c r="D213" s="26">
        <f>'Week  (2)'!U213</f>
        <v/>
      </c>
      <c r="E213" s="125" t="n"/>
      <c r="F213" s="55" t="n"/>
      <c r="G213" s="52" t="n"/>
      <c r="H213" s="55" t="n"/>
      <c r="I213" s="71" t="n"/>
      <c r="J213" s="55" t="n"/>
      <c r="K213" s="18" t="n"/>
      <c r="L213" s="73" t="n"/>
      <c r="M213" s="73" t="n"/>
      <c r="N213" s="73" t="n"/>
      <c r="O213" s="19" t="n"/>
      <c r="P213" s="18" t="n"/>
      <c r="Q213" s="18" t="n"/>
      <c r="R213" s="73" t="n"/>
      <c r="S213" s="18" t="n"/>
      <c r="T213" s="18" t="n"/>
      <c r="U213" s="26">
        <f>D213+F213+-(H213+J213+L213+N213+P213+R213+T213)</f>
        <v/>
      </c>
      <c r="V213" t="inlineStr">
        <is>
          <t>OIL &amp; GAS</t>
        </is>
      </c>
    </row>
    <row r="214" ht="15" customHeight="1">
      <c r="A214" s="22">
        <f>A213+1</f>
        <v/>
      </c>
      <c r="B214" s="128" t="inlineStr">
        <is>
          <t>SELENOID DRAIN MESIN CUCI</t>
        </is>
      </c>
      <c r="C214" s="123" t="inlineStr">
        <is>
          <t>PCS</t>
        </is>
      </c>
      <c r="D214" s="26">
        <f>'Week  (2)'!U214</f>
        <v/>
      </c>
      <c r="E214" s="124" t="n"/>
      <c r="F214" s="62" t="n"/>
      <c r="G214" s="25" t="n"/>
      <c r="H214" s="56" t="n"/>
      <c r="I214" s="19" t="n"/>
      <c r="J214" s="64" t="n"/>
      <c r="K214" s="18" t="n"/>
      <c r="L214" s="73" t="n"/>
      <c r="M214" s="73" t="n"/>
      <c r="N214" s="73" t="n"/>
      <c r="O214" s="19" t="n"/>
      <c r="P214" s="18" t="n"/>
      <c r="Q214" s="18" t="n"/>
      <c r="R214" s="73" t="n"/>
      <c r="S214" s="18" t="n"/>
      <c r="T214" s="18" t="n"/>
      <c r="U214" s="26">
        <f>D214+F214+-(H214+J214+L214+N214+P214+R214+T214)</f>
        <v/>
      </c>
      <c r="V214" t="inlineStr">
        <is>
          <t>SANITARY</t>
        </is>
      </c>
    </row>
    <row r="215" ht="15" customHeight="1">
      <c r="A215" s="22">
        <f>A214+1</f>
        <v/>
      </c>
      <c r="B215" s="128" t="inlineStr">
        <is>
          <t xml:space="preserve">Shower Curtain </t>
        </is>
      </c>
      <c r="C215" s="123" t="inlineStr">
        <is>
          <t>PCS</t>
        </is>
      </c>
      <c r="D215" s="26">
        <f>'Week  (2)'!U215</f>
        <v/>
      </c>
      <c r="E215" s="125" t="n"/>
      <c r="F215" s="55" t="n"/>
      <c r="G215" s="52" t="n"/>
      <c r="H215" s="55" t="n"/>
      <c r="I215" s="71" t="n"/>
      <c r="J215" s="55" t="n"/>
      <c r="K215" s="18" t="n"/>
      <c r="L215" s="73" t="n"/>
      <c r="M215" s="73" t="n"/>
      <c r="N215" s="73" t="n"/>
      <c r="O215" s="19" t="n"/>
      <c r="P215" s="18" t="n"/>
      <c r="Q215" s="19" t="n"/>
      <c r="R215" s="73" t="n"/>
      <c r="S215" s="18" t="n"/>
      <c r="T215" s="18" t="n"/>
      <c r="U215" s="26">
        <f>D215+F215+-(H215+J215+L215+N215+P215+R215+T215)</f>
        <v/>
      </c>
      <c r="V215" t="inlineStr">
        <is>
          <t>CIVIL</t>
        </is>
      </c>
    </row>
    <row r="216" ht="15" customHeight="1">
      <c r="A216" s="22">
        <f>A215+1</f>
        <v/>
      </c>
      <c r="B216" s="128" t="inlineStr">
        <is>
          <t>Silicon Sealant Clear</t>
        </is>
      </c>
      <c r="C216" s="123" t="inlineStr">
        <is>
          <t>PCS</t>
        </is>
      </c>
      <c r="D216" s="26">
        <f>'Week  (2)'!U216</f>
        <v/>
      </c>
      <c r="E216" s="124" t="n"/>
      <c r="F216" s="62" t="n"/>
      <c r="G216" s="25" t="n"/>
      <c r="H216" s="56" t="n"/>
      <c r="I216" s="19" t="n"/>
      <c r="J216" s="64" t="n"/>
      <c r="K216" s="19" t="n"/>
      <c r="L216" s="64" t="n"/>
      <c r="M216" s="73" t="n"/>
      <c r="N216" s="73" t="n"/>
      <c r="O216" s="19" t="n"/>
      <c r="P216" s="18" t="n"/>
      <c r="Q216" s="18" t="n"/>
      <c r="R216" s="73" t="n"/>
      <c r="S216" s="18" t="n"/>
      <c r="T216" s="18" t="n"/>
      <c r="U216" s="26">
        <f>D216+F216+-(H216+J216+L216+N216+P216+R216+T216)</f>
        <v/>
      </c>
      <c r="V216" t="inlineStr">
        <is>
          <t>CONSUMABLE</t>
        </is>
      </c>
    </row>
    <row r="217" ht="15" customHeight="1">
      <c r="A217" s="22">
        <f>A216+1</f>
        <v/>
      </c>
      <c r="B217" s="122" t="inlineStr">
        <is>
          <t>SEAL TAPE</t>
        </is>
      </c>
      <c r="C217" s="123" t="inlineStr">
        <is>
          <t>PCS</t>
        </is>
      </c>
      <c r="D217" s="26">
        <f>'Week  (2)'!U217</f>
        <v/>
      </c>
      <c r="E217" s="125" t="n"/>
      <c r="F217" s="55" t="n"/>
      <c r="G217" s="72" t="n"/>
      <c r="H217" s="55" t="n"/>
      <c r="I217" s="71" t="n"/>
      <c r="J217" s="55" t="n"/>
      <c r="K217" s="19" t="n"/>
      <c r="L217" s="73" t="n"/>
      <c r="M217" s="73" t="n"/>
      <c r="N217" s="73" t="n"/>
      <c r="O217" s="19" t="n"/>
      <c r="P217" s="18" t="n"/>
      <c r="Q217" s="18" t="n"/>
      <c r="R217" s="73" t="n"/>
      <c r="S217" s="18" t="n"/>
      <c r="T217" s="18" t="n"/>
      <c r="U217" s="26">
        <f>D217+F217+-(H217+J217+L217+N217+P217+R217+T217)</f>
        <v/>
      </c>
      <c r="V217" t="inlineStr">
        <is>
          <t>CONSUMABLE</t>
        </is>
      </c>
    </row>
    <row r="218" ht="15" customHeight="1">
      <c r="A218" s="22">
        <f>A217+1</f>
        <v/>
      </c>
      <c r="B218" s="38" t="inlineStr">
        <is>
          <t>Sock Drat Dalam 20 x 1/2"</t>
        </is>
      </c>
      <c r="C218" s="123" t="inlineStr">
        <is>
          <t>PCS</t>
        </is>
      </c>
      <c r="D218" s="26">
        <f>'Week  (2)'!U218</f>
        <v/>
      </c>
      <c r="E218" s="124" t="n"/>
      <c r="F218" s="62" t="n"/>
      <c r="G218" s="25" t="n"/>
      <c r="H218" s="56" t="n"/>
      <c r="I218" s="19" t="n"/>
      <c r="J218" s="64" t="n"/>
      <c r="K218" s="18" t="n"/>
      <c r="L218" s="73" t="n"/>
      <c r="M218" s="73" t="n"/>
      <c r="N218" s="73" t="n"/>
      <c r="O218" s="19" t="n"/>
      <c r="P218" s="18" t="n"/>
      <c r="Q218" s="18" t="n"/>
      <c r="R218" s="73" t="n"/>
      <c r="S218" s="18" t="n"/>
      <c r="T218" s="18" t="n"/>
      <c r="U218" s="26">
        <f>D218+F218+-(H218+J218+L218+N218+P218+R218+T218)</f>
        <v/>
      </c>
      <c r="V218" t="inlineStr">
        <is>
          <t>VALVE AND PIPE</t>
        </is>
      </c>
    </row>
    <row r="219">
      <c r="A219" s="22">
        <f>A218+1</f>
        <v/>
      </c>
      <c r="B219" s="79" t="inlineStr">
        <is>
          <t>Sock PVC AW  1"</t>
        </is>
      </c>
      <c r="C219" s="40" t="inlineStr">
        <is>
          <t>Pcs</t>
        </is>
      </c>
      <c r="D219" s="26">
        <f>'Week  (2)'!U219</f>
        <v/>
      </c>
      <c r="E219" s="125" t="n"/>
      <c r="F219" s="55" t="n"/>
      <c r="G219" s="52" t="n"/>
      <c r="H219" s="55" t="n"/>
      <c r="I219" s="71" t="n"/>
      <c r="J219" s="55" t="n"/>
      <c r="K219" s="18" t="n"/>
      <c r="L219" s="73" t="n"/>
      <c r="M219" s="73" t="n"/>
      <c r="N219" s="73" t="n"/>
      <c r="O219" s="19" t="n"/>
      <c r="P219" s="18" t="n"/>
      <c r="Q219" s="18" t="n"/>
      <c r="R219" s="73" t="n"/>
      <c r="S219" s="18" t="n"/>
      <c r="T219" s="18" t="n"/>
      <c r="U219" s="26">
        <f>D219+F219+-(H219+J219+L219+N219+P219+R219+T219)</f>
        <v/>
      </c>
      <c r="V219" t="inlineStr">
        <is>
          <t>VALVE AND PIPE</t>
        </is>
      </c>
    </row>
    <row r="220">
      <c r="A220" s="22">
        <f>A219+1</f>
        <v/>
      </c>
      <c r="B220" s="79" t="inlineStr">
        <is>
          <t>Sock PVC AW  2"</t>
        </is>
      </c>
      <c r="C220" s="40" t="inlineStr">
        <is>
          <t>Pcs</t>
        </is>
      </c>
      <c r="D220" s="26">
        <f>'Week  (2)'!U220</f>
        <v/>
      </c>
      <c r="E220" s="124" t="n"/>
      <c r="F220" s="62" t="n"/>
      <c r="G220" s="25" t="n"/>
      <c r="H220" s="56" t="n"/>
      <c r="I220" s="19" t="n"/>
      <c r="J220" s="64" t="n"/>
      <c r="K220" s="18" t="n"/>
      <c r="L220" s="73" t="n"/>
      <c r="M220" s="73" t="n"/>
      <c r="N220" s="73" t="n"/>
      <c r="O220" s="19" t="n"/>
      <c r="P220" s="18" t="n"/>
      <c r="Q220" s="18" t="n"/>
      <c r="R220" s="73" t="n"/>
      <c r="S220" s="18" t="n"/>
      <c r="T220" s="18" t="n"/>
      <c r="U220" s="26">
        <f>D220+F220+-(H220+J220+L220+N220+P220+R220+T220)</f>
        <v/>
      </c>
      <c r="V220" t="inlineStr">
        <is>
          <t>VALVE AND PIPE</t>
        </is>
      </c>
    </row>
    <row r="221">
      <c r="A221" s="22">
        <f>A220+1</f>
        <v/>
      </c>
      <c r="B221" s="79" t="inlineStr">
        <is>
          <t>Sock PVC AW  3/4"</t>
        </is>
      </c>
      <c r="C221" s="40" t="inlineStr">
        <is>
          <t>Pcs</t>
        </is>
      </c>
      <c r="D221" s="26">
        <f>'Week  (2)'!U221</f>
        <v/>
      </c>
      <c r="E221" s="125" t="n"/>
      <c r="F221" s="55" t="n"/>
      <c r="G221" s="52" t="n"/>
      <c r="H221" s="55" t="n"/>
      <c r="I221" s="71" t="n"/>
      <c r="J221" s="55" t="n"/>
      <c r="K221" s="18" t="n"/>
      <c r="L221" s="73" t="n"/>
      <c r="M221" s="73" t="n"/>
      <c r="N221" s="73" t="n"/>
      <c r="O221" s="19" t="n"/>
      <c r="P221" s="18" t="n"/>
      <c r="Q221" s="18" t="n"/>
      <c r="R221" s="73" t="n"/>
      <c r="S221" s="18" t="n"/>
      <c r="T221" s="18" t="n"/>
      <c r="U221" s="26">
        <f>D221+F221+-(H221+J221+L221+N221+P221+R221+T221)</f>
        <v/>
      </c>
      <c r="V221" t="inlineStr">
        <is>
          <t>VALVE AND PIPE</t>
        </is>
      </c>
    </row>
    <row r="222">
      <c r="A222" s="22">
        <f>A221+1</f>
        <v/>
      </c>
      <c r="B222" s="79" t="inlineStr">
        <is>
          <t>Sock PVC AW 1/2"</t>
        </is>
      </c>
      <c r="C222" s="40" t="inlineStr">
        <is>
          <t>Pcs</t>
        </is>
      </c>
      <c r="D222" s="26">
        <f>'Week  (2)'!U222</f>
        <v/>
      </c>
      <c r="E222" s="124" t="n"/>
      <c r="F222" s="62" t="n"/>
      <c r="G222" s="25" t="n"/>
      <c r="H222" s="56" t="n"/>
      <c r="I222" s="25" t="n"/>
      <c r="J222" s="56" t="n"/>
      <c r="K222" s="18" t="n"/>
      <c r="L222" s="73" t="n"/>
      <c r="M222" s="73" t="n"/>
      <c r="N222" s="73" t="n"/>
      <c r="O222" s="19" t="n"/>
      <c r="P222" s="18" t="n"/>
      <c r="Q222" s="18" t="n"/>
      <c r="R222" s="73" t="n"/>
      <c r="S222" s="18" t="n"/>
      <c r="T222" s="18" t="n"/>
      <c r="U222" s="26">
        <f>D222+F222+-(H222+J222+L222+N222+P222+R222+T222)</f>
        <v/>
      </c>
      <c r="V222" t="inlineStr">
        <is>
          <t>VALVE AND PIPE</t>
        </is>
      </c>
    </row>
    <row r="223" ht="30" customHeight="1">
      <c r="A223" s="22">
        <f>A222+1</f>
        <v/>
      </c>
      <c r="B223" s="122" t="inlineStr">
        <is>
          <t>Stater TLD 40 W (TLD-S10), Philips</t>
        </is>
      </c>
      <c r="C223" s="123" t="inlineStr">
        <is>
          <t>PCS</t>
        </is>
      </c>
      <c r="D223" s="26">
        <f>'Week  (2)'!U223</f>
        <v/>
      </c>
      <c r="E223" s="125" t="n"/>
      <c r="F223" s="55" t="n"/>
      <c r="G223" s="52" t="n"/>
      <c r="H223" s="55" t="n"/>
      <c r="I223" s="71" t="n"/>
      <c r="J223" s="55" t="n"/>
      <c r="K223" s="18" t="n"/>
      <c r="L223" s="73" t="n"/>
      <c r="M223" s="73" t="n"/>
      <c r="N223" s="73" t="n"/>
      <c r="O223" s="19" t="n"/>
      <c r="P223" s="18" t="n"/>
      <c r="Q223" s="18" t="n"/>
      <c r="R223" s="73" t="n"/>
      <c r="S223" s="18" t="n"/>
      <c r="T223" s="18" t="n"/>
      <c r="U223" s="26">
        <f>D223+F223+-(H223+J223+L223+N223+P223+R223+T223)</f>
        <v/>
      </c>
      <c r="V223" t="inlineStr">
        <is>
          <t>LAMP</t>
        </is>
      </c>
    </row>
    <row r="224" ht="15" customHeight="1">
      <c r="A224" s="22">
        <f>A223+1</f>
        <v/>
      </c>
      <c r="B224" s="122" t="inlineStr">
        <is>
          <t>STECKER ARDE BROCO</t>
        </is>
      </c>
      <c r="C224" s="123" t="inlineStr">
        <is>
          <t>PCS</t>
        </is>
      </c>
      <c r="D224" s="26">
        <f>'Week  (2)'!U224</f>
        <v/>
      </c>
      <c r="E224" s="124" t="n"/>
      <c r="F224" s="62" t="n"/>
      <c r="G224" s="25" t="n"/>
      <c r="H224" s="56" t="n"/>
      <c r="I224" s="19" t="n"/>
      <c r="J224" s="64" t="n"/>
      <c r="K224" s="19" t="n"/>
      <c r="L224" s="73" t="n"/>
      <c r="M224" s="73" t="n"/>
      <c r="N224" s="73" t="n"/>
      <c r="O224" s="19" t="n"/>
      <c r="P224" s="18" t="n"/>
      <c r="Q224" s="19" t="n"/>
      <c r="R224" s="73" t="n"/>
      <c r="S224" s="18" t="n"/>
      <c r="T224" s="18" t="n"/>
      <c r="U224" s="26">
        <f>D224+F224+-(H224+J224+L224+N224+P224+R224+T224)</f>
        <v/>
      </c>
      <c r="V224" t="inlineStr">
        <is>
          <t>ELECTRICAL</t>
        </is>
      </c>
    </row>
    <row r="225" ht="15" customHeight="1">
      <c r="A225" s="22">
        <f>A224+1</f>
        <v/>
      </c>
      <c r="B225" s="43" t="inlineStr">
        <is>
          <t>Stick of Shower Curtain</t>
        </is>
      </c>
      <c r="C225" s="123" t="inlineStr">
        <is>
          <t>PCS</t>
        </is>
      </c>
      <c r="D225" s="26">
        <f>'Week  (2)'!U225</f>
        <v/>
      </c>
      <c r="E225" s="125" t="n"/>
      <c r="F225" s="55" t="n"/>
      <c r="G225" s="52" t="n"/>
      <c r="H225" s="55" t="n"/>
      <c r="I225" s="71" t="n"/>
      <c r="J225" s="55" t="n"/>
      <c r="K225" s="18" t="n"/>
      <c r="L225" s="73" t="n"/>
      <c r="M225" s="73" t="n"/>
      <c r="N225" s="73" t="n"/>
      <c r="O225" s="19" t="n"/>
      <c r="P225" s="18" t="n"/>
      <c r="Q225" s="19" t="n"/>
      <c r="R225" s="73" t="n"/>
      <c r="S225" s="18" t="n"/>
      <c r="T225" s="18" t="n"/>
      <c r="U225" s="26">
        <f>D225+F225+-(H225+J225+L225+N225+P225+R225+T225)</f>
        <v/>
      </c>
      <c r="V225" t="inlineStr">
        <is>
          <t>CIVIL</t>
        </is>
      </c>
    </row>
    <row r="226" ht="15" customHeight="1">
      <c r="A226" s="22">
        <f>A225+1</f>
        <v/>
      </c>
      <c r="B226" s="122" t="inlineStr">
        <is>
          <t>Stop Contact  AC</t>
        </is>
      </c>
      <c r="C226" s="123" t="inlineStr">
        <is>
          <t>PCS</t>
        </is>
      </c>
      <c r="D226" s="26">
        <f>'Week  (2)'!U226</f>
        <v/>
      </c>
      <c r="E226" s="124" t="n"/>
      <c r="F226" s="62" t="n"/>
      <c r="G226" s="25" t="n"/>
      <c r="H226" s="56" t="n"/>
      <c r="I226" s="19" t="n"/>
      <c r="J226" s="64" t="n"/>
      <c r="K226" s="19" t="n"/>
      <c r="L226" s="64" t="n"/>
      <c r="M226" s="73" t="n"/>
      <c r="N226" s="73" t="n"/>
      <c r="O226" s="19" t="n"/>
      <c r="P226" s="18" t="n"/>
      <c r="Q226" s="19" t="n"/>
      <c r="R226" s="64" t="n"/>
      <c r="S226" s="18" t="n"/>
      <c r="T226" s="18" t="n"/>
      <c r="U226" s="26">
        <f>D226+F226+-(H226+J226+L226+N226+P226+R226+T226)</f>
        <v/>
      </c>
      <c r="V226" t="inlineStr">
        <is>
          <t>AC</t>
        </is>
      </c>
    </row>
    <row r="227" ht="15" customHeight="1">
      <c r="A227" s="22">
        <f>A226+1</f>
        <v/>
      </c>
      <c r="B227" s="122" t="inlineStr">
        <is>
          <t>Stop Contact  Tanam</t>
        </is>
      </c>
      <c r="C227" s="123" t="inlineStr">
        <is>
          <t>PCS</t>
        </is>
      </c>
      <c r="D227" s="26">
        <f>'Week  (2)'!U227</f>
        <v/>
      </c>
      <c r="E227" s="124" t="n"/>
      <c r="F227" s="55" t="n"/>
      <c r="G227" s="52" t="n"/>
      <c r="H227" s="55" t="n"/>
      <c r="I227" s="71" t="n"/>
      <c r="J227" s="55" t="n"/>
      <c r="K227" s="18" t="n"/>
      <c r="L227" s="73" t="n"/>
      <c r="M227" s="73" t="n"/>
      <c r="N227" s="73" t="n"/>
      <c r="O227" s="19" t="n"/>
      <c r="P227" s="18" t="n"/>
      <c r="Q227" s="18" t="n"/>
      <c r="R227" s="73" t="n"/>
      <c r="S227" s="18" t="n"/>
      <c r="T227" s="18" t="n"/>
      <c r="U227" s="26">
        <f>D227+F227+-(H227+J227+L227+N227+P227+R227+T227)</f>
        <v/>
      </c>
      <c r="V227" t="inlineStr">
        <is>
          <t>ELECTRICAL</t>
        </is>
      </c>
    </row>
    <row r="228" ht="15" customHeight="1">
      <c r="A228" s="22">
        <f>A227+1</f>
        <v/>
      </c>
      <c r="B228" s="122" t="inlineStr">
        <is>
          <t>Stop Contact  TEMPEL</t>
        </is>
      </c>
      <c r="C228" s="123" t="inlineStr">
        <is>
          <t>PCS</t>
        </is>
      </c>
      <c r="D228" s="26">
        <f>'Week  (2)'!U228</f>
        <v/>
      </c>
      <c r="E228" s="124" t="n"/>
      <c r="F228" s="62" t="n"/>
      <c r="G228" s="25" t="n"/>
      <c r="H228" s="56" t="n"/>
      <c r="I228" s="19" t="n"/>
      <c r="J228" s="64" t="n"/>
      <c r="K228" s="18" t="n"/>
      <c r="L228" s="73" t="n"/>
      <c r="M228" s="73" t="n"/>
      <c r="N228" s="73" t="n"/>
      <c r="O228" s="19" t="n"/>
      <c r="P228" s="18" t="n"/>
      <c r="Q228" s="19" t="n"/>
      <c r="R228" s="73" t="n"/>
      <c r="S228" s="18" t="n"/>
      <c r="T228" s="18" t="n"/>
      <c r="U228" s="26">
        <f>D228+F228+-(H228+J228+L228+N228+P228+R228+T228)</f>
        <v/>
      </c>
      <c r="V228" t="inlineStr">
        <is>
          <t>ELECTRICAL</t>
        </is>
      </c>
    </row>
    <row r="229" ht="15" customHeight="1">
      <c r="A229" s="22">
        <f>A228+1</f>
        <v/>
      </c>
      <c r="B229" s="38" t="inlineStr">
        <is>
          <t>Straight Coupler  25x 20</t>
        </is>
      </c>
      <c r="C229" s="123" t="inlineStr">
        <is>
          <t>PCS</t>
        </is>
      </c>
      <c r="D229" s="26">
        <f>'Week  (2)'!U229</f>
        <v/>
      </c>
      <c r="E229" s="125" t="n"/>
      <c r="F229" s="55" t="n"/>
      <c r="G229" s="52" t="n"/>
      <c r="H229" s="55" t="n"/>
      <c r="I229" s="71" t="n"/>
      <c r="J229" s="55" t="n"/>
      <c r="K229" s="18" t="n"/>
      <c r="L229" s="73" t="n"/>
      <c r="M229" s="73" t="n"/>
      <c r="N229" s="73" t="n"/>
      <c r="O229" s="19" t="n"/>
      <c r="P229" s="18" t="n"/>
      <c r="Q229" s="18" t="n"/>
      <c r="R229" s="73" t="n"/>
      <c r="S229" s="18" t="n"/>
      <c r="T229" s="18" t="n"/>
      <c r="U229" s="26">
        <f>D229+F229+-(H229+J229+L229+N229+P229+R229+T229)</f>
        <v/>
      </c>
      <c r="V229" t="inlineStr">
        <is>
          <t>VALVE AND PIPE</t>
        </is>
      </c>
    </row>
    <row r="230" ht="15" customHeight="1">
      <c r="A230" s="22">
        <f>A229+1</f>
        <v/>
      </c>
      <c r="B230" s="38" t="inlineStr">
        <is>
          <t>Straight Coupler 32 x 25</t>
        </is>
      </c>
      <c r="C230" s="123" t="inlineStr">
        <is>
          <t>PCS</t>
        </is>
      </c>
      <c r="D230" s="26">
        <f>'Week  (2)'!U230</f>
        <v/>
      </c>
      <c r="E230" s="124" t="n"/>
      <c r="F230" s="62" t="n"/>
      <c r="G230" s="25" t="n"/>
      <c r="H230" s="56" t="n"/>
      <c r="I230" s="19" t="n"/>
      <c r="J230" s="64" t="n"/>
      <c r="K230" s="18" t="n"/>
      <c r="L230" s="73" t="n"/>
      <c r="M230" s="73" t="n"/>
      <c r="N230" s="73" t="n"/>
      <c r="O230" s="19" t="n"/>
      <c r="P230" s="18" t="n"/>
      <c r="Q230" s="18" t="n"/>
      <c r="R230" s="73" t="n"/>
      <c r="S230" s="18" t="n"/>
      <c r="T230" s="18" t="n"/>
      <c r="U230" s="26">
        <f>D230+F230+-(H230+J230+L230+N230+P230+R230+T230)</f>
        <v/>
      </c>
      <c r="V230" t="inlineStr">
        <is>
          <t>VALVE AND PIPE</t>
        </is>
      </c>
    </row>
    <row r="231" ht="15" customHeight="1">
      <c r="A231" s="22">
        <f>A230+1</f>
        <v/>
      </c>
      <c r="B231" s="122" t="inlineStr">
        <is>
          <t>Switch Ceiling Fan</t>
        </is>
      </c>
      <c r="C231" s="123" t="inlineStr">
        <is>
          <t>PCS</t>
        </is>
      </c>
      <c r="D231" s="26">
        <f>'Week  (2)'!U231</f>
        <v/>
      </c>
      <c r="E231" s="125" t="n"/>
      <c r="F231" s="55" t="n"/>
      <c r="G231" s="52" t="n"/>
      <c r="H231" s="55" t="n"/>
      <c r="I231" s="71" t="n"/>
      <c r="J231" s="55" t="n"/>
      <c r="K231" s="18" t="n"/>
      <c r="L231" s="73" t="n"/>
      <c r="M231" s="73" t="inlineStr">
        <is>
          <t>Madura 5</t>
        </is>
      </c>
      <c r="N231" s="73" t="n">
        <v>1</v>
      </c>
      <c r="O231" s="19" t="n"/>
      <c r="P231" s="18" t="n"/>
      <c r="Q231" s="18" t="n"/>
      <c r="R231" s="73" t="n"/>
      <c r="S231" s="18" t="n"/>
      <c r="T231" s="18" t="n"/>
      <c r="U231" s="26">
        <f>D231+F231+-(H231+J231+L231+N231+P231+R231+T231)</f>
        <v/>
      </c>
      <c r="V231" t="inlineStr">
        <is>
          <t>ELECTRICAL</t>
        </is>
      </c>
    </row>
    <row r="232" ht="15" customHeight="1">
      <c r="A232" s="22">
        <f>A231+1</f>
        <v/>
      </c>
      <c r="B232" s="122" t="inlineStr">
        <is>
          <t>Switch Ceiling Lamp</t>
        </is>
      </c>
      <c r="C232" s="131" t="inlineStr">
        <is>
          <t>PCS</t>
        </is>
      </c>
      <c r="D232" s="26">
        <f>'Week  (2)'!U232</f>
        <v/>
      </c>
      <c r="E232" s="124" t="n"/>
      <c r="F232" s="62" t="n"/>
      <c r="G232" s="25" t="n"/>
      <c r="H232" s="56" t="n"/>
      <c r="I232" s="19" t="n"/>
      <c r="J232" s="64" t="n"/>
      <c r="K232" s="18" t="n"/>
      <c r="L232" s="73" t="n"/>
      <c r="M232" s="73" t="n"/>
      <c r="N232" s="73" t="n"/>
      <c r="O232" s="19" t="n"/>
      <c r="P232" s="18" t="n"/>
      <c r="Q232" s="18" t="n"/>
      <c r="R232" s="73" t="n"/>
      <c r="S232" s="18" t="n"/>
      <c r="T232" s="18" t="n"/>
      <c r="U232" s="26">
        <f>D232+F232+-(H232+J232+L232+N232+P232+R232+T232)</f>
        <v/>
      </c>
      <c r="V232" t="inlineStr">
        <is>
          <t>ELECTRICAL</t>
        </is>
      </c>
    </row>
    <row r="233" ht="30" customHeight="1">
      <c r="A233" s="22">
        <f>A232+1</f>
        <v/>
      </c>
      <c r="B233" s="30" t="inlineStr">
        <is>
          <t>Tap  for Kitchen Sink Dupon 8938 NC, Hot and Cold</t>
        </is>
      </c>
      <c r="C233" s="46" t="inlineStr">
        <is>
          <t>SET</t>
        </is>
      </c>
      <c r="D233" s="26">
        <f>'Week  (2)'!U233</f>
        <v/>
      </c>
      <c r="E233" s="125" t="n"/>
      <c r="F233" s="55" t="n"/>
      <c r="G233" s="52" t="n"/>
      <c r="H233" s="55" t="n"/>
      <c r="I233" s="71" t="n"/>
      <c r="J233" s="55" t="n"/>
      <c r="K233" s="18" t="n"/>
      <c r="L233" s="73" t="n"/>
      <c r="M233" s="73" t="n"/>
      <c r="N233" s="73" t="n"/>
      <c r="O233" s="19" t="n"/>
      <c r="P233" s="18" t="n"/>
      <c r="Q233" s="18" t="n"/>
      <c r="R233" s="73" t="n"/>
      <c r="S233" s="18" t="n"/>
      <c r="T233" s="18" t="n"/>
      <c r="U233" s="26">
        <f>D233+F233+-(H233+J233+L233+N233+P233+R233+T233)</f>
        <v/>
      </c>
      <c r="V233" t="inlineStr">
        <is>
          <t>VALVE AND PIPE</t>
        </is>
      </c>
    </row>
    <row r="234" ht="30" customHeight="1">
      <c r="A234" s="22">
        <f>A233+1</f>
        <v/>
      </c>
      <c r="B234" s="122" t="inlineStr">
        <is>
          <t>Tap  for Washbasin Dupon, Hot and Cold</t>
        </is>
      </c>
      <c r="C234" s="46" t="inlineStr">
        <is>
          <t>SET</t>
        </is>
      </c>
      <c r="D234" s="26">
        <f>'Week  (2)'!U234</f>
        <v/>
      </c>
      <c r="E234" s="124" t="n"/>
      <c r="F234" s="62" t="n"/>
      <c r="G234" s="25" t="n"/>
      <c r="H234" s="56" t="n"/>
      <c r="I234" s="19" t="n"/>
      <c r="J234" s="64" t="n"/>
      <c r="K234" s="18" t="n"/>
      <c r="L234" s="73" t="n"/>
      <c r="M234" s="73" t="n"/>
      <c r="N234" s="73" t="n"/>
      <c r="O234" s="19" t="n"/>
      <c r="P234" s="18" t="n"/>
      <c r="Q234" s="18" t="n"/>
      <c r="R234" s="73" t="n"/>
      <c r="S234" s="18" t="n"/>
      <c r="T234" s="18" t="n"/>
      <c r="U234" s="26">
        <f>D234+F234+-(H234+J234+L234+N234+P234+R234+T234)</f>
        <v/>
      </c>
      <c r="V234" t="inlineStr">
        <is>
          <t>VALVE AND PIPE</t>
        </is>
      </c>
    </row>
    <row r="235" ht="30" customHeight="1">
      <c r="A235" s="22">
        <f>A234+1</f>
        <v/>
      </c>
      <c r="B235" s="122" t="inlineStr">
        <is>
          <t>Tap  for Washbasin FIORENTINO , Hot and Cold</t>
        </is>
      </c>
      <c r="C235" s="46" t="inlineStr">
        <is>
          <t>SET</t>
        </is>
      </c>
      <c r="D235" s="26">
        <f>'Week  (2)'!U235</f>
        <v/>
      </c>
      <c r="E235" s="125" t="n"/>
      <c r="F235" s="55" t="n"/>
      <c r="G235" s="52" t="n"/>
      <c r="H235" s="55" t="n"/>
      <c r="I235" s="71" t="n"/>
      <c r="J235" s="55" t="n"/>
      <c r="K235" s="18" t="n"/>
      <c r="L235" s="73" t="n"/>
      <c r="M235" s="73" t="n"/>
      <c r="N235" s="73" t="n"/>
      <c r="O235" s="19" t="n"/>
      <c r="P235" s="18" t="n"/>
      <c r="Q235" s="18" t="n"/>
      <c r="R235" s="73" t="n"/>
      <c r="S235" s="18" t="n"/>
      <c r="T235" s="18" t="n"/>
      <c r="U235" s="26">
        <f>D235+F235+-(H235+J235+L235+N235+P235+R235+T235)</f>
        <v/>
      </c>
      <c r="V235" t="inlineStr">
        <is>
          <t>VALVE AND PIPE</t>
        </is>
      </c>
    </row>
    <row r="236" ht="15" customHeight="1">
      <c r="A236" s="22">
        <f>A235+1</f>
        <v/>
      </c>
      <c r="B236" s="122" t="inlineStr">
        <is>
          <t>Tap  Mono Wash Basin</t>
        </is>
      </c>
      <c r="C236" s="46" t="inlineStr">
        <is>
          <t>SET</t>
        </is>
      </c>
      <c r="D236" s="26">
        <f>'Week  (2)'!U236</f>
        <v/>
      </c>
      <c r="E236" s="124" t="n"/>
      <c r="F236" s="62" t="n"/>
      <c r="G236" s="25" t="n"/>
      <c r="H236" s="56" t="n"/>
      <c r="I236" s="19" t="n"/>
      <c r="J236" s="64" t="n"/>
      <c r="K236" s="18" t="n"/>
      <c r="L236" s="73" t="n"/>
      <c r="M236" s="73" t="n"/>
      <c r="N236" s="73" t="n"/>
      <c r="O236" s="19" t="n"/>
      <c r="P236" s="18" t="n"/>
      <c r="Q236" s="18" t="n"/>
      <c r="R236" s="73" t="n"/>
      <c r="S236" s="18" t="n"/>
      <c r="T236" s="18" t="n"/>
      <c r="U236" s="26">
        <f>D236+F236+-(H236+J236+L236+N236+P236+R236+T236)</f>
        <v/>
      </c>
      <c r="V236" t="inlineStr">
        <is>
          <t>VALVE AND PIPE</t>
        </is>
      </c>
    </row>
    <row r="237" ht="28.5" customHeight="1">
      <c r="A237" s="22">
        <f>A236+1</f>
        <v/>
      </c>
      <c r="B237" s="122" t="inlineStr">
        <is>
          <t>Tap for Mono  Shower</t>
        </is>
      </c>
      <c r="C237" s="131" t="inlineStr">
        <is>
          <t>PCS</t>
        </is>
      </c>
      <c r="D237" s="26">
        <f>'Week  (2)'!U237</f>
        <v/>
      </c>
      <c r="E237" s="125" t="n"/>
      <c r="F237" s="55" t="n"/>
      <c r="G237" s="25" t="n"/>
      <c r="H237" s="55" t="n"/>
      <c r="I237" s="71" t="n"/>
      <c r="J237" s="55" t="n"/>
      <c r="K237" s="18" t="n"/>
      <c r="L237" s="73" t="n"/>
      <c r="M237" s="73" t="n"/>
      <c r="N237" s="73" t="n"/>
      <c r="O237" s="19" t="n"/>
      <c r="P237" s="18" t="n"/>
      <c r="Q237" s="18" t="n"/>
      <c r="R237" s="73" t="n"/>
      <c r="S237" s="18" t="n"/>
      <c r="T237" s="18" t="n"/>
      <c r="U237" s="26">
        <f>D237+F237+-(H237+J237+L237+N237+P237+R237+T237)</f>
        <v/>
      </c>
      <c r="V237" t="inlineStr">
        <is>
          <t>VALVE AND PIPE</t>
        </is>
      </c>
    </row>
    <row r="238" ht="30" customHeight="1">
      <c r="A238" s="22">
        <f>A237+1</f>
        <v/>
      </c>
      <c r="B238" s="122" t="inlineStr">
        <is>
          <t xml:space="preserve">Tap for Shower, Dupon  Hot &amp; Clod </t>
        </is>
      </c>
      <c r="C238" s="131" t="inlineStr">
        <is>
          <t>SET</t>
        </is>
      </c>
      <c r="D238" s="26">
        <f>'Week  (2)'!U238</f>
        <v/>
      </c>
      <c r="E238" s="124" t="n"/>
      <c r="F238" s="62" t="n"/>
      <c r="G238" s="25" t="n"/>
      <c r="H238" s="56" t="n"/>
      <c r="I238" s="19" t="n"/>
      <c r="J238" s="64" t="n"/>
      <c r="K238" s="18" t="n"/>
      <c r="L238" s="73" t="n"/>
      <c r="M238" s="73" t="n"/>
      <c r="N238" s="73" t="n"/>
      <c r="O238" s="19" t="n"/>
      <c r="P238" s="18" t="n"/>
      <c r="Q238" s="18" t="n"/>
      <c r="R238" s="73" t="n"/>
      <c r="S238" s="18" t="n"/>
      <c r="T238" s="18" t="n"/>
      <c r="U238" s="26">
        <f>D238+F238+-(H238+J238+L238+N238+P238+R238+T238)</f>
        <v/>
      </c>
      <c r="V238" t="inlineStr">
        <is>
          <t>VALVE AND PIPE</t>
        </is>
      </c>
    </row>
    <row r="239" ht="30" customHeight="1">
      <c r="A239" s="22">
        <f>A238+1</f>
        <v/>
      </c>
      <c r="B239" s="122" t="inlineStr">
        <is>
          <t xml:space="preserve">Tap for Shower, WASER  Hot &amp; Clod </t>
        </is>
      </c>
      <c r="C239" s="131" t="inlineStr">
        <is>
          <t>SET</t>
        </is>
      </c>
      <c r="D239" s="26">
        <f>'Week  (2)'!U239</f>
        <v/>
      </c>
      <c r="E239" s="125" t="n"/>
      <c r="F239" s="55" t="n"/>
      <c r="G239" s="52" t="n"/>
      <c r="H239" s="55" t="n"/>
      <c r="I239" s="71" t="n"/>
      <c r="J239" s="55" t="n"/>
      <c r="K239" s="18" t="n"/>
      <c r="L239" s="73" t="n"/>
      <c r="M239" s="73" t="n"/>
      <c r="N239" s="73" t="n"/>
      <c r="O239" s="19" t="n"/>
      <c r="P239" s="18" t="n"/>
      <c r="Q239" s="18" t="n"/>
      <c r="R239" s="73" t="n"/>
      <c r="S239" s="18" t="n"/>
      <c r="T239" s="18" t="n"/>
      <c r="U239" s="26">
        <f>D239+F239+-(H239+J239+L239+N239+P239+R239+T239)</f>
        <v/>
      </c>
      <c r="V239" t="inlineStr">
        <is>
          <t>VALVE AND PIPE</t>
        </is>
      </c>
    </row>
    <row r="240" ht="15" customHeight="1">
      <c r="A240" s="22">
        <f>A239+1</f>
        <v/>
      </c>
      <c r="B240" s="43" t="inlineStr">
        <is>
          <t>Tap of Bath Tub, Dupon</t>
        </is>
      </c>
      <c r="C240" s="131" t="inlineStr">
        <is>
          <t>SET</t>
        </is>
      </c>
      <c r="D240" s="26">
        <f>'Week  (2)'!U240</f>
        <v/>
      </c>
      <c r="E240" s="124" t="n"/>
      <c r="F240" s="62" t="n"/>
      <c r="G240" s="25" t="n"/>
      <c r="H240" s="56" t="n"/>
      <c r="I240" s="19" t="n"/>
      <c r="J240" s="64" t="n"/>
      <c r="K240" s="18" t="n"/>
      <c r="L240" s="73" t="n"/>
      <c r="M240" s="73" t="n"/>
      <c r="N240" s="73" t="n"/>
      <c r="O240" s="19" t="n"/>
      <c r="P240" s="18" t="n"/>
      <c r="Q240" s="18" t="n"/>
      <c r="R240" s="73" t="n"/>
      <c r="S240" s="18" t="n"/>
      <c r="T240" s="18" t="n"/>
      <c r="U240" s="26">
        <f>D240+F240+-(H240+J240+L240+N240+P240+R240+T240)</f>
        <v/>
      </c>
      <c r="V240" t="inlineStr">
        <is>
          <t>VALVE AND PIPE</t>
        </is>
      </c>
    </row>
    <row r="241" ht="15" customHeight="1">
      <c r="A241" s="22">
        <f>A240+1</f>
        <v/>
      </c>
      <c r="B241" s="43" t="inlineStr">
        <is>
          <t xml:space="preserve">Tap of Bath Tub, WASSER </t>
        </is>
      </c>
      <c r="C241" s="131" t="inlineStr">
        <is>
          <t>SET</t>
        </is>
      </c>
      <c r="D241" s="26">
        <f>'Week  (2)'!U241</f>
        <v/>
      </c>
      <c r="E241" s="125" t="n"/>
      <c r="F241" s="55" t="n"/>
      <c r="G241" s="52" t="n"/>
      <c r="H241" s="55" t="n"/>
      <c r="I241" s="71" t="n"/>
      <c r="J241" s="55" t="n"/>
      <c r="K241" s="18" t="n"/>
      <c r="L241" s="73" t="n"/>
      <c r="M241" s="73" t="n"/>
      <c r="N241" s="73" t="n"/>
      <c r="O241" s="19" t="n"/>
      <c r="P241" s="18" t="n"/>
      <c r="Q241" s="18" t="n"/>
      <c r="R241" s="73" t="n"/>
      <c r="S241" s="18" t="n"/>
      <c r="T241" s="18" t="n"/>
      <c r="U241" s="26">
        <f>D241+F241+-(H241+J241+L241+N241+P241+R241+T241)</f>
        <v/>
      </c>
      <c r="V241" t="inlineStr">
        <is>
          <t>VALVE AND PIPE</t>
        </is>
      </c>
    </row>
    <row r="242" ht="15" customHeight="1">
      <c r="A242" s="22">
        <f>A241+1</f>
        <v/>
      </c>
      <c r="B242" s="122" t="inlineStr">
        <is>
          <t>Tap of Water Dispenser</t>
        </is>
      </c>
      <c r="C242" s="131" t="inlineStr">
        <is>
          <t>PCS</t>
        </is>
      </c>
      <c r="D242" s="26">
        <f>'Week  (2)'!U242</f>
        <v/>
      </c>
      <c r="E242" s="124" t="n"/>
      <c r="F242" s="62" t="n"/>
      <c r="G242" s="25" t="n"/>
      <c r="H242" s="56" t="n"/>
      <c r="I242" s="19" t="n"/>
      <c r="J242" s="64" t="n"/>
      <c r="K242" s="18" t="n"/>
      <c r="L242" s="73" t="n"/>
      <c r="M242" s="73" t="n"/>
      <c r="N242" s="73" t="n"/>
      <c r="O242" s="19" t="n"/>
      <c r="P242" s="18" t="n"/>
      <c r="Q242" s="18" t="n"/>
      <c r="R242" s="73" t="n"/>
      <c r="S242" s="18" t="n"/>
      <c r="T242" s="18" t="n"/>
      <c r="U242" s="26">
        <f>D242+F242+-(H242+J242+L242+N242+P242+R242+T242)</f>
        <v/>
      </c>
      <c r="V242" t="inlineStr">
        <is>
          <t>CONSUMABLE</t>
        </is>
      </c>
    </row>
    <row r="243" ht="30" customHeight="1">
      <c r="A243" s="22">
        <f>A242+1</f>
        <v/>
      </c>
      <c r="B243" s="122" t="inlineStr">
        <is>
          <t>Tap size 0.5", ONDA ( KRAN ONDA )</t>
        </is>
      </c>
      <c r="C243" s="131" t="inlineStr">
        <is>
          <t>PCS</t>
        </is>
      </c>
      <c r="D243" s="26">
        <f>'Week  (2)'!U243</f>
        <v/>
      </c>
      <c r="E243" s="125" t="n"/>
      <c r="F243" s="55" t="n"/>
      <c r="G243" s="125" t="n"/>
      <c r="H243" s="55" t="n"/>
      <c r="I243" s="71" t="n"/>
      <c r="J243" s="55" t="n"/>
      <c r="K243" s="18" t="n"/>
      <c r="L243" s="73" t="n"/>
      <c r="M243" s="73" t="n"/>
      <c r="N243" s="73" t="n"/>
      <c r="O243" s="19" t="n"/>
      <c r="P243" s="18" t="n"/>
      <c r="Q243" s="18" t="n"/>
      <c r="R243" s="73" t="n"/>
      <c r="S243" s="18" t="n"/>
      <c r="T243" s="18" t="n"/>
      <c r="U243" s="26">
        <f>D243+F243+-(H243+J243+L243+N243+P243+R243+T243)</f>
        <v/>
      </c>
      <c r="V243" t="inlineStr">
        <is>
          <t>VALVE AND PIPE</t>
        </is>
      </c>
    </row>
    <row r="244">
      <c r="A244" s="22">
        <f>A243+1</f>
        <v/>
      </c>
      <c r="B244" s="79" t="inlineStr">
        <is>
          <t>Tee Besi 1/2"</t>
        </is>
      </c>
      <c r="C244" s="18" t="inlineStr">
        <is>
          <t>Pcs</t>
        </is>
      </c>
      <c r="D244" s="26">
        <f>'Week  (2)'!U244</f>
        <v/>
      </c>
      <c r="E244" s="124" t="n"/>
      <c r="F244" s="62" t="n"/>
      <c r="G244" s="25" t="n"/>
      <c r="H244" s="56" t="n"/>
      <c r="I244" s="19" t="n"/>
      <c r="J244" s="64" t="n"/>
      <c r="K244" s="18" t="n"/>
      <c r="L244" s="73" t="n"/>
      <c r="M244" s="73" t="n"/>
      <c r="N244" s="73" t="n"/>
      <c r="O244" s="19" t="n"/>
      <c r="P244" s="18" t="n"/>
      <c r="Q244" s="18" t="n"/>
      <c r="R244" s="73" t="n"/>
      <c r="S244" s="18" t="n"/>
      <c r="T244" s="18" t="n"/>
      <c r="U244" s="26">
        <f>D244+F244+-(H244+J244+L244+N244+P244+R244+T244)</f>
        <v/>
      </c>
      <c r="V244" t="inlineStr">
        <is>
          <t>VALVE AND PIPE</t>
        </is>
      </c>
    </row>
    <row r="245" ht="15" customHeight="1">
      <c r="A245" s="22">
        <f>A244+1</f>
        <v/>
      </c>
      <c r="B245" s="122" t="inlineStr">
        <is>
          <t>Tee Galvanis</t>
        </is>
      </c>
      <c r="C245" s="131" t="inlineStr">
        <is>
          <t>PCS</t>
        </is>
      </c>
      <c r="D245" s="26">
        <f>'Week  (2)'!U245</f>
        <v/>
      </c>
      <c r="E245" s="125" t="n"/>
      <c r="F245" s="55" t="n"/>
      <c r="G245" s="52" t="n"/>
      <c r="H245" s="55" t="n"/>
      <c r="I245" s="71" t="n"/>
      <c r="J245" s="55" t="n"/>
      <c r="K245" s="18" t="n"/>
      <c r="L245" s="73" t="n"/>
      <c r="M245" s="73" t="n"/>
      <c r="N245" s="73" t="n"/>
      <c r="O245" s="19" t="n"/>
      <c r="P245" s="18" t="n"/>
      <c r="Q245" s="18" t="n"/>
      <c r="R245" s="73" t="n"/>
      <c r="S245" s="18" t="n"/>
      <c r="T245" s="18" t="n"/>
      <c r="U245" s="26">
        <f>D245+F245+-(H245+J245+L245+N245+P245+R245+T245)</f>
        <v/>
      </c>
      <c r="V245" t="inlineStr">
        <is>
          <t>VALVE AND PIPE</t>
        </is>
      </c>
    </row>
    <row r="246">
      <c r="A246" s="22">
        <f>A245+1</f>
        <v/>
      </c>
      <c r="B246" s="79" t="inlineStr">
        <is>
          <t>TEE PVC AW  1"</t>
        </is>
      </c>
      <c r="C246" s="18" t="inlineStr">
        <is>
          <t>Pcs</t>
        </is>
      </c>
      <c r="D246" s="26">
        <f>'Week  (2)'!U246</f>
        <v/>
      </c>
      <c r="E246" s="124" t="n"/>
      <c r="F246" s="62" t="n"/>
      <c r="G246" s="25" t="n"/>
      <c r="H246" s="56" t="n"/>
      <c r="I246" s="19" t="n"/>
      <c r="J246" s="64" t="n"/>
      <c r="K246" s="18" t="n"/>
      <c r="L246" s="73" t="n"/>
      <c r="M246" s="73" t="n"/>
      <c r="N246" s="73" t="n"/>
      <c r="O246" s="19" t="n"/>
      <c r="P246" s="18" t="n"/>
      <c r="Q246" s="18" t="n"/>
      <c r="R246" s="73" t="n"/>
      <c r="S246" s="18" t="n"/>
      <c r="T246" s="18" t="n"/>
      <c r="U246" s="26">
        <f>D246+F246+-(H246+J246+L246+N246+P246+R246+T246)</f>
        <v/>
      </c>
      <c r="V246" t="inlineStr">
        <is>
          <t>VALVE AND PIPE</t>
        </is>
      </c>
    </row>
    <row r="247">
      <c r="A247" s="22">
        <f>A246+1</f>
        <v/>
      </c>
      <c r="B247" s="79" t="inlineStr">
        <is>
          <t>TEE PVC AW  3/4"</t>
        </is>
      </c>
      <c r="C247" s="18" t="inlineStr">
        <is>
          <t>Pcs</t>
        </is>
      </c>
      <c r="D247" s="26">
        <f>'Week  (2)'!U247</f>
        <v/>
      </c>
      <c r="E247" s="124" t="n"/>
      <c r="F247" s="55" t="n"/>
      <c r="G247" s="52" t="n"/>
      <c r="H247" s="55" t="n"/>
      <c r="I247" s="71" t="n"/>
      <c r="J247" s="55" t="n"/>
      <c r="K247" s="18" t="n"/>
      <c r="L247" s="73" t="n"/>
      <c r="M247" s="73" t="n"/>
      <c r="N247" s="73" t="n"/>
      <c r="O247" s="19" t="n"/>
      <c r="P247" s="18" t="n"/>
      <c r="Q247" s="18" t="n"/>
      <c r="R247" s="73" t="n"/>
      <c r="S247" s="18" t="n"/>
      <c r="T247" s="18" t="n"/>
      <c r="U247" s="26">
        <f>D247+F247+-(H247+J247+L247+N247+P247+R247+T247)</f>
        <v/>
      </c>
      <c r="V247" t="inlineStr">
        <is>
          <t>VALVE AND PIPE</t>
        </is>
      </c>
    </row>
    <row r="248">
      <c r="A248" s="22">
        <f>A247+1</f>
        <v/>
      </c>
      <c r="B248" s="79" t="inlineStr">
        <is>
          <t>TEE PVC AW 1/2"</t>
        </is>
      </c>
      <c r="C248" s="18" t="inlineStr">
        <is>
          <t>Pcs</t>
        </is>
      </c>
      <c r="D248" s="26">
        <f>'Week  (2)'!U248</f>
        <v/>
      </c>
      <c r="E248" s="124" t="n"/>
      <c r="F248" s="62" t="n"/>
      <c r="G248" s="25" t="n"/>
      <c r="H248" s="56" t="n"/>
      <c r="I248" s="19" t="n"/>
      <c r="J248" s="64" t="n"/>
      <c r="K248" s="18" t="n"/>
      <c r="L248" s="73" t="n"/>
      <c r="M248" s="73" t="n"/>
      <c r="N248" s="73" t="n"/>
      <c r="O248" s="19" t="n"/>
      <c r="P248" s="18" t="n"/>
      <c r="Q248" s="18" t="n"/>
      <c r="R248" s="73" t="n"/>
      <c r="S248" s="18" t="n"/>
      <c r="T248" s="18" t="n"/>
      <c r="U248" s="26">
        <f>D248+F248+-(H248+J248+L248+N248+P248+R248+T248)</f>
        <v/>
      </c>
      <c r="V248" t="inlineStr">
        <is>
          <t>VALVE AND PIPE</t>
        </is>
      </c>
    </row>
    <row r="249">
      <c r="A249" s="22">
        <f>A248+1</f>
        <v/>
      </c>
      <c r="B249" s="79" t="inlineStr">
        <is>
          <t>TEE PVC AW 2"</t>
        </is>
      </c>
      <c r="C249" s="18" t="inlineStr">
        <is>
          <t>Pcs</t>
        </is>
      </c>
      <c r="D249" s="26">
        <f>'Week  (2)'!U249</f>
        <v/>
      </c>
      <c r="E249" s="125" t="n"/>
      <c r="F249" s="55" t="n"/>
      <c r="G249" s="52" t="n"/>
      <c r="H249" s="55" t="n"/>
      <c r="I249" s="71" t="n"/>
      <c r="J249" s="55" t="n"/>
      <c r="K249" s="18" t="n"/>
      <c r="L249" s="73" t="n"/>
      <c r="M249" s="73" t="n"/>
      <c r="N249" s="73" t="n"/>
      <c r="O249" s="19" t="n"/>
      <c r="P249" s="18" t="n"/>
      <c r="Q249" s="18" t="n"/>
      <c r="R249" s="73" t="n"/>
      <c r="S249" s="18" t="n"/>
      <c r="T249" s="18" t="n"/>
      <c r="U249" s="26">
        <f>D249+F249+-(H249+J249+L249+N249+P249+R249+T249)</f>
        <v/>
      </c>
      <c r="V249" t="inlineStr">
        <is>
          <t>VALVE AND PIPE</t>
        </is>
      </c>
    </row>
    <row r="250" ht="15" customHeight="1">
      <c r="A250" s="22">
        <f>A249+1</f>
        <v/>
      </c>
      <c r="B250" s="30" t="inlineStr">
        <is>
          <t>TERMINAL 4 PAIR</t>
        </is>
      </c>
      <c r="C250" s="46" t="inlineStr">
        <is>
          <t>PCS</t>
        </is>
      </c>
      <c r="D250" s="26">
        <f>'Week  (2)'!U250</f>
        <v/>
      </c>
      <c r="E250" s="124" t="n"/>
      <c r="F250" s="62" t="n"/>
      <c r="G250" s="25" t="n"/>
      <c r="H250" s="56" t="n"/>
      <c r="I250" s="19" t="n"/>
      <c r="J250" s="64" t="n"/>
      <c r="K250" s="18" t="n"/>
      <c r="L250" s="73" t="n"/>
      <c r="M250" s="73" t="n"/>
      <c r="N250" s="73" t="n"/>
      <c r="O250" s="19" t="n"/>
      <c r="P250" s="18" t="n"/>
      <c r="Q250" s="18" t="n"/>
      <c r="R250" s="73" t="n"/>
      <c r="S250" s="18" t="n"/>
      <c r="T250" s="18" t="n"/>
      <c r="U250" s="26">
        <f>D250+F250+-(H250+J250+L250+N250+P250+R250+T250)</f>
        <v/>
      </c>
      <c r="V250" t="inlineStr">
        <is>
          <t>ELECTRICAL</t>
        </is>
      </c>
    </row>
    <row r="251" ht="15" customHeight="1">
      <c r="A251" s="22">
        <f>A250+1</f>
        <v/>
      </c>
      <c r="B251" s="30" t="inlineStr">
        <is>
          <t>TEMPAT HANDUK</t>
        </is>
      </c>
      <c r="C251" s="46" t="inlineStr">
        <is>
          <t>SET</t>
        </is>
      </c>
      <c r="D251" s="26">
        <f>'Week  (2)'!U251</f>
        <v/>
      </c>
      <c r="E251" s="125" t="n"/>
      <c r="F251" s="55" t="n"/>
      <c r="G251" s="52" t="n"/>
      <c r="H251" s="55" t="n"/>
      <c r="I251" s="71" t="n"/>
      <c r="J251" s="55" t="n"/>
      <c r="K251" s="18" t="n"/>
      <c r="L251" s="73" t="n"/>
      <c r="M251" s="73" t="n"/>
      <c r="N251" s="73" t="n"/>
      <c r="O251" s="19" t="n"/>
      <c r="P251" s="18" t="n"/>
      <c r="Q251" s="18" t="n"/>
      <c r="R251" s="73" t="n"/>
      <c r="S251" s="18" t="n"/>
      <c r="T251" s="18" t="n"/>
      <c r="U251" s="26">
        <f>D251+F251+-(H251+J251+L251+N251+P251+R251+T251)</f>
        <v/>
      </c>
      <c r="V251" t="inlineStr">
        <is>
          <t>CONSUMABLE</t>
        </is>
      </c>
    </row>
    <row r="252" ht="60" customHeight="1">
      <c r="A252" s="22">
        <f>A251+1</f>
        <v/>
      </c>
      <c r="B252" s="43" t="inlineStr">
        <is>
          <t>Thinner A Special</t>
        </is>
      </c>
      <c r="C252" s="46" t="inlineStr">
        <is>
          <t>LTR</t>
        </is>
      </c>
      <c r="D252" s="26">
        <f>'Week  (2)'!U252</f>
        <v/>
      </c>
      <c r="E252" s="129" t="n"/>
      <c r="F252" s="62" t="n"/>
      <c r="G252" s="19" t="n"/>
      <c r="H252" s="18" t="n"/>
      <c r="I252" s="19" t="inlineStr">
        <is>
          <t>Lap basket</t>
        </is>
      </c>
      <c r="J252" s="18" t="n">
        <v>2</v>
      </c>
      <c r="K252" s="19" t="n"/>
      <c r="L252" s="18" t="n"/>
      <c r="M252" s="19" t="n"/>
      <c r="N252" s="18" t="n"/>
      <c r="O252" s="19" t="n"/>
      <c r="P252" s="70" t="n"/>
      <c r="Q252" s="19" t="n"/>
      <c r="R252" s="70" t="n"/>
      <c r="S252" s="18" t="n"/>
      <c r="T252" s="18" t="n"/>
      <c r="U252" s="26">
        <f>D252+F252+-(H252+J252+L252+N252+P252+R252+T252)</f>
        <v/>
      </c>
      <c r="V252" t="inlineStr">
        <is>
          <t>CIVIL</t>
        </is>
      </c>
    </row>
    <row r="253" ht="15" customHeight="1">
      <c r="A253" s="22">
        <f>A252+1</f>
        <v/>
      </c>
      <c r="B253" s="122" t="inlineStr">
        <is>
          <t>TL Lamp 18 W, Ballas Philips</t>
        </is>
      </c>
      <c r="C253" s="131" t="inlineStr">
        <is>
          <t>PCS</t>
        </is>
      </c>
      <c r="D253" s="26">
        <f>'Week  (2)'!U253</f>
        <v/>
      </c>
      <c r="E253" s="125" t="n"/>
      <c r="F253" s="55" t="n"/>
      <c r="G253" s="52" t="n"/>
      <c r="H253" s="55" t="n"/>
      <c r="I253" s="71" t="n"/>
      <c r="J253" s="55" t="n"/>
      <c r="K253" s="18" t="n"/>
      <c r="L253" s="73" t="n"/>
      <c r="M253" s="73" t="n"/>
      <c r="N253" s="73" t="n"/>
      <c r="O253" s="19" t="n"/>
      <c r="P253" s="18" t="n"/>
      <c r="Q253" s="18" t="n"/>
      <c r="R253" s="73" t="n"/>
      <c r="S253" s="18" t="n"/>
      <c r="T253" s="18" t="n"/>
      <c r="U253" s="26">
        <f>D253+F253+-(H253+J253+L253+N253+P253+R253+T253)</f>
        <v/>
      </c>
      <c r="V253" t="inlineStr">
        <is>
          <t>LAMP</t>
        </is>
      </c>
    </row>
    <row r="254" ht="15" customHeight="1">
      <c r="A254" s="22">
        <f>A253+1</f>
        <v/>
      </c>
      <c r="B254" s="122" t="inlineStr">
        <is>
          <t>TL Lamp 18 W, Philips</t>
        </is>
      </c>
      <c r="C254" s="131" t="inlineStr">
        <is>
          <t>PCS</t>
        </is>
      </c>
      <c r="D254" s="26">
        <f>'Week  (2)'!U254</f>
        <v/>
      </c>
      <c r="E254" s="124" t="n"/>
      <c r="F254" s="62" t="n"/>
      <c r="G254" s="25" t="n"/>
      <c r="H254" s="56" t="n"/>
      <c r="I254" s="19" t="n"/>
      <c r="J254" s="64" t="n"/>
      <c r="K254" s="18" t="n"/>
      <c r="L254" s="73" t="n"/>
      <c r="M254" s="73" t="n"/>
      <c r="N254" s="73" t="n"/>
      <c r="O254" s="19" t="n"/>
      <c r="P254" s="18" t="n"/>
      <c r="Q254" s="18" t="n"/>
      <c r="R254" s="73" t="n"/>
      <c r="S254" s="18" t="n"/>
      <c r="T254" s="18" t="n"/>
      <c r="U254" s="26">
        <f>D254+F254+-(H254+J254+L254+N254+P254+R254+T254)</f>
        <v/>
      </c>
      <c r="V254" t="inlineStr">
        <is>
          <t>LAMP</t>
        </is>
      </c>
    </row>
    <row r="255" ht="15" customHeight="1">
      <c r="A255" s="22">
        <f>A254+1</f>
        <v/>
      </c>
      <c r="B255" s="122" t="inlineStr">
        <is>
          <t>TL Lamp 36 W, Ballas Philips</t>
        </is>
      </c>
      <c r="C255" s="131" t="inlineStr">
        <is>
          <t>PCS</t>
        </is>
      </c>
      <c r="D255" s="26">
        <f>'Week  (2)'!U255</f>
        <v/>
      </c>
      <c r="E255" s="125" t="n"/>
      <c r="F255" s="55" t="n"/>
      <c r="G255" s="52" t="n"/>
      <c r="H255" s="55" t="n"/>
      <c r="I255" s="71" t="n"/>
      <c r="J255" s="55" t="n"/>
      <c r="K255" s="18" t="n"/>
      <c r="L255" s="73" t="n"/>
      <c r="M255" s="73" t="n"/>
      <c r="N255" s="73" t="n"/>
      <c r="O255" s="19" t="n"/>
      <c r="P255" s="18" t="n"/>
      <c r="Q255" s="18" t="n"/>
      <c r="R255" s="73" t="n"/>
      <c r="S255" s="18" t="n"/>
      <c r="T255" s="18" t="n"/>
      <c r="U255" s="26">
        <f>D255+F255+-(H255+J255+L255+N255+P255+R255+T255)</f>
        <v/>
      </c>
      <c r="V255" t="inlineStr">
        <is>
          <t>LAMP</t>
        </is>
      </c>
    </row>
    <row r="256" ht="15" customHeight="1">
      <c r="A256" s="22">
        <f>A255+1</f>
        <v/>
      </c>
      <c r="B256" s="30" t="inlineStr">
        <is>
          <t>TL Lamp 36/40 W, Philips</t>
        </is>
      </c>
      <c r="C256" s="47" t="inlineStr">
        <is>
          <t>PCS</t>
        </is>
      </c>
      <c r="D256" s="26">
        <f>'Week  (2)'!U256</f>
        <v/>
      </c>
      <c r="E256" s="124" t="n"/>
      <c r="F256" s="62" t="n"/>
      <c r="G256" s="25" t="n"/>
      <c r="H256" s="56" t="n"/>
      <c r="I256" s="19" t="n"/>
      <c r="J256" s="64" t="n"/>
      <c r="K256" s="18" t="n"/>
      <c r="L256" s="73" t="n"/>
      <c r="M256" s="73" t="n"/>
      <c r="N256" s="73" t="n"/>
      <c r="O256" s="19" t="n"/>
      <c r="P256" s="18" t="n"/>
      <c r="Q256" s="18" t="n"/>
      <c r="R256" s="73" t="n"/>
      <c r="S256" s="18" t="n"/>
      <c r="T256" s="18" t="n"/>
      <c r="U256" s="26">
        <f>D256+F256+-(H256+J256+L256+N256+P256+R256+T256)</f>
        <v/>
      </c>
      <c r="V256" t="inlineStr">
        <is>
          <t>LAMP</t>
        </is>
      </c>
    </row>
    <row r="257" ht="15" customHeight="1">
      <c r="A257" s="22">
        <f>A256+1</f>
        <v/>
      </c>
      <c r="B257" s="122" t="inlineStr">
        <is>
          <t>TL RING 22 W, Philips</t>
        </is>
      </c>
      <c r="C257" s="47" t="inlineStr">
        <is>
          <t>PCS</t>
        </is>
      </c>
      <c r="D257" s="26">
        <f>'Week  (2)'!U257</f>
        <v/>
      </c>
      <c r="E257" s="125" t="n"/>
      <c r="F257" s="55" t="n"/>
      <c r="G257" s="52" t="n"/>
      <c r="H257" s="55" t="n"/>
      <c r="I257" s="71" t="n"/>
      <c r="J257" s="55" t="n"/>
      <c r="K257" s="18" t="n"/>
      <c r="L257" s="73" t="n"/>
      <c r="M257" s="73" t="n"/>
      <c r="N257" s="73" t="n"/>
      <c r="O257" s="19" t="n"/>
      <c r="P257" s="18" t="n"/>
      <c r="Q257" s="18" t="n"/>
      <c r="R257" s="73" t="n"/>
      <c r="S257" s="18" t="n"/>
      <c r="T257" s="18" t="n"/>
      <c r="U257" s="26">
        <f>D257+F257+-(H257+J257+L257+N257+P257+R257+T257)</f>
        <v/>
      </c>
      <c r="V257" t="inlineStr">
        <is>
          <t>LAMP</t>
        </is>
      </c>
    </row>
    <row r="258" ht="15" customHeight="1">
      <c r="A258" s="22">
        <f>A257+1</f>
        <v/>
      </c>
      <c r="B258" s="122" t="inlineStr">
        <is>
          <t>TL RING 32 W, Philips</t>
        </is>
      </c>
      <c r="C258" s="132" t="inlineStr">
        <is>
          <t>PCS</t>
        </is>
      </c>
      <c r="D258" s="26">
        <f>'Week  (2)'!U258</f>
        <v/>
      </c>
      <c r="E258" s="124" t="n"/>
      <c r="F258" s="62" t="n"/>
      <c r="G258" s="25" t="n"/>
      <c r="H258" s="56" t="n"/>
      <c r="I258" s="19" t="n"/>
      <c r="J258" s="64" t="n"/>
      <c r="K258" s="18" t="n"/>
      <c r="L258" s="73" t="n"/>
      <c r="M258" s="73" t="n"/>
      <c r="N258" s="73" t="n"/>
      <c r="O258" s="19" t="n"/>
      <c r="P258" s="18" t="n"/>
      <c r="Q258" s="18" t="n"/>
      <c r="R258" s="73" t="n"/>
      <c r="S258" s="18" t="n"/>
      <c r="T258" s="18" t="n"/>
      <c r="U258" s="26">
        <f>D258+F258+-(H258+J258+L258+N258+P258+R258+T258)</f>
        <v/>
      </c>
      <c r="V258" t="inlineStr">
        <is>
          <t>LAMP</t>
        </is>
      </c>
    </row>
    <row r="259" ht="15" customHeight="1">
      <c r="A259" s="22">
        <f>A258+1</f>
        <v/>
      </c>
      <c r="B259" s="122" t="inlineStr">
        <is>
          <t>Toilet Shower, San-Ei</t>
        </is>
      </c>
      <c r="C259" s="132" t="inlineStr">
        <is>
          <t>SET</t>
        </is>
      </c>
      <c r="D259" s="26">
        <f>'Week  (2)'!U259</f>
        <v/>
      </c>
      <c r="E259" s="130" t="n"/>
      <c r="F259" s="55" t="n"/>
      <c r="G259" s="52" t="n"/>
      <c r="H259" s="55" t="n"/>
      <c r="I259" s="71" t="n"/>
      <c r="J259" s="55" t="n"/>
      <c r="K259" s="18" t="n"/>
      <c r="L259" s="73" t="n"/>
      <c r="M259" s="73" t="n"/>
      <c r="N259" s="73" t="n"/>
      <c r="O259" s="19" t="n"/>
      <c r="P259" s="18" t="n"/>
      <c r="Q259" s="18" t="n"/>
      <c r="R259" s="73" t="n"/>
      <c r="S259" s="18" t="n"/>
      <c r="T259" s="18" t="n"/>
      <c r="U259" s="26">
        <f>D259+F259+-(H259+J259+L259+N259+P259+R259+T259)</f>
        <v/>
      </c>
      <c r="V259" t="inlineStr">
        <is>
          <t>-</t>
        </is>
      </c>
    </row>
    <row r="260" ht="15" customHeight="1">
      <c r="A260" s="22">
        <f>A259+1</f>
        <v/>
      </c>
      <c r="B260" s="122" t="inlineStr">
        <is>
          <t>TL  LED 16 W, Philips</t>
        </is>
      </c>
      <c r="C260" s="132" t="inlineStr">
        <is>
          <t>PCS</t>
        </is>
      </c>
      <c r="D260" s="26">
        <f>'Week  (2)'!U260</f>
        <v/>
      </c>
      <c r="E260" s="124" t="n"/>
      <c r="F260" s="62" t="n"/>
      <c r="G260" s="68" t="n"/>
      <c r="H260" s="56" t="n"/>
      <c r="I260" s="19" t="n"/>
      <c r="J260" s="64" t="n"/>
      <c r="K260" s="18" t="n"/>
      <c r="L260" s="73" t="n"/>
      <c r="M260" s="73" t="n"/>
      <c r="N260" s="73" t="n"/>
      <c r="O260" s="19" t="n"/>
      <c r="P260" s="18" t="n"/>
      <c r="Q260" s="19" t="n"/>
      <c r="R260" s="18" t="n"/>
      <c r="S260" s="18" t="n"/>
      <c r="T260" s="18" t="n"/>
      <c r="U260" s="26">
        <f>D260+F260+-(H260+J260+L260+N260+P260+R260+T260)</f>
        <v/>
      </c>
      <c r="V260" t="inlineStr">
        <is>
          <t>LAMP</t>
        </is>
      </c>
    </row>
    <row r="261" ht="15" customHeight="1">
      <c r="A261" s="22">
        <f>A260+1</f>
        <v/>
      </c>
      <c r="B261" s="122" t="inlineStr">
        <is>
          <t>TL  LED 8 W, Philips</t>
        </is>
      </c>
      <c r="C261" s="132" t="inlineStr">
        <is>
          <t>PCS</t>
        </is>
      </c>
      <c r="D261" s="26">
        <f>'Week  (2)'!U261</f>
        <v/>
      </c>
      <c r="E261" s="125" t="n"/>
      <c r="F261" s="55" t="n"/>
      <c r="G261" s="52" t="n"/>
      <c r="H261" s="55" t="n"/>
      <c r="I261" s="71" t="n"/>
      <c r="J261" s="55" t="n"/>
      <c r="K261" s="18" t="n"/>
      <c r="L261" s="73" t="n"/>
      <c r="M261" s="73" t="n"/>
      <c r="N261" s="73" t="n"/>
      <c r="O261" s="19" t="n"/>
      <c r="P261" s="18" t="n"/>
      <c r="Q261" s="18" t="n"/>
      <c r="R261" s="73" t="n"/>
      <c r="S261" s="18" t="n"/>
      <c r="T261" s="18" t="n"/>
      <c r="U261" s="26">
        <f>D261+F261+-(H261+J261+L261+N261+P261+R261+T261)</f>
        <v/>
      </c>
      <c r="V261" t="inlineStr">
        <is>
          <t>LAMP</t>
        </is>
      </c>
    </row>
    <row r="262" ht="15" customHeight="1">
      <c r="A262" s="22">
        <f>A261+1</f>
        <v/>
      </c>
      <c r="B262" s="122" t="inlineStr">
        <is>
          <t>Tornado Lamp 20 W, Philips</t>
        </is>
      </c>
      <c r="C262" s="132" t="inlineStr">
        <is>
          <t>PCS</t>
        </is>
      </c>
      <c r="D262" s="26">
        <f>'Week  (2)'!U262</f>
        <v/>
      </c>
      <c r="E262" s="124" t="n"/>
      <c r="F262" s="62" t="n"/>
      <c r="G262" s="25" t="n"/>
      <c r="H262" s="56" t="n"/>
      <c r="I262" s="19" t="n"/>
      <c r="J262" s="64" t="n"/>
      <c r="K262" s="18" t="n"/>
      <c r="L262" s="73" t="n"/>
      <c r="M262" s="73" t="n"/>
      <c r="N262" s="73" t="n"/>
      <c r="O262" s="19" t="n"/>
      <c r="P262" s="18" t="n"/>
      <c r="Q262" s="18" t="n"/>
      <c r="R262" s="73" t="n"/>
      <c r="S262" s="18" t="n"/>
      <c r="T262" s="18" t="n"/>
      <c r="U262" s="26">
        <f>D262+F262+-(H262+J262+L262+N262+P262+R262+T262)</f>
        <v/>
      </c>
      <c r="V262" t="inlineStr">
        <is>
          <t>LAMP</t>
        </is>
      </c>
    </row>
    <row r="263" ht="15" customHeight="1">
      <c r="A263" s="22">
        <f>A262+1</f>
        <v/>
      </c>
      <c r="B263" s="43" t="inlineStr">
        <is>
          <t>Tornado Lamp 5 W, Philips</t>
        </is>
      </c>
      <c r="C263" s="47" t="inlineStr">
        <is>
          <t>PCS</t>
        </is>
      </c>
      <c r="D263" s="26">
        <f>'Week  (2)'!U263</f>
        <v/>
      </c>
      <c r="E263" s="125" t="n"/>
      <c r="F263" s="55" t="n"/>
      <c r="G263" s="52" t="n"/>
      <c r="H263" s="55" t="n"/>
      <c r="I263" s="71" t="n"/>
      <c r="J263" s="55" t="n"/>
      <c r="K263" s="18" t="n"/>
      <c r="L263" s="73" t="n"/>
      <c r="M263" s="73" t="n"/>
      <c r="N263" s="73" t="n"/>
      <c r="O263" s="19" t="n"/>
      <c r="P263" s="18" t="n"/>
      <c r="Q263" s="18" t="n"/>
      <c r="R263" s="73" t="n"/>
      <c r="S263" s="18" t="n"/>
      <c r="T263" s="18" t="n"/>
      <c r="U263" s="26">
        <f>D263+F263+-(H263+J263+L263+N263+P263+R263+T263)</f>
        <v/>
      </c>
      <c r="V263" t="inlineStr">
        <is>
          <t>LAMP</t>
        </is>
      </c>
    </row>
    <row r="264" ht="15" customHeight="1">
      <c r="A264" s="22">
        <f>A263+1</f>
        <v/>
      </c>
      <c r="B264" s="122" t="inlineStr">
        <is>
          <t>Tornado Lamp 8 W, Philips</t>
        </is>
      </c>
      <c r="C264" s="132" t="inlineStr">
        <is>
          <t>PCS</t>
        </is>
      </c>
      <c r="D264" s="26">
        <f>'Week  (2)'!U264</f>
        <v/>
      </c>
      <c r="E264" s="124" t="n"/>
      <c r="F264" s="62" t="n"/>
      <c r="G264" s="25" t="n"/>
      <c r="H264" s="56" t="n"/>
      <c r="I264" s="19" t="n"/>
      <c r="J264" s="64" t="n"/>
      <c r="K264" s="18" t="n"/>
      <c r="L264" s="73" t="n"/>
      <c r="M264" s="73" t="n"/>
      <c r="N264" s="73" t="n"/>
      <c r="O264" s="19" t="n"/>
      <c r="P264" s="18" t="n"/>
      <c r="Q264" s="18" t="n"/>
      <c r="R264" s="73" t="n"/>
      <c r="S264" s="18" t="n"/>
      <c r="T264" s="18" t="n"/>
      <c r="U264" s="26">
        <f>D264+F264+-(H264+J264+L264+N264+P264+R264+T264)</f>
        <v/>
      </c>
      <c r="V264" t="inlineStr">
        <is>
          <t>LAMP</t>
        </is>
      </c>
    </row>
    <row r="265">
      <c r="A265" s="22">
        <f>A264+1</f>
        <v/>
      </c>
      <c r="B265" s="79" t="inlineStr">
        <is>
          <t>V Sock PVC  4" x 2  1/2"</t>
        </is>
      </c>
      <c r="C265" s="106" t="inlineStr">
        <is>
          <t>Pcs</t>
        </is>
      </c>
      <c r="D265" s="26">
        <f>'Week  (2)'!U265</f>
        <v/>
      </c>
      <c r="E265" s="125" t="n"/>
      <c r="F265" s="55" t="n"/>
      <c r="G265" s="52" t="n"/>
      <c r="H265" s="55" t="n"/>
      <c r="I265" s="71" t="n"/>
      <c r="J265" s="55" t="n"/>
      <c r="K265" s="18" t="n"/>
      <c r="L265" s="73" t="n"/>
      <c r="M265" s="73" t="n"/>
      <c r="N265" s="73" t="n"/>
      <c r="O265" s="19" t="n"/>
      <c r="P265" s="18" t="n"/>
      <c r="Q265" s="18" t="n"/>
      <c r="R265" s="73" t="n"/>
      <c r="S265" s="18" t="n"/>
      <c r="T265" s="18" t="n"/>
      <c r="U265" s="26">
        <f>D265+F265+-(H265+J265+L265+N265+P265+R265+T265)</f>
        <v/>
      </c>
      <c r="V265" t="inlineStr">
        <is>
          <t>VALVE AND PIPE</t>
        </is>
      </c>
    </row>
    <row r="266">
      <c r="A266" s="22">
        <f>A265+1</f>
        <v/>
      </c>
      <c r="B266" s="79" t="inlineStr">
        <is>
          <t>V Sock PVC  4" x 2  "</t>
        </is>
      </c>
      <c r="C266" s="106" t="inlineStr">
        <is>
          <t>Pcs</t>
        </is>
      </c>
      <c r="D266" s="26">
        <f>'Week  (2)'!U266</f>
        <v/>
      </c>
      <c r="E266" s="124" t="n"/>
      <c r="F266" s="62" t="n"/>
      <c r="G266" s="25" t="n"/>
      <c r="H266" s="56" t="n"/>
      <c r="I266" s="19" t="n"/>
      <c r="J266" s="64" t="n"/>
      <c r="K266" s="18" t="n"/>
      <c r="L266" s="73" t="n"/>
      <c r="M266" s="73" t="n"/>
      <c r="N266" s="73" t="n"/>
      <c r="O266" s="19" t="n"/>
      <c r="P266" s="18" t="n"/>
      <c r="Q266" s="18" t="n"/>
      <c r="R266" s="73" t="n"/>
      <c r="S266" s="18" t="n"/>
      <c r="T266" s="18" t="n"/>
      <c r="U266" s="26">
        <f>D266+F266+-(H266+J266+L266+N266+P266+R266+T266)</f>
        <v/>
      </c>
      <c r="V266" t="inlineStr">
        <is>
          <t>VALVE AND PIPE</t>
        </is>
      </c>
    </row>
    <row r="267">
      <c r="A267" s="22">
        <f>A266+1</f>
        <v/>
      </c>
      <c r="B267" s="79" t="inlineStr">
        <is>
          <t>V Sock PVC  2" x 2  1/2"</t>
        </is>
      </c>
      <c r="C267" s="106" t="inlineStr">
        <is>
          <t>Pcs</t>
        </is>
      </c>
      <c r="D267" s="26">
        <f>'Week  (2)'!U267</f>
        <v/>
      </c>
      <c r="E267" s="125" t="n"/>
      <c r="F267" s="55" t="n"/>
      <c r="G267" s="52" t="n"/>
      <c r="H267" s="55" t="n"/>
      <c r="I267" s="71" t="n"/>
      <c r="J267" s="55" t="n"/>
      <c r="K267" s="18" t="n"/>
      <c r="L267" s="73" t="n"/>
      <c r="M267" s="73" t="n"/>
      <c r="N267" s="73" t="n"/>
      <c r="O267" s="19" t="n"/>
      <c r="P267" s="18" t="n"/>
      <c r="Q267" s="18" t="n"/>
      <c r="R267" s="73" t="n"/>
      <c r="S267" s="18" t="n"/>
      <c r="T267" s="18" t="n"/>
      <c r="U267" s="26">
        <f>D267+F267+-(H267+J267+L267+N267+P267+R267+T267)</f>
        <v/>
      </c>
      <c r="V267" t="inlineStr">
        <is>
          <t>VALVE AND PIPE</t>
        </is>
      </c>
    </row>
    <row r="268" ht="15" customHeight="1">
      <c r="A268" s="22">
        <f>A267+1</f>
        <v/>
      </c>
      <c r="B268" s="122" t="inlineStr">
        <is>
          <t>VALVE BALL 1/2' ONDA PVC</t>
        </is>
      </c>
      <c r="C268" s="132" t="inlineStr">
        <is>
          <t>PCS</t>
        </is>
      </c>
      <c r="D268" s="26">
        <f>'Week  (2)'!U268</f>
        <v/>
      </c>
      <c r="E268" s="124" t="n"/>
      <c r="F268" s="62" t="n"/>
      <c r="G268" s="25" t="n"/>
      <c r="H268" s="56" t="n"/>
      <c r="I268" s="19" t="n"/>
      <c r="J268" s="64" t="n"/>
      <c r="K268" s="18" t="n"/>
      <c r="L268" s="73" t="n"/>
      <c r="M268" s="73" t="n"/>
      <c r="N268" s="73" t="n"/>
      <c r="O268" s="19" t="n"/>
      <c r="P268" s="18" t="n"/>
      <c r="Q268" s="18" t="n"/>
      <c r="R268" s="73" t="n"/>
      <c r="S268" s="18" t="n"/>
      <c r="T268" s="18" t="n"/>
      <c r="U268" s="26">
        <f>D268+F268+-(H268+J268+L268+N268+P268+R268+T268)</f>
        <v/>
      </c>
      <c r="V268" t="inlineStr">
        <is>
          <t>VALVE AND PIPE</t>
        </is>
      </c>
    </row>
    <row r="269" ht="15" customHeight="1">
      <c r="A269" s="22">
        <f>A268+1</f>
        <v/>
      </c>
      <c r="B269" s="122" t="inlineStr">
        <is>
          <t>VALVE BALL 3/4' ONDA PVC</t>
        </is>
      </c>
      <c r="C269" s="34" t="inlineStr">
        <is>
          <t>PCS</t>
        </is>
      </c>
      <c r="D269" s="26">
        <f>'Week  (2)'!U269</f>
        <v/>
      </c>
      <c r="E269" s="125" t="n"/>
      <c r="F269" s="55" t="n"/>
      <c r="G269" s="52" t="n"/>
      <c r="H269" s="55" t="n"/>
      <c r="I269" s="71" t="n"/>
      <c r="J269" s="55" t="n"/>
      <c r="K269" s="18" t="n"/>
      <c r="L269" s="73" t="n"/>
      <c r="M269" s="73" t="n"/>
      <c r="N269" s="73" t="n"/>
      <c r="O269" s="19" t="n"/>
      <c r="P269" s="18" t="n"/>
      <c r="Q269" s="18" t="n"/>
      <c r="R269" s="73" t="n"/>
      <c r="S269" s="18" t="n"/>
      <c r="T269" s="18" t="n"/>
      <c r="U269" s="26">
        <f>D269+F269+-(H269+J269+L269+N269+P269+R269+T269)</f>
        <v/>
      </c>
      <c r="V269" t="inlineStr">
        <is>
          <t>VALVE AND PIPE</t>
        </is>
      </c>
    </row>
    <row r="270">
      <c r="A270" s="22">
        <f>A269+1</f>
        <v/>
      </c>
      <c r="B270" s="38" t="inlineStr">
        <is>
          <t>VALVE GATE 1/2" ONDA</t>
        </is>
      </c>
      <c r="C270" s="34" t="inlineStr">
        <is>
          <t>PCS</t>
        </is>
      </c>
      <c r="D270" s="26">
        <f>'Week  (2)'!U270</f>
        <v/>
      </c>
      <c r="E270" s="124" t="n"/>
      <c r="F270" s="62" t="n"/>
      <c r="G270" s="25" t="n"/>
      <c r="H270" s="56" t="n"/>
      <c r="I270" s="19" t="n"/>
      <c r="J270" s="64" t="n"/>
      <c r="K270" s="18" t="n"/>
      <c r="L270" s="73" t="n"/>
      <c r="M270" s="73" t="n"/>
      <c r="N270" s="73" t="n"/>
      <c r="O270" s="19" t="n"/>
      <c r="P270" s="18" t="n"/>
      <c r="Q270" s="18" t="n"/>
      <c r="R270" s="73" t="n"/>
      <c r="S270" s="18" t="n"/>
      <c r="T270" s="18" t="n"/>
      <c r="U270" s="26">
        <f>D270+F270+-(H270+J270+L270+N270+P270+R270+T270)</f>
        <v/>
      </c>
      <c r="V270" t="inlineStr">
        <is>
          <t>VALVE AND PIPE</t>
        </is>
      </c>
    </row>
    <row r="271" ht="15" customHeight="1">
      <c r="A271" s="22">
        <f>A270+1</f>
        <v/>
      </c>
      <c r="B271" s="38" t="inlineStr">
        <is>
          <t>VALVE GATE 3/4" ONDA</t>
        </is>
      </c>
      <c r="C271" s="132" t="inlineStr">
        <is>
          <t>PCS</t>
        </is>
      </c>
      <c r="D271" s="26">
        <f>'Week  (2)'!U271</f>
        <v/>
      </c>
      <c r="E271" s="125" t="n"/>
      <c r="F271" s="55" t="n"/>
      <c r="G271" s="52" t="n"/>
      <c r="H271" s="55" t="n"/>
      <c r="I271" s="71" t="n"/>
      <c r="J271" s="55" t="n"/>
      <c r="K271" s="18" t="n"/>
      <c r="L271" s="73" t="n"/>
      <c r="M271" s="73" t="n"/>
      <c r="N271" s="73" t="n"/>
      <c r="O271" s="19" t="n"/>
      <c r="P271" s="18" t="n"/>
      <c r="Q271" s="18" t="n"/>
      <c r="R271" s="73" t="n"/>
      <c r="S271" s="18" t="n"/>
      <c r="T271" s="18" t="n"/>
      <c r="U271" s="26">
        <f>D271+F271+-(H271+J271+L271+N271+P271+R271+T271)</f>
        <v/>
      </c>
      <c r="V271" t="inlineStr">
        <is>
          <t>VALVE AND PIPE</t>
        </is>
      </c>
    </row>
    <row r="272" ht="30" customHeight="1">
      <c r="A272" s="22">
        <f>A271+1</f>
        <v/>
      </c>
      <c r="B272" s="122" t="inlineStr">
        <is>
          <t>Washbasin Lamp, Essential Batten 7 W, Philips</t>
        </is>
      </c>
      <c r="C272" s="132" t="inlineStr">
        <is>
          <t>PCS</t>
        </is>
      </c>
      <c r="D272" s="26">
        <f>'Week  (2)'!U272</f>
        <v/>
      </c>
      <c r="E272" s="124" t="n"/>
      <c r="F272" s="62" t="n"/>
      <c r="G272" s="25" t="n"/>
      <c r="H272" s="56" t="n"/>
      <c r="I272" s="19" t="n"/>
      <c r="J272" s="64" t="n"/>
      <c r="K272" s="18" t="n"/>
      <c r="L272" s="73" t="n"/>
      <c r="M272" s="73" t="n"/>
      <c r="N272" s="73" t="n"/>
      <c r="O272" s="19" t="n"/>
      <c r="P272" s="18" t="n"/>
      <c r="Q272" s="18" t="n"/>
      <c r="R272" s="73" t="n"/>
      <c r="S272" s="18" t="n"/>
      <c r="T272" s="18" t="n"/>
      <c r="U272" s="26">
        <f>D272+F272+-(H272+J272+L272+N272+P272+R272+T272)</f>
        <v/>
      </c>
      <c r="V272" t="inlineStr">
        <is>
          <t>LAMP</t>
        </is>
      </c>
    </row>
    <row r="273" ht="25.5" customHeight="1">
      <c r="A273" s="22">
        <f>A272+1</f>
        <v/>
      </c>
      <c r="B273" s="38" t="inlineStr">
        <is>
          <t>Wastavel American Standard ( Wash Basin )</t>
        </is>
      </c>
      <c r="C273" s="34" t="inlineStr">
        <is>
          <t>SET</t>
        </is>
      </c>
      <c r="D273" s="26">
        <f>'Week  (2)'!U273</f>
        <v/>
      </c>
      <c r="E273" s="124" t="n"/>
      <c r="F273" s="55" t="n"/>
      <c r="G273" s="52" t="n"/>
      <c r="H273" s="55" t="n"/>
      <c r="I273" s="71" t="n"/>
      <c r="J273" s="55" t="n"/>
      <c r="K273" s="80" t="n"/>
      <c r="L273" s="73" t="n"/>
      <c r="M273" s="73" t="n"/>
      <c r="N273" s="73" t="n"/>
      <c r="O273" s="19" t="n"/>
      <c r="P273" s="18" t="n"/>
      <c r="Q273" s="18" t="n"/>
      <c r="R273" s="73" t="n"/>
      <c r="S273" s="18" t="n"/>
      <c r="T273" s="18" t="n"/>
      <c r="U273" s="26">
        <f>D273+F273+-(H273+J273+L273+N273+P273+R273+T273)</f>
        <v/>
      </c>
      <c r="V273" t="inlineStr">
        <is>
          <t>SANITARY</t>
        </is>
      </c>
    </row>
    <row r="274" ht="33" customHeight="1">
      <c r="A274" s="22">
        <f>A273+1</f>
        <v/>
      </c>
      <c r="B274" s="38" t="inlineStr">
        <is>
          <t>Water Closet American Standard</t>
        </is>
      </c>
      <c r="C274" s="34" t="inlineStr">
        <is>
          <t>SET</t>
        </is>
      </c>
      <c r="D274" s="26">
        <f>'Week  (2)'!U274</f>
        <v/>
      </c>
      <c r="E274" s="124" t="n"/>
      <c r="F274" s="62" t="n"/>
      <c r="G274" s="25" t="n"/>
      <c r="H274" s="56" t="n"/>
      <c r="I274" s="19" t="n"/>
      <c r="J274" s="64" t="n"/>
      <c r="K274" s="18" t="n"/>
      <c r="L274" s="73" t="n"/>
      <c r="M274" s="73" t="n"/>
      <c r="N274" s="73" t="n"/>
      <c r="O274" s="19" t="n"/>
      <c r="P274" s="18" t="n"/>
      <c r="Q274" s="18" t="n"/>
      <c r="R274" s="73" t="n"/>
      <c r="S274" s="18" t="n"/>
      <c r="T274" s="18" t="n"/>
      <c r="U274" s="26">
        <f>D274+F274+-(H274+J274+L274+N274+P274+R274+T274)</f>
        <v/>
      </c>
      <c r="V274" t="inlineStr">
        <is>
          <t>SANITARY</t>
        </is>
      </c>
    </row>
    <row r="275">
      <c r="D275" s="26">
        <f>SUM(D6:D274)</f>
        <v/>
      </c>
      <c r="F275" s="63">
        <f>SUM(F6:F274)</f>
        <v/>
      </c>
      <c r="U275" s="1">
        <f>SUM(U6:U274)</f>
        <v/>
      </c>
      <c r="V275" t="inlineStr">
        <is>
          <t>-</t>
        </is>
      </c>
    </row>
  </sheetData>
  <mergeCells count="16">
    <mergeCell ref="A1:T1"/>
    <mergeCell ref="G4:H4"/>
    <mergeCell ref="G3:N3"/>
    <mergeCell ref="I4:J4"/>
    <mergeCell ref="B4:B5"/>
    <mergeCell ref="C4:C5"/>
    <mergeCell ref="A4:A5"/>
    <mergeCell ref="F4:F5"/>
    <mergeCell ref="D4:D5"/>
    <mergeCell ref="E4:E5"/>
    <mergeCell ref="U4:U5"/>
    <mergeCell ref="K4:L4"/>
    <mergeCell ref="O4:P4"/>
    <mergeCell ref="M4:N4"/>
    <mergeCell ref="S4:T4"/>
    <mergeCell ref="Q4:R4"/>
  </mergeCells>
  <pageMargins left="0.7086614173228347" right="0.1968503937007874" top="0.2362204724409449" bottom="0.2755905511811024" header="0.2362204724409449" footer="0.2755905511811024"/>
  <pageSetup orientation="portrait" paperSize="9" scale="92" horizontalDpi="429496729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P275"/>
  <sheetViews>
    <sheetView zoomScale="95" zoomScaleNormal="95" workbookViewId="0">
      <pane xSplit="4" ySplit="5" topLeftCell="E144" activePane="bottomRight" state="frozenSplit"/>
      <selection activeCell="P25" sqref="P25"/>
      <selection pane="topRight" activeCell="P25" sqref="P25"/>
      <selection pane="bottomLeft" activeCell="P25" sqref="P25"/>
      <selection pane="bottomRight" activeCell="J152" sqref="J152"/>
    </sheetView>
  </sheetViews>
  <sheetFormatPr baseColWidth="8" defaultRowHeight="12.75"/>
  <cols>
    <col width="9.5703125" customWidth="1" style="11" min="1" max="1"/>
    <col width="30.7109375" customWidth="1" style="49" min="2" max="2"/>
    <col width="14.7109375" customWidth="1" style="13" min="3" max="3"/>
    <col width="10.42578125" customWidth="1" style="14" min="4" max="4"/>
    <col width="11.85546875" customWidth="1" style="115" min="5" max="5"/>
    <col width="8.28515625" customWidth="1" style="63" min="6" max="6"/>
    <col width="17.28515625" customWidth="1" style="16" min="7" max="7"/>
    <col width="6.140625" customWidth="1" style="63" min="8" max="8"/>
    <col width="15.140625" customWidth="1" style="15" min="9" max="9"/>
    <col width="9.140625" customWidth="1" style="63" min="10" max="10"/>
    <col width="15.7109375" customWidth="1" style="16" min="11" max="11"/>
    <col width="6.85546875" customWidth="1" style="50" min="12" max="12"/>
    <col width="13.28515625" customWidth="1" style="16" min="13" max="13"/>
    <col width="9.42578125" customWidth="1" style="13" min="14" max="14"/>
    <col width="12.85546875" customWidth="1" style="15" min="15" max="15"/>
    <col width="10.140625" customWidth="1" style="13" min="16" max="16"/>
    <col width="11.140625" customWidth="1" style="16" min="17" max="17"/>
    <col width="7" customWidth="1" style="13" min="18" max="18"/>
    <col width="10.85546875" customWidth="1" style="13" min="19" max="19"/>
    <col width="5.85546875" customWidth="1" style="13" min="20" max="20"/>
    <col width="10" customWidth="1" style="1" min="21" max="21"/>
    <col width="18" customWidth="1" style="51" min="22" max="255"/>
    <col width="9.5703125" customWidth="1" style="51" min="256" max="256"/>
    <col width="30.7109375" customWidth="1" style="51" min="257" max="257"/>
    <col width="14.7109375" customWidth="1" style="51" min="258" max="258"/>
    <col width="8.28515625" customWidth="1" style="51" min="259" max="259"/>
    <col width="11.85546875" customWidth="1" style="51" min="260" max="260"/>
    <col width="8.28515625" customWidth="1" style="51" min="261" max="261"/>
    <col width="17.28515625" customWidth="1" style="51" min="262" max="262"/>
    <col width="6.140625" customWidth="1" style="51" min="263" max="263"/>
    <col width="15.140625" customWidth="1" style="51" min="264" max="264"/>
    <col width="9.140625" customWidth="1" style="51" min="265" max="265"/>
    <col width="15" customWidth="1" style="51" min="266" max="266"/>
    <col width="6.85546875" customWidth="1" style="51" min="267" max="267"/>
    <col width="13.28515625" customWidth="1" style="51" min="268" max="268"/>
    <col width="9.42578125" customWidth="1" style="51" min="269" max="269"/>
    <col width="11" customWidth="1" style="51" min="270" max="270"/>
    <col width="10.140625" customWidth="1" style="51" min="271" max="271"/>
    <col width="11.140625" customWidth="1" style="51" min="272" max="272"/>
    <col width="7" customWidth="1" style="51" min="273" max="273"/>
    <col width="10.85546875" customWidth="1" style="51" min="274" max="274"/>
    <col width="5.85546875" customWidth="1" style="51" min="275" max="275"/>
    <col width="10" customWidth="1" style="51" min="276" max="276"/>
    <col width="9.140625" customWidth="1" style="51" min="277" max="511"/>
    <col width="9.5703125" customWidth="1" style="51" min="512" max="512"/>
    <col width="30.7109375" customWidth="1" style="51" min="513" max="513"/>
    <col width="14.7109375" customWidth="1" style="51" min="514" max="514"/>
    <col width="8.28515625" customWidth="1" style="51" min="515" max="515"/>
    <col width="11.85546875" customWidth="1" style="51" min="516" max="516"/>
    <col width="8.28515625" customWidth="1" style="51" min="517" max="517"/>
    <col width="17.28515625" customWidth="1" style="51" min="518" max="518"/>
    <col width="6.140625" customWidth="1" style="51" min="519" max="519"/>
    <col width="15.140625" customWidth="1" style="51" min="520" max="520"/>
    <col width="9.140625" customWidth="1" style="51" min="521" max="521"/>
    <col width="15" customWidth="1" style="51" min="522" max="522"/>
    <col width="6.85546875" customWidth="1" style="51" min="523" max="523"/>
    <col width="13.28515625" customWidth="1" style="51" min="524" max="524"/>
    <col width="9.42578125" customWidth="1" style="51" min="525" max="525"/>
    <col width="11" customWidth="1" style="51" min="526" max="526"/>
    <col width="10.140625" customWidth="1" style="51" min="527" max="527"/>
    <col width="11.140625" customWidth="1" style="51" min="528" max="528"/>
    <col width="7" customWidth="1" style="51" min="529" max="529"/>
    <col width="10.85546875" customWidth="1" style="51" min="530" max="530"/>
    <col width="5.85546875" customWidth="1" style="51" min="531" max="531"/>
    <col width="10" customWidth="1" style="51" min="532" max="532"/>
    <col width="9.140625" customWidth="1" style="51" min="533" max="767"/>
    <col width="9.5703125" customWidth="1" style="51" min="768" max="768"/>
    <col width="30.7109375" customWidth="1" style="51" min="769" max="769"/>
    <col width="14.7109375" customWidth="1" style="51" min="770" max="770"/>
    <col width="8.28515625" customWidth="1" style="51" min="771" max="771"/>
    <col width="11.85546875" customWidth="1" style="51" min="772" max="772"/>
    <col width="8.28515625" customWidth="1" style="51" min="773" max="773"/>
    <col width="17.28515625" customWidth="1" style="51" min="774" max="774"/>
    <col width="6.140625" customWidth="1" style="51" min="775" max="775"/>
    <col width="15.140625" customWidth="1" style="51" min="776" max="776"/>
    <col width="9.140625" customWidth="1" style="51" min="777" max="777"/>
    <col width="15" customWidth="1" style="51" min="778" max="778"/>
    <col width="6.85546875" customWidth="1" style="51" min="779" max="779"/>
    <col width="13.28515625" customWidth="1" style="51" min="780" max="780"/>
    <col width="9.42578125" customWidth="1" style="51" min="781" max="781"/>
    <col width="11" customWidth="1" style="51" min="782" max="782"/>
    <col width="10.140625" customWidth="1" style="51" min="783" max="783"/>
    <col width="11.140625" customWidth="1" style="51" min="784" max="784"/>
    <col width="7" customWidth="1" style="51" min="785" max="785"/>
    <col width="10.85546875" customWidth="1" style="51" min="786" max="786"/>
    <col width="5.85546875" customWidth="1" style="51" min="787" max="787"/>
    <col width="10" customWidth="1" style="51" min="788" max="788"/>
    <col width="9.140625" customWidth="1" style="51" min="789" max="1023"/>
    <col width="9.5703125" customWidth="1" style="51" min="1024" max="1024"/>
    <col width="30.7109375" customWidth="1" style="51" min="1025" max="1025"/>
    <col width="14.7109375" customWidth="1" style="51" min="1026" max="1026"/>
    <col width="8.28515625" customWidth="1" style="51" min="1027" max="1027"/>
    <col width="11.85546875" customWidth="1" style="51" min="1028" max="1028"/>
    <col width="8.28515625" customWidth="1" style="51" min="1029" max="1029"/>
    <col width="17.28515625" customWidth="1" style="51" min="1030" max="1030"/>
    <col width="6.140625" customWidth="1" style="51" min="1031" max="1031"/>
    <col width="15.140625" customWidth="1" style="51" min="1032" max="1032"/>
    <col width="9.140625" customWidth="1" style="51" min="1033" max="1033"/>
    <col width="15" customWidth="1" style="51" min="1034" max="1034"/>
    <col width="6.85546875" customWidth="1" style="51" min="1035" max="1035"/>
    <col width="13.28515625" customWidth="1" style="51" min="1036" max="1036"/>
    <col width="9.42578125" customWidth="1" style="51" min="1037" max="1037"/>
    <col width="11" customWidth="1" style="51" min="1038" max="1038"/>
    <col width="10.140625" customWidth="1" style="51" min="1039" max="1039"/>
    <col width="11.140625" customWidth="1" style="51" min="1040" max="1040"/>
    <col width="7" customWidth="1" style="51" min="1041" max="1041"/>
    <col width="10.85546875" customWidth="1" style="51" min="1042" max="1042"/>
    <col width="5.85546875" customWidth="1" style="51" min="1043" max="1043"/>
    <col width="10" customWidth="1" style="51" min="1044" max="1044"/>
    <col width="9.140625" customWidth="1" style="51" min="1045" max="1279"/>
    <col width="9.5703125" customWidth="1" style="51" min="1280" max="1280"/>
    <col width="30.7109375" customWidth="1" style="51" min="1281" max="1281"/>
    <col width="14.7109375" customWidth="1" style="51" min="1282" max="1282"/>
    <col width="8.28515625" customWidth="1" style="51" min="1283" max="1283"/>
    <col width="11.85546875" customWidth="1" style="51" min="1284" max="1284"/>
    <col width="8.28515625" customWidth="1" style="51" min="1285" max="1285"/>
    <col width="17.28515625" customWidth="1" style="51" min="1286" max="1286"/>
    <col width="6.140625" customWidth="1" style="51" min="1287" max="1287"/>
    <col width="15.140625" customWidth="1" style="51" min="1288" max="1288"/>
    <col width="9.140625" customWidth="1" style="51" min="1289" max="1289"/>
    <col width="15" customWidth="1" style="51" min="1290" max="1290"/>
    <col width="6.85546875" customWidth="1" style="51" min="1291" max="1291"/>
    <col width="13.28515625" customWidth="1" style="51" min="1292" max="1292"/>
    <col width="9.42578125" customWidth="1" style="51" min="1293" max="1293"/>
    <col width="11" customWidth="1" style="51" min="1294" max="1294"/>
    <col width="10.140625" customWidth="1" style="51" min="1295" max="1295"/>
    <col width="11.140625" customWidth="1" style="51" min="1296" max="1296"/>
    <col width="7" customWidth="1" style="51" min="1297" max="1297"/>
    <col width="10.85546875" customWidth="1" style="51" min="1298" max="1298"/>
    <col width="5.85546875" customWidth="1" style="51" min="1299" max="1299"/>
    <col width="10" customWidth="1" style="51" min="1300" max="1300"/>
    <col width="9.140625" customWidth="1" style="51" min="1301" max="1535"/>
    <col width="9.5703125" customWidth="1" style="51" min="1536" max="1536"/>
    <col width="30.7109375" customWidth="1" style="51" min="1537" max="1537"/>
    <col width="14.7109375" customWidth="1" style="51" min="1538" max="1538"/>
    <col width="8.28515625" customWidth="1" style="51" min="1539" max="1539"/>
    <col width="11.85546875" customWidth="1" style="51" min="1540" max="1540"/>
    <col width="8.28515625" customWidth="1" style="51" min="1541" max="1541"/>
    <col width="17.28515625" customWidth="1" style="51" min="1542" max="1542"/>
    <col width="6.140625" customWidth="1" style="51" min="1543" max="1543"/>
    <col width="15.140625" customWidth="1" style="51" min="1544" max="1544"/>
    <col width="9.140625" customWidth="1" style="51" min="1545" max="1545"/>
    <col width="15" customWidth="1" style="51" min="1546" max="1546"/>
    <col width="6.85546875" customWidth="1" style="51" min="1547" max="1547"/>
    <col width="13.28515625" customWidth="1" style="51" min="1548" max="1548"/>
    <col width="9.42578125" customWidth="1" style="51" min="1549" max="1549"/>
    <col width="11" customWidth="1" style="51" min="1550" max="1550"/>
    <col width="10.140625" customWidth="1" style="51" min="1551" max="1551"/>
    <col width="11.140625" customWidth="1" style="51" min="1552" max="1552"/>
    <col width="7" customWidth="1" style="51" min="1553" max="1553"/>
    <col width="10.85546875" customWidth="1" style="51" min="1554" max="1554"/>
    <col width="5.85546875" customWidth="1" style="51" min="1555" max="1555"/>
    <col width="10" customWidth="1" style="51" min="1556" max="1556"/>
    <col width="9.140625" customWidth="1" style="51" min="1557" max="1791"/>
    <col width="9.5703125" customWidth="1" style="51" min="1792" max="1792"/>
    <col width="30.7109375" customWidth="1" style="51" min="1793" max="1793"/>
    <col width="14.7109375" customWidth="1" style="51" min="1794" max="1794"/>
    <col width="8.28515625" customWidth="1" style="51" min="1795" max="1795"/>
    <col width="11.85546875" customWidth="1" style="51" min="1796" max="1796"/>
    <col width="8.28515625" customWidth="1" style="51" min="1797" max="1797"/>
    <col width="17.28515625" customWidth="1" style="51" min="1798" max="1798"/>
    <col width="6.140625" customWidth="1" style="51" min="1799" max="1799"/>
    <col width="15.140625" customWidth="1" style="51" min="1800" max="1800"/>
    <col width="9.140625" customWidth="1" style="51" min="1801" max="1801"/>
    <col width="15" customWidth="1" style="51" min="1802" max="1802"/>
    <col width="6.85546875" customWidth="1" style="51" min="1803" max="1803"/>
    <col width="13.28515625" customWidth="1" style="51" min="1804" max="1804"/>
    <col width="9.42578125" customWidth="1" style="51" min="1805" max="1805"/>
    <col width="11" customWidth="1" style="51" min="1806" max="1806"/>
    <col width="10.140625" customWidth="1" style="51" min="1807" max="1807"/>
    <col width="11.140625" customWidth="1" style="51" min="1808" max="1808"/>
    <col width="7" customWidth="1" style="51" min="1809" max="1809"/>
    <col width="10.85546875" customWidth="1" style="51" min="1810" max="1810"/>
    <col width="5.85546875" customWidth="1" style="51" min="1811" max="1811"/>
    <col width="10" customWidth="1" style="51" min="1812" max="1812"/>
    <col width="9.140625" customWidth="1" style="51" min="1813" max="2047"/>
    <col width="9.5703125" customWidth="1" style="51" min="2048" max="2048"/>
    <col width="30.7109375" customWidth="1" style="51" min="2049" max="2049"/>
    <col width="14.7109375" customWidth="1" style="51" min="2050" max="2050"/>
    <col width="8.28515625" customWidth="1" style="51" min="2051" max="2051"/>
    <col width="11.85546875" customWidth="1" style="51" min="2052" max="2052"/>
    <col width="8.28515625" customWidth="1" style="51" min="2053" max="2053"/>
    <col width="17.28515625" customWidth="1" style="51" min="2054" max="2054"/>
    <col width="6.140625" customWidth="1" style="51" min="2055" max="2055"/>
    <col width="15.140625" customWidth="1" style="51" min="2056" max="2056"/>
    <col width="9.140625" customWidth="1" style="51" min="2057" max="2057"/>
    <col width="15" customWidth="1" style="51" min="2058" max="2058"/>
    <col width="6.85546875" customWidth="1" style="51" min="2059" max="2059"/>
    <col width="13.28515625" customWidth="1" style="51" min="2060" max="2060"/>
    <col width="9.42578125" customWidth="1" style="51" min="2061" max="2061"/>
    <col width="11" customWidth="1" style="51" min="2062" max="2062"/>
    <col width="10.140625" customWidth="1" style="51" min="2063" max="2063"/>
    <col width="11.140625" customWidth="1" style="51" min="2064" max="2064"/>
    <col width="7" customWidth="1" style="51" min="2065" max="2065"/>
    <col width="10.85546875" customWidth="1" style="51" min="2066" max="2066"/>
    <col width="5.85546875" customWidth="1" style="51" min="2067" max="2067"/>
    <col width="10" customWidth="1" style="51" min="2068" max="2068"/>
    <col width="9.140625" customWidth="1" style="51" min="2069" max="2303"/>
    <col width="9.5703125" customWidth="1" style="51" min="2304" max="2304"/>
    <col width="30.7109375" customWidth="1" style="51" min="2305" max="2305"/>
    <col width="14.7109375" customWidth="1" style="51" min="2306" max="2306"/>
    <col width="8.28515625" customWidth="1" style="51" min="2307" max="2307"/>
    <col width="11.85546875" customWidth="1" style="51" min="2308" max="2308"/>
    <col width="8.28515625" customWidth="1" style="51" min="2309" max="2309"/>
    <col width="17.28515625" customWidth="1" style="51" min="2310" max="2310"/>
    <col width="6.140625" customWidth="1" style="51" min="2311" max="2311"/>
    <col width="15.140625" customWidth="1" style="51" min="2312" max="2312"/>
    <col width="9.140625" customWidth="1" style="51" min="2313" max="2313"/>
    <col width="15" customWidth="1" style="51" min="2314" max="2314"/>
    <col width="6.85546875" customWidth="1" style="51" min="2315" max="2315"/>
    <col width="13.28515625" customWidth="1" style="51" min="2316" max="2316"/>
    <col width="9.42578125" customWidth="1" style="51" min="2317" max="2317"/>
    <col width="11" customWidth="1" style="51" min="2318" max="2318"/>
    <col width="10.140625" customWidth="1" style="51" min="2319" max="2319"/>
    <col width="11.140625" customWidth="1" style="51" min="2320" max="2320"/>
    <col width="7" customWidth="1" style="51" min="2321" max="2321"/>
    <col width="10.85546875" customWidth="1" style="51" min="2322" max="2322"/>
    <col width="5.85546875" customWidth="1" style="51" min="2323" max="2323"/>
    <col width="10" customWidth="1" style="51" min="2324" max="2324"/>
    <col width="9.140625" customWidth="1" style="51" min="2325" max="2559"/>
    <col width="9.5703125" customWidth="1" style="51" min="2560" max="2560"/>
    <col width="30.7109375" customWidth="1" style="51" min="2561" max="2561"/>
    <col width="14.7109375" customWidth="1" style="51" min="2562" max="2562"/>
    <col width="8.28515625" customWidth="1" style="51" min="2563" max="2563"/>
    <col width="11.85546875" customWidth="1" style="51" min="2564" max="2564"/>
    <col width="8.28515625" customWidth="1" style="51" min="2565" max="2565"/>
    <col width="17.28515625" customWidth="1" style="51" min="2566" max="2566"/>
    <col width="6.140625" customWidth="1" style="51" min="2567" max="2567"/>
    <col width="15.140625" customWidth="1" style="51" min="2568" max="2568"/>
    <col width="9.140625" customWidth="1" style="51" min="2569" max="2569"/>
    <col width="15" customWidth="1" style="51" min="2570" max="2570"/>
    <col width="6.85546875" customWidth="1" style="51" min="2571" max="2571"/>
    <col width="13.28515625" customWidth="1" style="51" min="2572" max="2572"/>
    <col width="9.42578125" customWidth="1" style="51" min="2573" max="2573"/>
    <col width="11" customWidth="1" style="51" min="2574" max="2574"/>
    <col width="10.140625" customWidth="1" style="51" min="2575" max="2575"/>
    <col width="11.140625" customWidth="1" style="51" min="2576" max="2576"/>
    <col width="7" customWidth="1" style="51" min="2577" max="2577"/>
    <col width="10.85546875" customWidth="1" style="51" min="2578" max="2578"/>
    <col width="5.85546875" customWidth="1" style="51" min="2579" max="2579"/>
    <col width="10" customWidth="1" style="51" min="2580" max="2580"/>
    <col width="9.140625" customWidth="1" style="51" min="2581" max="2815"/>
    <col width="9.5703125" customWidth="1" style="51" min="2816" max="2816"/>
    <col width="30.7109375" customWidth="1" style="51" min="2817" max="2817"/>
    <col width="14.7109375" customWidth="1" style="51" min="2818" max="2818"/>
    <col width="8.28515625" customWidth="1" style="51" min="2819" max="2819"/>
    <col width="11.85546875" customWidth="1" style="51" min="2820" max="2820"/>
    <col width="8.28515625" customWidth="1" style="51" min="2821" max="2821"/>
    <col width="17.28515625" customWidth="1" style="51" min="2822" max="2822"/>
    <col width="6.140625" customWidth="1" style="51" min="2823" max="2823"/>
    <col width="15.140625" customWidth="1" style="51" min="2824" max="2824"/>
    <col width="9.140625" customWidth="1" style="51" min="2825" max="2825"/>
    <col width="15" customWidth="1" style="51" min="2826" max="2826"/>
    <col width="6.85546875" customWidth="1" style="51" min="2827" max="2827"/>
    <col width="13.28515625" customWidth="1" style="51" min="2828" max="2828"/>
    <col width="9.42578125" customWidth="1" style="51" min="2829" max="2829"/>
    <col width="11" customWidth="1" style="51" min="2830" max="2830"/>
    <col width="10.140625" customWidth="1" style="51" min="2831" max="2831"/>
    <col width="11.140625" customWidth="1" style="51" min="2832" max="2832"/>
    <col width="7" customWidth="1" style="51" min="2833" max="2833"/>
    <col width="10.85546875" customWidth="1" style="51" min="2834" max="2834"/>
    <col width="5.85546875" customWidth="1" style="51" min="2835" max="2835"/>
    <col width="10" customWidth="1" style="51" min="2836" max="2836"/>
    <col width="9.140625" customWidth="1" style="51" min="2837" max="3071"/>
    <col width="9.5703125" customWidth="1" style="51" min="3072" max="3072"/>
    <col width="30.7109375" customWidth="1" style="51" min="3073" max="3073"/>
    <col width="14.7109375" customWidth="1" style="51" min="3074" max="3074"/>
    <col width="8.28515625" customWidth="1" style="51" min="3075" max="3075"/>
    <col width="11.85546875" customWidth="1" style="51" min="3076" max="3076"/>
    <col width="8.28515625" customWidth="1" style="51" min="3077" max="3077"/>
    <col width="17.28515625" customWidth="1" style="51" min="3078" max="3078"/>
    <col width="6.140625" customWidth="1" style="51" min="3079" max="3079"/>
    <col width="15.140625" customWidth="1" style="51" min="3080" max="3080"/>
    <col width="9.140625" customWidth="1" style="51" min="3081" max="3081"/>
    <col width="15" customWidth="1" style="51" min="3082" max="3082"/>
    <col width="6.85546875" customWidth="1" style="51" min="3083" max="3083"/>
    <col width="13.28515625" customWidth="1" style="51" min="3084" max="3084"/>
    <col width="9.42578125" customWidth="1" style="51" min="3085" max="3085"/>
    <col width="11" customWidth="1" style="51" min="3086" max="3086"/>
    <col width="10.140625" customWidth="1" style="51" min="3087" max="3087"/>
    <col width="11.140625" customWidth="1" style="51" min="3088" max="3088"/>
    <col width="7" customWidth="1" style="51" min="3089" max="3089"/>
    <col width="10.85546875" customWidth="1" style="51" min="3090" max="3090"/>
    <col width="5.85546875" customWidth="1" style="51" min="3091" max="3091"/>
    <col width="10" customWidth="1" style="51" min="3092" max="3092"/>
    <col width="9.140625" customWidth="1" style="51" min="3093" max="3327"/>
    <col width="9.5703125" customWidth="1" style="51" min="3328" max="3328"/>
    <col width="30.7109375" customWidth="1" style="51" min="3329" max="3329"/>
    <col width="14.7109375" customWidth="1" style="51" min="3330" max="3330"/>
    <col width="8.28515625" customWidth="1" style="51" min="3331" max="3331"/>
    <col width="11.85546875" customWidth="1" style="51" min="3332" max="3332"/>
    <col width="8.28515625" customWidth="1" style="51" min="3333" max="3333"/>
    <col width="17.28515625" customWidth="1" style="51" min="3334" max="3334"/>
    <col width="6.140625" customWidth="1" style="51" min="3335" max="3335"/>
    <col width="15.140625" customWidth="1" style="51" min="3336" max="3336"/>
    <col width="9.140625" customWidth="1" style="51" min="3337" max="3337"/>
    <col width="15" customWidth="1" style="51" min="3338" max="3338"/>
    <col width="6.85546875" customWidth="1" style="51" min="3339" max="3339"/>
    <col width="13.28515625" customWidth="1" style="51" min="3340" max="3340"/>
    <col width="9.42578125" customWidth="1" style="51" min="3341" max="3341"/>
    <col width="11" customWidth="1" style="51" min="3342" max="3342"/>
    <col width="10.140625" customWidth="1" style="51" min="3343" max="3343"/>
    <col width="11.140625" customWidth="1" style="51" min="3344" max="3344"/>
    <col width="7" customWidth="1" style="51" min="3345" max="3345"/>
    <col width="10.85546875" customWidth="1" style="51" min="3346" max="3346"/>
    <col width="5.85546875" customWidth="1" style="51" min="3347" max="3347"/>
    <col width="10" customWidth="1" style="51" min="3348" max="3348"/>
    <col width="9.140625" customWidth="1" style="51" min="3349" max="3583"/>
    <col width="9.5703125" customWidth="1" style="51" min="3584" max="3584"/>
    <col width="30.7109375" customWidth="1" style="51" min="3585" max="3585"/>
    <col width="14.7109375" customWidth="1" style="51" min="3586" max="3586"/>
    <col width="8.28515625" customWidth="1" style="51" min="3587" max="3587"/>
    <col width="11.85546875" customWidth="1" style="51" min="3588" max="3588"/>
    <col width="8.28515625" customWidth="1" style="51" min="3589" max="3589"/>
    <col width="17.28515625" customWidth="1" style="51" min="3590" max="3590"/>
    <col width="6.140625" customWidth="1" style="51" min="3591" max="3591"/>
    <col width="15.140625" customWidth="1" style="51" min="3592" max="3592"/>
    <col width="9.140625" customWidth="1" style="51" min="3593" max="3593"/>
    <col width="15" customWidth="1" style="51" min="3594" max="3594"/>
    <col width="6.85546875" customWidth="1" style="51" min="3595" max="3595"/>
    <col width="13.28515625" customWidth="1" style="51" min="3596" max="3596"/>
    <col width="9.42578125" customWidth="1" style="51" min="3597" max="3597"/>
    <col width="11" customWidth="1" style="51" min="3598" max="3598"/>
    <col width="10.140625" customWidth="1" style="51" min="3599" max="3599"/>
    <col width="11.140625" customWidth="1" style="51" min="3600" max="3600"/>
    <col width="7" customWidth="1" style="51" min="3601" max="3601"/>
    <col width="10.85546875" customWidth="1" style="51" min="3602" max="3602"/>
    <col width="5.85546875" customWidth="1" style="51" min="3603" max="3603"/>
    <col width="10" customWidth="1" style="51" min="3604" max="3604"/>
    <col width="9.140625" customWidth="1" style="51" min="3605" max="3839"/>
    <col width="9.5703125" customWidth="1" style="51" min="3840" max="3840"/>
    <col width="30.7109375" customWidth="1" style="51" min="3841" max="3841"/>
    <col width="14.7109375" customWidth="1" style="51" min="3842" max="3842"/>
    <col width="8.28515625" customWidth="1" style="51" min="3843" max="3843"/>
    <col width="11.85546875" customWidth="1" style="51" min="3844" max="3844"/>
    <col width="8.28515625" customWidth="1" style="51" min="3845" max="3845"/>
    <col width="17.28515625" customWidth="1" style="51" min="3846" max="3846"/>
    <col width="6.140625" customWidth="1" style="51" min="3847" max="3847"/>
    <col width="15.140625" customWidth="1" style="51" min="3848" max="3848"/>
    <col width="9.140625" customWidth="1" style="51" min="3849" max="3849"/>
    <col width="15" customWidth="1" style="51" min="3850" max="3850"/>
    <col width="6.85546875" customWidth="1" style="51" min="3851" max="3851"/>
    <col width="13.28515625" customWidth="1" style="51" min="3852" max="3852"/>
    <col width="9.42578125" customWidth="1" style="51" min="3853" max="3853"/>
    <col width="11" customWidth="1" style="51" min="3854" max="3854"/>
    <col width="10.140625" customWidth="1" style="51" min="3855" max="3855"/>
    <col width="11.140625" customWidth="1" style="51" min="3856" max="3856"/>
    <col width="7" customWidth="1" style="51" min="3857" max="3857"/>
    <col width="10.85546875" customWidth="1" style="51" min="3858" max="3858"/>
    <col width="5.85546875" customWidth="1" style="51" min="3859" max="3859"/>
    <col width="10" customWidth="1" style="51" min="3860" max="3860"/>
    <col width="9.140625" customWidth="1" style="51" min="3861" max="4095"/>
    <col width="9.5703125" customWidth="1" style="51" min="4096" max="4096"/>
    <col width="30.7109375" customWidth="1" style="51" min="4097" max="4097"/>
    <col width="14.7109375" customWidth="1" style="51" min="4098" max="4098"/>
    <col width="8.28515625" customWidth="1" style="51" min="4099" max="4099"/>
    <col width="11.85546875" customWidth="1" style="51" min="4100" max="4100"/>
    <col width="8.28515625" customWidth="1" style="51" min="4101" max="4101"/>
    <col width="17.28515625" customWidth="1" style="51" min="4102" max="4102"/>
    <col width="6.140625" customWidth="1" style="51" min="4103" max="4103"/>
    <col width="15.140625" customWidth="1" style="51" min="4104" max="4104"/>
    <col width="9.140625" customWidth="1" style="51" min="4105" max="4105"/>
    <col width="15" customWidth="1" style="51" min="4106" max="4106"/>
    <col width="6.85546875" customWidth="1" style="51" min="4107" max="4107"/>
    <col width="13.28515625" customWidth="1" style="51" min="4108" max="4108"/>
    <col width="9.42578125" customWidth="1" style="51" min="4109" max="4109"/>
    <col width="11" customWidth="1" style="51" min="4110" max="4110"/>
    <col width="10.140625" customWidth="1" style="51" min="4111" max="4111"/>
    <col width="11.140625" customWidth="1" style="51" min="4112" max="4112"/>
    <col width="7" customWidth="1" style="51" min="4113" max="4113"/>
    <col width="10.85546875" customWidth="1" style="51" min="4114" max="4114"/>
    <col width="5.85546875" customWidth="1" style="51" min="4115" max="4115"/>
    <col width="10" customWidth="1" style="51" min="4116" max="4116"/>
    <col width="9.140625" customWidth="1" style="51" min="4117" max="4351"/>
    <col width="9.5703125" customWidth="1" style="51" min="4352" max="4352"/>
    <col width="30.7109375" customWidth="1" style="51" min="4353" max="4353"/>
    <col width="14.7109375" customWidth="1" style="51" min="4354" max="4354"/>
    <col width="8.28515625" customWidth="1" style="51" min="4355" max="4355"/>
    <col width="11.85546875" customWidth="1" style="51" min="4356" max="4356"/>
    <col width="8.28515625" customWidth="1" style="51" min="4357" max="4357"/>
    <col width="17.28515625" customWidth="1" style="51" min="4358" max="4358"/>
    <col width="6.140625" customWidth="1" style="51" min="4359" max="4359"/>
    <col width="15.140625" customWidth="1" style="51" min="4360" max="4360"/>
    <col width="9.140625" customWidth="1" style="51" min="4361" max="4361"/>
    <col width="15" customWidth="1" style="51" min="4362" max="4362"/>
    <col width="6.85546875" customWidth="1" style="51" min="4363" max="4363"/>
    <col width="13.28515625" customWidth="1" style="51" min="4364" max="4364"/>
    <col width="9.42578125" customWidth="1" style="51" min="4365" max="4365"/>
    <col width="11" customWidth="1" style="51" min="4366" max="4366"/>
    <col width="10.140625" customWidth="1" style="51" min="4367" max="4367"/>
    <col width="11.140625" customWidth="1" style="51" min="4368" max="4368"/>
    <col width="7" customWidth="1" style="51" min="4369" max="4369"/>
    <col width="10.85546875" customWidth="1" style="51" min="4370" max="4370"/>
    <col width="5.85546875" customWidth="1" style="51" min="4371" max="4371"/>
    <col width="10" customWidth="1" style="51" min="4372" max="4372"/>
    <col width="9.140625" customWidth="1" style="51" min="4373" max="4607"/>
    <col width="9.5703125" customWidth="1" style="51" min="4608" max="4608"/>
    <col width="30.7109375" customWidth="1" style="51" min="4609" max="4609"/>
    <col width="14.7109375" customWidth="1" style="51" min="4610" max="4610"/>
    <col width="8.28515625" customWidth="1" style="51" min="4611" max="4611"/>
    <col width="11.85546875" customWidth="1" style="51" min="4612" max="4612"/>
    <col width="8.28515625" customWidth="1" style="51" min="4613" max="4613"/>
    <col width="17.28515625" customWidth="1" style="51" min="4614" max="4614"/>
    <col width="6.140625" customWidth="1" style="51" min="4615" max="4615"/>
    <col width="15.140625" customWidth="1" style="51" min="4616" max="4616"/>
    <col width="9.140625" customWidth="1" style="51" min="4617" max="4617"/>
    <col width="15" customWidth="1" style="51" min="4618" max="4618"/>
    <col width="6.85546875" customWidth="1" style="51" min="4619" max="4619"/>
    <col width="13.28515625" customWidth="1" style="51" min="4620" max="4620"/>
    <col width="9.42578125" customWidth="1" style="51" min="4621" max="4621"/>
    <col width="11" customWidth="1" style="51" min="4622" max="4622"/>
    <col width="10.140625" customWidth="1" style="51" min="4623" max="4623"/>
    <col width="11.140625" customWidth="1" style="51" min="4624" max="4624"/>
    <col width="7" customWidth="1" style="51" min="4625" max="4625"/>
    <col width="10.85546875" customWidth="1" style="51" min="4626" max="4626"/>
    <col width="5.85546875" customWidth="1" style="51" min="4627" max="4627"/>
    <col width="10" customWidth="1" style="51" min="4628" max="4628"/>
    <col width="9.140625" customWidth="1" style="51" min="4629" max="4863"/>
    <col width="9.5703125" customWidth="1" style="51" min="4864" max="4864"/>
    <col width="30.7109375" customWidth="1" style="51" min="4865" max="4865"/>
    <col width="14.7109375" customWidth="1" style="51" min="4866" max="4866"/>
    <col width="8.28515625" customWidth="1" style="51" min="4867" max="4867"/>
    <col width="11.85546875" customWidth="1" style="51" min="4868" max="4868"/>
    <col width="8.28515625" customWidth="1" style="51" min="4869" max="4869"/>
    <col width="17.28515625" customWidth="1" style="51" min="4870" max="4870"/>
    <col width="6.140625" customWidth="1" style="51" min="4871" max="4871"/>
    <col width="15.140625" customWidth="1" style="51" min="4872" max="4872"/>
    <col width="9.140625" customWidth="1" style="51" min="4873" max="4873"/>
    <col width="15" customWidth="1" style="51" min="4874" max="4874"/>
    <col width="6.85546875" customWidth="1" style="51" min="4875" max="4875"/>
    <col width="13.28515625" customWidth="1" style="51" min="4876" max="4876"/>
    <col width="9.42578125" customWidth="1" style="51" min="4877" max="4877"/>
    <col width="11" customWidth="1" style="51" min="4878" max="4878"/>
    <col width="10.140625" customWidth="1" style="51" min="4879" max="4879"/>
    <col width="11.140625" customWidth="1" style="51" min="4880" max="4880"/>
    <col width="7" customWidth="1" style="51" min="4881" max="4881"/>
    <col width="10.85546875" customWidth="1" style="51" min="4882" max="4882"/>
    <col width="5.85546875" customWidth="1" style="51" min="4883" max="4883"/>
    <col width="10" customWidth="1" style="51" min="4884" max="4884"/>
    <col width="9.140625" customWidth="1" style="51" min="4885" max="5119"/>
    <col width="9.5703125" customWidth="1" style="51" min="5120" max="5120"/>
    <col width="30.7109375" customWidth="1" style="51" min="5121" max="5121"/>
    <col width="14.7109375" customWidth="1" style="51" min="5122" max="5122"/>
    <col width="8.28515625" customWidth="1" style="51" min="5123" max="5123"/>
    <col width="11.85546875" customWidth="1" style="51" min="5124" max="5124"/>
    <col width="8.28515625" customWidth="1" style="51" min="5125" max="5125"/>
    <col width="17.28515625" customWidth="1" style="51" min="5126" max="5126"/>
    <col width="6.140625" customWidth="1" style="51" min="5127" max="5127"/>
    <col width="15.140625" customWidth="1" style="51" min="5128" max="5128"/>
    <col width="9.140625" customWidth="1" style="51" min="5129" max="5129"/>
    <col width="15" customWidth="1" style="51" min="5130" max="5130"/>
    <col width="6.85546875" customWidth="1" style="51" min="5131" max="5131"/>
    <col width="13.28515625" customWidth="1" style="51" min="5132" max="5132"/>
    <col width="9.42578125" customWidth="1" style="51" min="5133" max="5133"/>
    <col width="11" customWidth="1" style="51" min="5134" max="5134"/>
    <col width="10.140625" customWidth="1" style="51" min="5135" max="5135"/>
    <col width="11.140625" customWidth="1" style="51" min="5136" max="5136"/>
    <col width="7" customWidth="1" style="51" min="5137" max="5137"/>
    <col width="10.85546875" customWidth="1" style="51" min="5138" max="5138"/>
    <col width="5.85546875" customWidth="1" style="51" min="5139" max="5139"/>
    <col width="10" customWidth="1" style="51" min="5140" max="5140"/>
    <col width="9.140625" customWidth="1" style="51" min="5141" max="5375"/>
    <col width="9.5703125" customWidth="1" style="51" min="5376" max="5376"/>
    <col width="30.7109375" customWidth="1" style="51" min="5377" max="5377"/>
    <col width="14.7109375" customWidth="1" style="51" min="5378" max="5378"/>
    <col width="8.28515625" customWidth="1" style="51" min="5379" max="5379"/>
    <col width="11.85546875" customWidth="1" style="51" min="5380" max="5380"/>
    <col width="8.28515625" customWidth="1" style="51" min="5381" max="5381"/>
    <col width="17.28515625" customWidth="1" style="51" min="5382" max="5382"/>
    <col width="6.140625" customWidth="1" style="51" min="5383" max="5383"/>
    <col width="15.140625" customWidth="1" style="51" min="5384" max="5384"/>
    <col width="9.140625" customWidth="1" style="51" min="5385" max="5385"/>
    <col width="15" customWidth="1" style="51" min="5386" max="5386"/>
    <col width="6.85546875" customWidth="1" style="51" min="5387" max="5387"/>
    <col width="13.28515625" customWidth="1" style="51" min="5388" max="5388"/>
    <col width="9.42578125" customWidth="1" style="51" min="5389" max="5389"/>
    <col width="11" customWidth="1" style="51" min="5390" max="5390"/>
    <col width="10.140625" customWidth="1" style="51" min="5391" max="5391"/>
    <col width="11.140625" customWidth="1" style="51" min="5392" max="5392"/>
    <col width="7" customWidth="1" style="51" min="5393" max="5393"/>
    <col width="10.85546875" customWidth="1" style="51" min="5394" max="5394"/>
    <col width="5.85546875" customWidth="1" style="51" min="5395" max="5395"/>
    <col width="10" customWidth="1" style="51" min="5396" max="5396"/>
    <col width="9.140625" customWidth="1" style="51" min="5397" max="5631"/>
    <col width="9.5703125" customWidth="1" style="51" min="5632" max="5632"/>
    <col width="30.7109375" customWidth="1" style="51" min="5633" max="5633"/>
    <col width="14.7109375" customWidth="1" style="51" min="5634" max="5634"/>
    <col width="8.28515625" customWidth="1" style="51" min="5635" max="5635"/>
    <col width="11.85546875" customWidth="1" style="51" min="5636" max="5636"/>
    <col width="8.28515625" customWidth="1" style="51" min="5637" max="5637"/>
    <col width="17.28515625" customWidth="1" style="51" min="5638" max="5638"/>
    <col width="6.140625" customWidth="1" style="51" min="5639" max="5639"/>
    <col width="15.140625" customWidth="1" style="51" min="5640" max="5640"/>
    <col width="9.140625" customWidth="1" style="51" min="5641" max="5641"/>
    <col width="15" customWidth="1" style="51" min="5642" max="5642"/>
    <col width="6.85546875" customWidth="1" style="51" min="5643" max="5643"/>
    <col width="13.28515625" customWidth="1" style="51" min="5644" max="5644"/>
    <col width="9.42578125" customWidth="1" style="51" min="5645" max="5645"/>
    <col width="11" customWidth="1" style="51" min="5646" max="5646"/>
    <col width="10.140625" customWidth="1" style="51" min="5647" max="5647"/>
    <col width="11.140625" customWidth="1" style="51" min="5648" max="5648"/>
    <col width="7" customWidth="1" style="51" min="5649" max="5649"/>
    <col width="10.85546875" customWidth="1" style="51" min="5650" max="5650"/>
    <col width="5.85546875" customWidth="1" style="51" min="5651" max="5651"/>
    <col width="10" customWidth="1" style="51" min="5652" max="5652"/>
    <col width="9.140625" customWidth="1" style="51" min="5653" max="5887"/>
    <col width="9.5703125" customWidth="1" style="51" min="5888" max="5888"/>
    <col width="30.7109375" customWidth="1" style="51" min="5889" max="5889"/>
    <col width="14.7109375" customWidth="1" style="51" min="5890" max="5890"/>
    <col width="8.28515625" customWidth="1" style="51" min="5891" max="5891"/>
    <col width="11.85546875" customWidth="1" style="51" min="5892" max="5892"/>
    <col width="8.28515625" customWidth="1" style="51" min="5893" max="5893"/>
    <col width="17.28515625" customWidth="1" style="51" min="5894" max="5894"/>
    <col width="6.140625" customWidth="1" style="51" min="5895" max="5895"/>
    <col width="15.140625" customWidth="1" style="51" min="5896" max="5896"/>
    <col width="9.140625" customWidth="1" style="51" min="5897" max="5897"/>
    <col width="15" customWidth="1" style="51" min="5898" max="5898"/>
    <col width="6.85546875" customWidth="1" style="51" min="5899" max="5899"/>
    <col width="13.28515625" customWidth="1" style="51" min="5900" max="5900"/>
    <col width="9.42578125" customWidth="1" style="51" min="5901" max="5901"/>
    <col width="11" customWidth="1" style="51" min="5902" max="5902"/>
    <col width="10.140625" customWidth="1" style="51" min="5903" max="5903"/>
    <col width="11.140625" customWidth="1" style="51" min="5904" max="5904"/>
    <col width="7" customWidth="1" style="51" min="5905" max="5905"/>
    <col width="10.85546875" customWidth="1" style="51" min="5906" max="5906"/>
    <col width="5.85546875" customWidth="1" style="51" min="5907" max="5907"/>
    <col width="10" customWidth="1" style="51" min="5908" max="5908"/>
    <col width="9.140625" customWidth="1" style="51" min="5909" max="6143"/>
    <col width="9.5703125" customWidth="1" style="51" min="6144" max="6144"/>
    <col width="30.7109375" customWidth="1" style="51" min="6145" max="6145"/>
    <col width="14.7109375" customWidth="1" style="51" min="6146" max="6146"/>
    <col width="8.28515625" customWidth="1" style="51" min="6147" max="6147"/>
    <col width="11.85546875" customWidth="1" style="51" min="6148" max="6148"/>
    <col width="8.28515625" customWidth="1" style="51" min="6149" max="6149"/>
    <col width="17.28515625" customWidth="1" style="51" min="6150" max="6150"/>
    <col width="6.140625" customWidth="1" style="51" min="6151" max="6151"/>
    <col width="15.140625" customWidth="1" style="51" min="6152" max="6152"/>
    <col width="9.140625" customWidth="1" style="51" min="6153" max="6153"/>
    <col width="15" customWidth="1" style="51" min="6154" max="6154"/>
    <col width="6.85546875" customWidth="1" style="51" min="6155" max="6155"/>
    <col width="13.28515625" customWidth="1" style="51" min="6156" max="6156"/>
    <col width="9.42578125" customWidth="1" style="51" min="6157" max="6157"/>
    <col width="11" customWidth="1" style="51" min="6158" max="6158"/>
    <col width="10.140625" customWidth="1" style="51" min="6159" max="6159"/>
    <col width="11.140625" customWidth="1" style="51" min="6160" max="6160"/>
    <col width="7" customWidth="1" style="51" min="6161" max="6161"/>
    <col width="10.85546875" customWidth="1" style="51" min="6162" max="6162"/>
    <col width="5.85546875" customWidth="1" style="51" min="6163" max="6163"/>
    <col width="10" customWidth="1" style="51" min="6164" max="6164"/>
    <col width="9.140625" customWidth="1" style="51" min="6165" max="6399"/>
    <col width="9.5703125" customWidth="1" style="51" min="6400" max="6400"/>
    <col width="30.7109375" customWidth="1" style="51" min="6401" max="6401"/>
    <col width="14.7109375" customWidth="1" style="51" min="6402" max="6402"/>
    <col width="8.28515625" customWidth="1" style="51" min="6403" max="6403"/>
    <col width="11.85546875" customWidth="1" style="51" min="6404" max="6404"/>
    <col width="8.28515625" customWidth="1" style="51" min="6405" max="6405"/>
    <col width="17.28515625" customWidth="1" style="51" min="6406" max="6406"/>
    <col width="6.140625" customWidth="1" style="51" min="6407" max="6407"/>
    <col width="15.140625" customWidth="1" style="51" min="6408" max="6408"/>
    <col width="9.140625" customWidth="1" style="51" min="6409" max="6409"/>
    <col width="15" customWidth="1" style="51" min="6410" max="6410"/>
    <col width="6.85546875" customWidth="1" style="51" min="6411" max="6411"/>
    <col width="13.28515625" customWidth="1" style="51" min="6412" max="6412"/>
    <col width="9.42578125" customWidth="1" style="51" min="6413" max="6413"/>
    <col width="11" customWidth="1" style="51" min="6414" max="6414"/>
    <col width="10.140625" customWidth="1" style="51" min="6415" max="6415"/>
    <col width="11.140625" customWidth="1" style="51" min="6416" max="6416"/>
    <col width="7" customWidth="1" style="51" min="6417" max="6417"/>
    <col width="10.85546875" customWidth="1" style="51" min="6418" max="6418"/>
    <col width="5.85546875" customWidth="1" style="51" min="6419" max="6419"/>
    <col width="10" customWidth="1" style="51" min="6420" max="6420"/>
    <col width="9.140625" customWidth="1" style="51" min="6421" max="6655"/>
    <col width="9.5703125" customWidth="1" style="51" min="6656" max="6656"/>
    <col width="30.7109375" customWidth="1" style="51" min="6657" max="6657"/>
    <col width="14.7109375" customWidth="1" style="51" min="6658" max="6658"/>
    <col width="8.28515625" customWidth="1" style="51" min="6659" max="6659"/>
    <col width="11.85546875" customWidth="1" style="51" min="6660" max="6660"/>
    <col width="8.28515625" customWidth="1" style="51" min="6661" max="6661"/>
    <col width="17.28515625" customWidth="1" style="51" min="6662" max="6662"/>
    <col width="6.140625" customWidth="1" style="51" min="6663" max="6663"/>
    <col width="15.140625" customWidth="1" style="51" min="6664" max="6664"/>
    <col width="9.140625" customWidth="1" style="51" min="6665" max="6665"/>
    <col width="15" customWidth="1" style="51" min="6666" max="6666"/>
    <col width="6.85546875" customWidth="1" style="51" min="6667" max="6667"/>
    <col width="13.28515625" customWidth="1" style="51" min="6668" max="6668"/>
    <col width="9.42578125" customWidth="1" style="51" min="6669" max="6669"/>
    <col width="11" customWidth="1" style="51" min="6670" max="6670"/>
    <col width="10.140625" customWidth="1" style="51" min="6671" max="6671"/>
    <col width="11.140625" customWidth="1" style="51" min="6672" max="6672"/>
    <col width="7" customWidth="1" style="51" min="6673" max="6673"/>
    <col width="10.85546875" customWidth="1" style="51" min="6674" max="6674"/>
    <col width="5.85546875" customWidth="1" style="51" min="6675" max="6675"/>
    <col width="10" customWidth="1" style="51" min="6676" max="6676"/>
    <col width="9.140625" customWidth="1" style="51" min="6677" max="6911"/>
    <col width="9.5703125" customWidth="1" style="51" min="6912" max="6912"/>
    <col width="30.7109375" customWidth="1" style="51" min="6913" max="6913"/>
    <col width="14.7109375" customWidth="1" style="51" min="6914" max="6914"/>
    <col width="8.28515625" customWidth="1" style="51" min="6915" max="6915"/>
    <col width="11.85546875" customWidth="1" style="51" min="6916" max="6916"/>
    <col width="8.28515625" customWidth="1" style="51" min="6917" max="6917"/>
    <col width="17.28515625" customWidth="1" style="51" min="6918" max="6918"/>
    <col width="6.140625" customWidth="1" style="51" min="6919" max="6919"/>
    <col width="15.140625" customWidth="1" style="51" min="6920" max="6920"/>
    <col width="9.140625" customWidth="1" style="51" min="6921" max="6921"/>
    <col width="15" customWidth="1" style="51" min="6922" max="6922"/>
    <col width="6.85546875" customWidth="1" style="51" min="6923" max="6923"/>
    <col width="13.28515625" customWidth="1" style="51" min="6924" max="6924"/>
    <col width="9.42578125" customWidth="1" style="51" min="6925" max="6925"/>
    <col width="11" customWidth="1" style="51" min="6926" max="6926"/>
    <col width="10.140625" customWidth="1" style="51" min="6927" max="6927"/>
    <col width="11.140625" customWidth="1" style="51" min="6928" max="6928"/>
    <col width="7" customWidth="1" style="51" min="6929" max="6929"/>
    <col width="10.85546875" customWidth="1" style="51" min="6930" max="6930"/>
    <col width="5.85546875" customWidth="1" style="51" min="6931" max="6931"/>
    <col width="10" customWidth="1" style="51" min="6932" max="6932"/>
    <col width="9.140625" customWidth="1" style="51" min="6933" max="7167"/>
    <col width="9.5703125" customWidth="1" style="51" min="7168" max="7168"/>
    <col width="30.7109375" customWidth="1" style="51" min="7169" max="7169"/>
    <col width="14.7109375" customWidth="1" style="51" min="7170" max="7170"/>
    <col width="8.28515625" customWidth="1" style="51" min="7171" max="7171"/>
    <col width="11.85546875" customWidth="1" style="51" min="7172" max="7172"/>
    <col width="8.28515625" customWidth="1" style="51" min="7173" max="7173"/>
    <col width="17.28515625" customWidth="1" style="51" min="7174" max="7174"/>
    <col width="6.140625" customWidth="1" style="51" min="7175" max="7175"/>
    <col width="15.140625" customWidth="1" style="51" min="7176" max="7176"/>
    <col width="9.140625" customWidth="1" style="51" min="7177" max="7177"/>
    <col width="15" customWidth="1" style="51" min="7178" max="7178"/>
    <col width="6.85546875" customWidth="1" style="51" min="7179" max="7179"/>
    <col width="13.28515625" customWidth="1" style="51" min="7180" max="7180"/>
    <col width="9.42578125" customWidth="1" style="51" min="7181" max="7181"/>
    <col width="11" customWidth="1" style="51" min="7182" max="7182"/>
    <col width="10.140625" customWidth="1" style="51" min="7183" max="7183"/>
    <col width="11.140625" customWidth="1" style="51" min="7184" max="7184"/>
    <col width="7" customWidth="1" style="51" min="7185" max="7185"/>
    <col width="10.85546875" customWidth="1" style="51" min="7186" max="7186"/>
    <col width="5.85546875" customWidth="1" style="51" min="7187" max="7187"/>
    <col width="10" customWidth="1" style="51" min="7188" max="7188"/>
    <col width="9.140625" customWidth="1" style="51" min="7189" max="7423"/>
    <col width="9.5703125" customWidth="1" style="51" min="7424" max="7424"/>
    <col width="30.7109375" customWidth="1" style="51" min="7425" max="7425"/>
    <col width="14.7109375" customWidth="1" style="51" min="7426" max="7426"/>
    <col width="8.28515625" customWidth="1" style="51" min="7427" max="7427"/>
    <col width="11.85546875" customWidth="1" style="51" min="7428" max="7428"/>
    <col width="8.28515625" customWidth="1" style="51" min="7429" max="7429"/>
    <col width="17.28515625" customWidth="1" style="51" min="7430" max="7430"/>
    <col width="6.140625" customWidth="1" style="51" min="7431" max="7431"/>
    <col width="15.140625" customWidth="1" style="51" min="7432" max="7432"/>
    <col width="9.140625" customWidth="1" style="51" min="7433" max="7433"/>
    <col width="15" customWidth="1" style="51" min="7434" max="7434"/>
    <col width="6.85546875" customWidth="1" style="51" min="7435" max="7435"/>
    <col width="13.28515625" customWidth="1" style="51" min="7436" max="7436"/>
    <col width="9.42578125" customWidth="1" style="51" min="7437" max="7437"/>
    <col width="11" customWidth="1" style="51" min="7438" max="7438"/>
    <col width="10.140625" customWidth="1" style="51" min="7439" max="7439"/>
    <col width="11.140625" customWidth="1" style="51" min="7440" max="7440"/>
    <col width="7" customWidth="1" style="51" min="7441" max="7441"/>
    <col width="10.85546875" customWidth="1" style="51" min="7442" max="7442"/>
    <col width="5.85546875" customWidth="1" style="51" min="7443" max="7443"/>
    <col width="10" customWidth="1" style="51" min="7444" max="7444"/>
    <col width="9.140625" customWidth="1" style="51" min="7445" max="7679"/>
    <col width="9.5703125" customWidth="1" style="51" min="7680" max="7680"/>
    <col width="30.7109375" customWidth="1" style="51" min="7681" max="7681"/>
    <col width="14.7109375" customWidth="1" style="51" min="7682" max="7682"/>
    <col width="8.28515625" customWidth="1" style="51" min="7683" max="7683"/>
    <col width="11.85546875" customWidth="1" style="51" min="7684" max="7684"/>
    <col width="8.28515625" customWidth="1" style="51" min="7685" max="7685"/>
    <col width="17.28515625" customWidth="1" style="51" min="7686" max="7686"/>
    <col width="6.140625" customWidth="1" style="51" min="7687" max="7687"/>
    <col width="15.140625" customWidth="1" style="51" min="7688" max="7688"/>
    <col width="9.140625" customWidth="1" style="51" min="7689" max="7689"/>
    <col width="15" customWidth="1" style="51" min="7690" max="7690"/>
    <col width="6.85546875" customWidth="1" style="51" min="7691" max="7691"/>
    <col width="13.28515625" customWidth="1" style="51" min="7692" max="7692"/>
    <col width="9.42578125" customWidth="1" style="51" min="7693" max="7693"/>
    <col width="11" customWidth="1" style="51" min="7694" max="7694"/>
    <col width="10.140625" customWidth="1" style="51" min="7695" max="7695"/>
    <col width="11.140625" customWidth="1" style="51" min="7696" max="7696"/>
    <col width="7" customWidth="1" style="51" min="7697" max="7697"/>
    <col width="10.85546875" customWidth="1" style="51" min="7698" max="7698"/>
    <col width="5.85546875" customWidth="1" style="51" min="7699" max="7699"/>
    <col width="10" customWidth="1" style="51" min="7700" max="7700"/>
    <col width="9.140625" customWidth="1" style="51" min="7701" max="7935"/>
    <col width="9.5703125" customWidth="1" style="51" min="7936" max="7936"/>
    <col width="30.7109375" customWidth="1" style="51" min="7937" max="7937"/>
    <col width="14.7109375" customWidth="1" style="51" min="7938" max="7938"/>
    <col width="8.28515625" customWidth="1" style="51" min="7939" max="7939"/>
    <col width="11.85546875" customWidth="1" style="51" min="7940" max="7940"/>
    <col width="8.28515625" customWidth="1" style="51" min="7941" max="7941"/>
    <col width="17.28515625" customWidth="1" style="51" min="7942" max="7942"/>
    <col width="6.140625" customWidth="1" style="51" min="7943" max="7943"/>
    <col width="15.140625" customWidth="1" style="51" min="7944" max="7944"/>
    <col width="9.140625" customWidth="1" style="51" min="7945" max="7945"/>
    <col width="15" customWidth="1" style="51" min="7946" max="7946"/>
    <col width="6.85546875" customWidth="1" style="51" min="7947" max="7947"/>
    <col width="13.28515625" customWidth="1" style="51" min="7948" max="7948"/>
    <col width="9.42578125" customWidth="1" style="51" min="7949" max="7949"/>
    <col width="11" customWidth="1" style="51" min="7950" max="7950"/>
    <col width="10.140625" customWidth="1" style="51" min="7951" max="7951"/>
    <col width="11.140625" customWidth="1" style="51" min="7952" max="7952"/>
    <col width="7" customWidth="1" style="51" min="7953" max="7953"/>
    <col width="10.85546875" customWidth="1" style="51" min="7954" max="7954"/>
    <col width="5.85546875" customWidth="1" style="51" min="7955" max="7955"/>
    <col width="10" customWidth="1" style="51" min="7956" max="7956"/>
    <col width="9.140625" customWidth="1" style="51" min="7957" max="8191"/>
    <col width="9.5703125" customWidth="1" style="51" min="8192" max="8192"/>
    <col width="30.7109375" customWidth="1" style="51" min="8193" max="8193"/>
    <col width="14.7109375" customWidth="1" style="51" min="8194" max="8194"/>
    <col width="8.28515625" customWidth="1" style="51" min="8195" max="8195"/>
    <col width="11.85546875" customWidth="1" style="51" min="8196" max="8196"/>
    <col width="8.28515625" customWidth="1" style="51" min="8197" max="8197"/>
    <col width="17.28515625" customWidth="1" style="51" min="8198" max="8198"/>
    <col width="6.140625" customWidth="1" style="51" min="8199" max="8199"/>
    <col width="15.140625" customWidth="1" style="51" min="8200" max="8200"/>
    <col width="9.140625" customWidth="1" style="51" min="8201" max="8201"/>
    <col width="15" customWidth="1" style="51" min="8202" max="8202"/>
    <col width="6.85546875" customWidth="1" style="51" min="8203" max="8203"/>
    <col width="13.28515625" customWidth="1" style="51" min="8204" max="8204"/>
    <col width="9.42578125" customWidth="1" style="51" min="8205" max="8205"/>
    <col width="11" customWidth="1" style="51" min="8206" max="8206"/>
    <col width="10.140625" customWidth="1" style="51" min="8207" max="8207"/>
    <col width="11.140625" customWidth="1" style="51" min="8208" max="8208"/>
    <col width="7" customWidth="1" style="51" min="8209" max="8209"/>
    <col width="10.85546875" customWidth="1" style="51" min="8210" max="8210"/>
    <col width="5.85546875" customWidth="1" style="51" min="8211" max="8211"/>
    <col width="10" customWidth="1" style="51" min="8212" max="8212"/>
    <col width="9.140625" customWidth="1" style="51" min="8213" max="8447"/>
    <col width="9.5703125" customWidth="1" style="51" min="8448" max="8448"/>
    <col width="30.7109375" customWidth="1" style="51" min="8449" max="8449"/>
    <col width="14.7109375" customWidth="1" style="51" min="8450" max="8450"/>
    <col width="8.28515625" customWidth="1" style="51" min="8451" max="8451"/>
    <col width="11.85546875" customWidth="1" style="51" min="8452" max="8452"/>
    <col width="8.28515625" customWidth="1" style="51" min="8453" max="8453"/>
    <col width="17.28515625" customWidth="1" style="51" min="8454" max="8454"/>
    <col width="6.140625" customWidth="1" style="51" min="8455" max="8455"/>
    <col width="15.140625" customWidth="1" style="51" min="8456" max="8456"/>
    <col width="9.140625" customWidth="1" style="51" min="8457" max="8457"/>
    <col width="15" customWidth="1" style="51" min="8458" max="8458"/>
    <col width="6.85546875" customWidth="1" style="51" min="8459" max="8459"/>
    <col width="13.28515625" customWidth="1" style="51" min="8460" max="8460"/>
    <col width="9.42578125" customWidth="1" style="51" min="8461" max="8461"/>
    <col width="11" customWidth="1" style="51" min="8462" max="8462"/>
    <col width="10.140625" customWidth="1" style="51" min="8463" max="8463"/>
    <col width="11.140625" customWidth="1" style="51" min="8464" max="8464"/>
    <col width="7" customWidth="1" style="51" min="8465" max="8465"/>
    <col width="10.85546875" customWidth="1" style="51" min="8466" max="8466"/>
    <col width="5.85546875" customWidth="1" style="51" min="8467" max="8467"/>
    <col width="10" customWidth="1" style="51" min="8468" max="8468"/>
    <col width="9.140625" customWidth="1" style="51" min="8469" max="8703"/>
    <col width="9.5703125" customWidth="1" style="51" min="8704" max="8704"/>
    <col width="30.7109375" customWidth="1" style="51" min="8705" max="8705"/>
    <col width="14.7109375" customWidth="1" style="51" min="8706" max="8706"/>
    <col width="8.28515625" customWidth="1" style="51" min="8707" max="8707"/>
    <col width="11.85546875" customWidth="1" style="51" min="8708" max="8708"/>
    <col width="8.28515625" customWidth="1" style="51" min="8709" max="8709"/>
    <col width="17.28515625" customWidth="1" style="51" min="8710" max="8710"/>
    <col width="6.140625" customWidth="1" style="51" min="8711" max="8711"/>
    <col width="15.140625" customWidth="1" style="51" min="8712" max="8712"/>
    <col width="9.140625" customWidth="1" style="51" min="8713" max="8713"/>
    <col width="15" customWidth="1" style="51" min="8714" max="8714"/>
    <col width="6.85546875" customWidth="1" style="51" min="8715" max="8715"/>
    <col width="13.28515625" customWidth="1" style="51" min="8716" max="8716"/>
    <col width="9.42578125" customWidth="1" style="51" min="8717" max="8717"/>
    <col width="11" customWidth="1" style="51" min="8718" max="8718"/>
    <col width="10.140625" customWidth="1" style="51" min="8719" max="8719"/>
    <col width="11.140625" customWidth="1" style="51" min="8720" max="8720"/>
    <col width="7" customWidth="1" style="51" min="8721" max="8721"/>
    <col width="10.85546875" customWidth="1" style="51" min="8722" max="8722"/>
    <col width="5.85546875" customWidth="1" style="51" min="8723" max="8723"/>
    <col width="10" customWidth="1" style="51" min="8724" max="8724"/>
    <col width="9.140625" customWidth="1" style="51" min="8725" max="8959"/>
    <col width="9.5703125" customWidth="1" style="51" min="8960" max="8960"/>
    <col width="30.7109375" customWidth="1" style="51" min="8961" max="8961"/>
    <col width="14.7109375" customWidth="1" style="51" min="8962" max="8962"/>
    <col width="8.28515625" customWidth="1" style="51" min="8963" max="8963"/>
    <col width="11.85546875" customWidth="1" style="51" min="8964" max="8964"/>
    <col width="8.28515625" customWidth="1" style="51" min="8965" max="8965"/>
    <col width="17.28515625" customWidth="1" style="51" min="8966" max="8966"/>
    <col width="6.140625" customWidth="1" style="51" min="8967" max="8967"/>
    <col width="15.140625" customWidth="1" style="51" min="8968" max="8968"/>
    <col width="9.140625" customWidth="1" style="51" min="8969" max="8969"/>
    <col width="15" customWidth="1" style="51" min="8970" max="8970"/>
    <col width="6.85546875" customWidth="1" style="51" min="8971" max="8971"/>
    <col width="13.28515625" customWidth="1" style="51" min="8972" max="8972"/>
    <col width="9.42578125" customWidth="1" style="51" min="8973" max="8973"/>
    <col width="11" customWidth="1" style="51" min="8974" max="8974"/>
    <col width="10.140625" customWidth="1" style="51" min="8975" max="8975"/>
    <col width="11.140625" customWidth="1" style="51" min="8976" max="8976"/>
    <col width="7" customWidth="1" style="51" min="8977" max="8977"/>
    <col width="10.85546875" customWidth="1" style="51" min="8978" max="8978"/>
    <col width="5.85546875" customWidth="1" style="51" min="8979" max="8979"/>
    <col width="10" customWidth="1" style="51" min="8980" max="8980"/>
    <col width="9.140625" customWidth="1" style="51" min="8981" max="9215"/>
    <col width="9.5703125" customWidth="1" style="51" min="9216" max="9216"/>
    <col width="30.7109375" customWidth="1" style="51" min="9217" max="9217"/>
    <col width="14.7109375" customWidth="1" style="51" min="9218" max="9218"/>
    <col width="8.28515625" customWidth="1" style="51" min="9219" max="9219"/>
    <col width="11.85546875" customWidth="1" style="51" min="9220" max="9220"/>
    <col width="8.28515625" customWidth="1" style="51" min="9221" max="9221"/>
    <col width="17.28515625" customWidth="1" style="51" min="9222" max="9222"/>
    <col width="6.140625" customWidth="1" style="51" min="9223" max="9223"/>
    <col width="15.140625" customWidth="1" style="51" min="9224" max="9224"/>
    <col width="9.140625" customWidth="1" style="51" min="9225" max="9225"/>
    <col width="15" customWidth="1" style="51" min="9226" max="9226"/>
    <col width="6.85546875" customWidth="1" style="51" min="9227" max="9227"/>
    <col width="13.28515625" customWidth="1" style="51" min="9228" max="9228"/>
    <col width="9.42578125" customWidth="1" style="51" min="9229" max="9229"/>
    <col width="11" customWidth="1" style="51" min="9230" max="9230"/>
    <col width="10.140625" customWidth="1" style="51" min="9231" max="9231"/>
    <col width="11.140625" customWidth="1" style="51" min="9232" max="9232"/>
    <col width="7" customWidth="1" style="51" min="9233" max="9233"/>
    <col width="10.85546875" customWidth="1" style="51" min="9234" max="9234"/>
    <col width="5.85546875" customWidth="1" style="51" min="9235" max="9235"/>
    <col width="10" customWidth="1" style="51" min="9236" max="9236"/>
    <col width="9.140625" customWidth="1" style="51" min="9237" max="9471"/>
    <col width="9.5703125" customWidth="1" style="51" min="9472" max="9472"/>
    <col width="30.7109375" customWidth="1" style="51" min="9473" max="9473"/>
    <col width="14.7109375" customWidth="1" style="51" min="9474" max="9474"/>
    <col width="8.28515625" customWidth="1" style="51" min="9475" max="9475"/>
    <col width="11.85546875" customWidth="1" style="51" min="9476" max="9476"/>
    <col width="8.28515625" customWidth="1" style="51" min="9477" max="9477"/>
    <col width="17.28515625" customWidth="1" style="51" min="9478" max="9478"/>
    <col width="6.140625" customWidth="1" style="51" min="9479" max="9479"/>
    <col width="15.140625" customWidth="1" style="51" min="9480" max="9480"/>
    <col width="9.140625" customWidth="1" style="51" min="9481" max="9481"/>
    <col width="15" customWidth="1" style="51" min="9482" max="9482"/>
    <col width="6.85546875" customWidth="1" style="51" min="9483" max="9483"/>
    <col width="13.28515625" customWidth="1" style="51" min="9484" max="9484"/>
    <col width="9.42578125" customWidth="1" style="51" min="9485" max="9485"/>
    <col width="11" customWidth="1" style="51" min="9486" max="9486"/>
    <col width="10.140625" customWidth="1" style="51" min="9487" max="9487"/>
    <col width="11.140625" customWidth="1" style="51" min="9488" max="9488"/>
    <col width="7" customWidth="1" style="51" min="9489" max="9489"/>
    <col width="10.85546875" customWidth="1" style="51" min="9490" max="9490"/>
    <col width="5.85546875" customWidth="1" style="51" min="9491" max="9491"/>
    <col width="10" customWidth="1" style="51" min="9492" max="9492"/>
    <col width="9.140625" customWidth="1" style="51" min="9493" max="9727"/>
    <col width="9.5703125" customWidth="1" style="51" min="9728" max="9728"/>
    <col width="30.7109375" customWidth="1" style="51" min="9729" max="9729"/>
    <col width="14.7109375" customWidth="1" style="51" min="9730" max="9730"/>
    <col width="8.28515625" customWidth="1" style="51" min="9731" max="9731"/>
    <col width="11.85546875" customWidth="1" style="51" min="9732" max="9732"/>
    <col width="8.28515625" customWidth="1" style="51" min="9733" max="9733"/>
    <col width="17.28515625" customWidth="1" style="51" min="9734" max="9734"/>
    <col width="6.140625" customWidth="1" style="51" min="9735" max="9735"/>
    <col width="15.140625" customWidth="1" style="51" min="9736" max="9736"/>
    <col width="9.140625" customWidth="1" style="51" min="9737" max="9737"/>
    <col width="15" customWidth="1" style="51" min="9738" max="9738"/>
    <col width="6.85546875" customWidth="1" style="51" min="9739" max="9739"/>
    <col width="13.28515625" customWidth="1" style="51" min="9740" max="9740"/>
    <col width="9.42578125" customWidth="1" style="51" min="9741" max="9741"/>
    <col width="11" customWidth="1" style="51" min="9742" max="9742"/>
    <col width="10.140625" customWidth="1" style="51" min="9743" max="9743"/>
    <col width="11.140625" customWidth="1" style="51" min="9744" max="9744"/>
    <col width="7" customWidth="1" style="51" min="9745" max="9745"/>
    <col width="10.85546875" customWidth="1" style="51" min="9746" max="9746"/>
    <col width="5.85546875" customWidth="1" style="51" min="9747" max="9747"/>
    <col width="10" customWidth="1" style="51" min="9748" max="9748"/>
    <col width="9.140625" customWidth="1" style="51" min="9749" max="9983"/>
    <col width="9.5703125" customWidth="1" style="51" min="9984" max="9984"/>
    <col width="30.7109375" customWidth="1" style="51" min="9985" max="9985"/>
    <col width="14.7109375" customWidth="1" style="51" min="9986" max="9986"/>
    <col width="8.28515625" customWidth="1" style="51" min="9987" max="9987"/>
    <col width="11.85546875" customWidth="1" style="51" min="9988" max="9988"/>
    <col width="8.28515625" customWidth="1" style="51" min="9989" max="9989"/>
    <col width="17.28515625" customWidth="1" style="51" min="9990" max="9990"/>
    <col width="6.140625" customWidth="1" style="51" min="9991" max="9991"/>
    <col width="15.140625" customWidth="1" style="51" min="9992" max="9992"/>
    <col width="9.140625" customWidth="1" style="51" min="9993" max="9993"/>
    <col width="15" customWidth="1" style="51" min="9994" max="9994"/>
    <col width="6.85546875" customWidth="1" style="51" min="9995" max="9995"/>
    <col width="13.28515625" customWidth="1" style="51" min="9996" max="9996"/>
    <col width="9.42578125" customWidth="1" style="51" min="9997" max="9997"/>
    <col width="11" customWidth="1" style="51" min="9998" max="9998"/>
    <col width="10.140625" customWidth="1" style="51" min="9999" max="9999"/>
    <col width="11.140625" customWidth="1" style="51" min="10000" max="10000"/>
    <col width="7" customWidth="1" style="51" min="10001" max="10001"/>
    <col width="10.85546875" customWidth="1" style="51" min="10002" max="10002"/>
    <col width="5.85546875" customWidth="1" style="51" min="10003" max="10003"/>
    <col width="10" customWidth="1" style="51" min="10004" max="10004"/>
    <col width="9.140625" customWidth="1" style="51" min="10005" max="10239"/>
    <col width="9.5703125" customWidth="1" style="51" min="10240" max="10240"/>
    <col width="30.7109375" customWidth="1" style="51" min="10241" max="10241"/>
    <col width="14.7109375" customWidth="1" style="51" min="10242" max="10242"/>
    <col width="8.28515625" customWidth="1" style="51" min="10243" max="10243"/>
    <col width="11.85546875" customWidth="1" style="51" min="10244" max="10244"/>
    <col width="8.28515625" customWidth="1" style="51" min="10245" max="10245"/>
    <col width="17.28515625" customWidth="1" style="51" min="10246" max="10246"/>
    <col width="6.140625" customWidth="1" style="51" min="10247" max="10247"/>
    <col width="15.140625" customWidth="1" style="51" min="10248" max="10248"/>
    <col width="9.140625" customWidth="1" style="51" min="10249" max="10249"/>
    <col width="15" customWidth="1" style="51" min="10250" max="10250"/>
    <col width="6.85546875" customWidth="1" style="51" min="10251" max="10251"/>
    <col width="13.28515625" customWidth="1" style="51" min="10252" max="10252"/>
    <col width="9.42578125" customWidth="1" style="51" min="10253" max="10253"/>
    <col width="11" customWidth="1" style="51" min="10254" max="10254"/>
    <col width="10.140625" customWidth="1" style="51" min="10255" max="10255"/>
    <col width="11.140625" customWidth="1" style="51" min="10256" max="10256"/>
    <col width="7" customWidth="1" style="51" min="10257" max="10257"/>
    <col width="10.85546875" customWidth="1" style="51" min="10258" max="10258"/>
    <col width="5.85546875" customWidth="1" style="51" min="10259" max="10259"/>
    <col width="10" customWidth="1" style="51" min="10260" max="10260"/>
    <col width="9.140625" customWidth="1" style="51" min="10261" max="10495"/>
    <col width="9.5703125" customWidth="1" style="51" min="10496" max="10496"/>
    <col width="30.7109375" customWidth="1" style="51" min="10497" max="10497"/>
    <col width="14.7109375" customWidth="1" style="51" min="10498" max="10498"/>
    <col width="8.28515625" customWidth="1" style="51" min="10499" max="10499"/>
    <col width="11.85546875" customWidth="1" style="51" min="10500" max="10500"/>
    <col width="8.28515625" customWidth="1" style="51" min="10501" max="10501"/>
    <col width="17.28515625" customWidth="1" style="51" min="10502" max="10502"/>
    <col width="6.140625" customWidth="1" style="51" min="10503" max="10503"/>
    <col width="15.140625" customWidth="1" style="51" min="10504" max="10504"/>
    <col width="9.140625" customWidth="1" style="51" min="10505" max="10505"/>
    <col width="15" customWidth="1" style="51" min="10506" max="10506"/>
    <col width="6.85546875" customWidth="1" style="51" min="10507" max="10507"/>
    <col width="13.28515625" customWidth="1" style="51" min="10508" max="10508"/>
    <col width="9.42578125" customWidth="1" style="51" min="10509" max="10509"/>
    <col width="11" customWidth="1" style="51" min="10510" max="10510"/>
    <col width="10.140625" customWidth="1" style="51" min="10511" max="10511"/>
    <col width="11.140625" customWidth="1" style="51" min="10512" max="10512"/>
    <col width="7" customWidth="1" style="51" min="10513" max="10513"/>
    <col width="10.85546875" customWidth="1" style="51" min="10514" max="10514"/>
    <col width="5.85546875" customWidth="1" style="51" min="10515" max="10515"/>
    <col width="10" customWidth="1" style="51" min="10516" max="10516"/>
    <col width="9.140625" customWidth="1" style="51" min="10517" max="10751"/>
    <col width="9.5703125" customWidth="1" style="51" min="10752" max="10752"/>
    <col width="30.7109375" customWidth="1" style="51" min="10753" max="10753"/>
    <col width="14.7109375" customWidth="1" style="51" min="10754" max="10754"/>
    <col width="8.28515625" customWidth="1" style="51" min="10755" max="10755"/>
    <col width="11.85546875" customWidth="1" style="51" min="10756" max="10756"/>
    <col width="8.28515625" customWidth="1" style="51" min="10757" max="10757"/>
    <col width="17.28515625" customWidth="1" style="51" min="10758" max="10758"/>
    <col width="6.140625" customWidth="1" style="51" min="10759" max="10759"/>
    <col width="15.140625" customWidth="1" style="51" min="10760" max="10760"/>
    <col width="9.140625" customWidth="1" style="51" min="10761" max="10761"/>
    <col width="15" customWidth="1" style="51" min="10762" max="10762"/>
    <col width="6.85546875" customWidth="1" style="51" min="10763" max="10763"/>
    <col width="13.28515625" customWidth="1" style="51" min="10764" max="10764"/>
    <col width="9.42578125" customWidth="1" style="51" min="10765" max="10765"/>
    <col width="11" customWidth="1" style="51" min="10766" max="10766"/>
    <col width="10.140625" customWidth="1" style="51" min="10767" max="10767"/>
    <col width="11.140625" customWidth="1" style="51" min="10768" max="10768"/>
    <col width="7" customWidth="1" style="51" min="10769" max="10769"/>
    <col width="10.85546875" customWidth="1" style="51" min="10770" max="10770"/>
    <col width="5.85546875" customWidth="1" style="51" min="10771" max="10771"/>
    <col width="10" customWidth="1" style="51" min="10772" max="10772"/>
    <col width="9.140625" customWidth="1" style="51" min="10773" max="11007"/>
    <col width="9.5703125" customWidth="1" style="51" min="11008" max="11008"/>
    <col width="30.7109375" customWidth="1" style="51" min="11009" max="11009"/>
    <col width="14.7109375" customWidth="1" style="51" min="11010" max="11010"/>
    <col width="8.28515625" customWidth="1" style="51" min="11011" max="11011"/>
    <col width="11.85546875" customWidth="1" style="51" min="11012" max="11012"/>
    <col width="8.28515625" customWidth="1" style="51" min="11013" max="11013"/>
    <col width="17.28515625" customWidth="1" style="51" min="11014" max="11014"/>
    <col width="6.140625" customWidth="1" style="51" min="11015" max="11015"/>
    <col width="15.140625" customWidth="1" style="51" min="11016" max="11016"/>
    <col width="9.140625" customWidth="1" style="51" min="11017" max="11017"/>
    <col width="15" customWidth="1" style="51" min="11018" max="11018"/>
    <col width="6.85546875" customWidth="1" style="51" min="11019" max="11019"/>
    <col width="13.28515625" customWidth="1" style="51" min="11020" max="11020"/>
    <col width="9.42578125" customWidth="1" style="51" min="11021" max="11021"/>
    <col width="11" customWidth="1" style="51" min="11022" max="11022"/>
    <col width="10.140625" customWidth="1" style="51" min="11023" max="11023"/>
    <col width="11.140625" customWidth="1" style="51" min="11024" max="11024"/>
    <col width="7" customWidth="1" style="51" min="11025" max="11025"/>
    <col width="10.85546875" customWidth="1" style="51" min="11026" max="11026"/>
    <col width="5.85546875" customWidth="1" style="51" min="11027" max="11027"/>
    <col width="10" customWidth="1" style="51" min="11028" max="11028"/>
    <col width="9.140625" customWidth="1" style="51" min="11029" max="11263"/>
    <col width="9.5703125" customWidth="1" style="51" min="11264" max="11264"/>
    <col width="30.7109375" customWidth="1" style="51" min="11265" max="11265"/>
    <col width="14.7109375" customWidth="1" style="51" min="11266" max="11266"/>
    <col width="8.28515625" customWidth="1" style="51" min="11267" max="11267"/>
    <col width="11.85546875" customWidth="1" style="51" min="11268" max="11268"/>
    <col width="8.28515625" customWidth="1" style="51" min="11269" max="11269"/>
    <col width="17.28515625" customWidth="1" style="51" min="11270" max="11270"/>
    <col width="6.140625" customWidth="1" style="51" min="11271" max="11271"/>
    <col width="15.140625" customWidth="1" style="51" min="11272" max="11272"/>
    <col width="9.140625" customWidth="1" style="51" min="11273" max="11273"/>
    <col width="15" customWidth="1" style="51" min="11274" max="11274"/>
    <col width="6.85546875" customWidth="1" style="51" min="11275" max="11275"/>
    <col width="13.28515625" customWidth="1" style="51" min="11276" max="11276"/>
    <col width="9.42578125" customWidth="1" style="51" min="11277" max="11277"/>
    <col width="11" customWidth="1" style="51" min="11278" max="11278"/>
    <col width="10.140625" customWidth="1" style="51" min="11279" max="11279"/>
    <col width="11.140625" customWidth="1" style="51" min="11280" max="11280"/>
    <col width="7" customWidth="1" style="51" min="11281" max="11281"/>
    <col width="10.85546875" customWidth="1" style="51" min="11282" max="11282"/>
    <col width="5.85546875" customWidth="1" style="51" min="11283" max="11283"/>
    <col width="10" customWidth="1" style="51" min="11284" max="11284"/>
    <col width="9.140625" customWidth="1" style="51" min="11285" max="11519"/>
    <col width="9.5703125" customWidth="1" style="51" min="11520" max="11520"/>
    <col width="30.7109375" customWidth="1" style="51" min="11521" max="11521"/>
    <col width="14.7109375" customWidth="1" style="51" min="11522" max="11522"/>
    <col width="8.28515625" customWidth="1" style="51" min="11523" max="11523"/>
    <col width="11.85546875" customWidth="1" style="51" min="11524" max="11524"/>
    <col width="8.28515625" customWidth="1" style="51" min="11525" max="11525"/>
    <col width="17.28515625" customWidth="1" style="51" min="11526" max="11526"/>
    <col width="6.140625" customWidth="1" style="51" min="11527" max="11527"/>
    <col width="15.140625" customWidth="1" style="51" min="11528" max="11528"/>
    <col width="9.140625" customWidth="1" style="51" min="11529" max="11529"/>
    <col width="15" customWidth="1" style="51" min="11530" max="11530"/>
    <col width="6.85546875" customWidth="1" style="51" min="11531" max="11531"/>
    <col width="13.28515625" customWidth="1" style="51" min="11532" max="11532"/>
    <col width="9.42578125" customWidth="1" style="51" min="11533" max="11533"/>
    <col width="11" customWidth="1" style="51" min="11534" max="11534"/>
    <col width="10.140625" customWidth="1" style="51" min="11535" max="11535"/>
    <col width="11.140625" customWidth="1" style="51" min="11536" max="11536"/>
    <col width="7" customWidth="1" style="51" min="11537" max="11537"/>
    <col width="10.85546875" customWidth="1" style="51" min="11538" max="11538"/>
    <col width="5.85546875" customWidth="1" style="51" min="11539" max="11539"/>
    <col width="10" customWidth="1" style="51" min="11540" max="11540"/>
    <col width="9.140625" customWidth="1" style="51" min="11541" max="11775"/>
    <col width="9.5703125" customWidth="1" style="51" min="11776" max="11776"/>
    <col width="30.7109375" customWidth="1" style="51" min="11777" max="11777"/>
    <col width="14.7109375" customWidth="1" style="51" min="11778" max="11778"/>
    <col width="8.28515625" customWidth="1" style="51" min="11779" max="11779"/>
    <col width="11.85546875" customWidth="1" style="51" min="11780" max="11780"/>
    <col width="8.28515625" customWidth="1" style="51" min="11781" max="11781"/>
    <col width="17.28515625" customWidth="1" style="51" min="11782" max="11782"/>
    <col width="6.140625" customWidth="1" style="51" min="11783" max="11783"/>
    <col width="15.140625" customWidth="1" style="51" min="11784" max="11784"/>
    <col width="9.140625" customWidth="1" style="51" min="11785" max="11785"/>
    <col width="15" customWidth="1" style="51" min="11786" max="11786"/>
    <col width="6.85546875" customWidth="1" style="51" min="11787" max="11787"/>
    <col width="13.28515625" customWidth="1" style="51" min="11788" max="11788"/>
    <col width="9.42578125" customWidth="1" style="51" min="11789" max="11789"/>
    <col width="11" customWidth="1" style="51" min="11790" max="11790"/>
    <col width="10.140625" customWidth="1" style="51" min="11791" max="11791"/>
    <col width="11.140625" customWidth="1" style="51" min="11792" max="11792"/>
    <col width="7" customWidth="1" style="51" min="11793" max="11793"/>
    <col width="10.85546875" customWidth="1" style="51" min="11794" max="11794"/>
    <col width="5.85546875" customWidth="1" style="51" min="11795" max="11795"/>
    <col width="10" customWidth="1" style="51" min="11796" max="11796"/>
    <col width="9.140625" customWidth="1" style="51" min="11797" max="12031"/>
    <col width="9.5703125" customWidth="1" style="51" min="12032" max="12032"/>
    <col width="30.7109375" customWidth="1" style="51" min="12033" max="12033"/>
    <col width="14.7109375" customWidth="1" style="51" min="12034" max="12034"/>
    <col width="8.28515625" customWidth="1" style="51" min="12035" max="12035"/>
    <col width="11.85546875" customWidth="1" style="51" min="12036" max="12036"/>
    <col width="8.28515625" customWidth="1" style="51" min="12037" max="12037"/>
    <col width="17.28515625" customWidth="1" style="51" min="12038" max="12038"/>
    <col width="6.140625" customWidth="1" style="51" min="12039" max="12039"/>
    <col width="15.140625" customWidth="1" style="51" min="12040" max="12040"/>
    <col width="9.140625" customWidth="1" style="51" min="12041" max="12041"/>
    <col width="15" customWidth="1" style="51" min="12042" max="12042"/>
    <col width="6.85546875" customWidth="1" style="51" min="12043" max="12043"/>
    <col width="13.28515625" customWidth="1" style="51" min="12044" max="12044"/>
    <col width="9.42578125" customWidth="1" style="51" min="12045" max="12045"/>
    <col width="11" customWidth="1" style="51" min="12046" max="12046"/>
    <col width="10.140625" customWidth="1" style="51" min="12047" max="12047"/>
    <col width="11.140625" customWidth="1" style="51" min="12048" max="12048"/>
    <col width="7" customWidth="1" style="51" min="12049" max="12049"/>
    <col width="10.85546875" customWidth="1" style="51" min="12050" max="12050"/>
    <col width="5.85546875" customWidth="1" style="51" min="12051" max="12051"/>
    <col width="10" customWidth="1" style="51" min="12052" max="12052"/>
    <col width="9.140625" customWidth="1" style="51" min="12053" max="12287"/>
    <col width="9.5703125" customWidth="1" style="51" min="12288" max="12288"/>
    <col width="30.7109375" customWidth="1" style="51" min="12289" max="12289"/>
    <col width="14.7109375" customWidth="1" style="51" min="12290" max="12290"/>
    <col width="8.28515625" customWidth="1" style="51" min="12291" max="12291"/>
    <col width="11.85546875" customWidth="1" style="51" min="12292" max="12292"/>
    <col width="8.28515625" customWidth="1" style="51" min="12293" max="12293"/>
    <col width="17.28515625" customWidth="1" style="51" min="12294" max="12294"/>
    <col width="6.140625" customWidth="1" style="51" min="12295" max="12295"/>
    <col width="15.140625" customWidth="1" style="51" min="12296" max="12296"/>
    <col width="9.140625" customWidth="1" style="51" min="12297" max="12297"/>
    <col width="15" customWidth="1" style="51" min="12298" max="12298"/>
    <col width="6.85546875" customWidth="1" style="51" min="12299" max="12299"/>
    <col width="13.28515625" customWidth="1" style="51" min="12300" max="12300"/>
    <col width="9.42578125" customWidth="1" style="51" min="12301" max="12301"/>
    <col width="11" customWidth="1" style="51" min="12302" max="12302"/>
    <col width="10.140625" customWidth="1" style="51" min="12303" max="12303"/>
    <col width="11.140625" customWidth="1" style="51" min="12304" max="12304"/>
    <col width="7" customWidth="1" style="51" min="12305" max="12305"/>
    <col width="10.85546875" customWidth="1" style="51" min="12306" max="12306"/>
    <col width="5.85546875" customWidth="1" style="51" min="12307" max="12307"/>
    <col width="10" customWidth="1" style="51" min="12308" max="12308"/>
    <col width="9.140625" customWidth="1" style="51" min="12309" max="12543"/>
    <col width="9.5703125" customWidth="1" style="51" min="12544" max="12544"/>
    <col width="30.7109375" customWidth="1" style="51" min="12545" max="12545"/>
    <col width="14.7109375" customWidth="1" style="51" min="12546" max="12546"/>
    <col width="8.28515625" customWidth="1" style="51" min="12547" max="12547"/>
    <col width="11.85546875" customWidth="1" style="51" min="12548" max="12548"/>
    <col width="8.28515625" customWidth="1" style="51" min="12549" max="12549"/>
    <col width="17.28515625" customWidth="1" style="51" min="12550" max="12550"/>
    <col width="6.140625" customWidth="1" style="51" min="12551" max="12551"/>
    <col width="15.140625" customWidth="1" style="51" min="12552" max="12552"/>
    <col width="9.140625" customWidth="1" style="51" min="12553" max="12553"/>
    <col width="15" customWidth="1" style="51" min="12554" max="12554"/>
    <col width="6.85546875" customWidth="1" style="51" min="12555" max="12555"/>
    <col width="13.28515625" customWidth="1" style="51" min="12556" max="12556"/>
    <col width="9.42578125" customWidth="1" style="51" min="12557" max="12557"/>
    <col width="11" customWidth="1" style="51" min="12558" max="12558"/>
    <col width="10.140625" customWidth="1" style="51" min="12559" max="12559"/>
    <col width="11.140625" customWidth="1" style="51" min="12560" max="12560"/>
    <col width="7" customWidth="1" style="51" min="12561" max="12561"/>
    <col width="10.85546875" customWidth="1" style="51" min="12562" max="12562"/>
    <col width="5.85546875" customWidth="1" style="51" min="12563" max="12563"/>
    <col width="10" customWidth="1" style="51" min="12564" max="12564"/>
    <col width="9.140625" customWidth="1" style="51" min="12565" max="12799"/>
    <col width="9.5703125" customWidth="1" style="51" min="12800" max="12800"/>
    <col width="30.7109375" customWidth="1" style="51" min="12801" max="12801"/>
    <col width="14.7109375" customWidth="1" style="51" min="12802" max="12802"/>
    <col width="8.28515625" customWidth="1" style="51" min="12803" max="12803"/>
    <col width="11.85546875" customWidth="1" style="51" min="12804" max="12804"/>
    <col width="8.28515625" customWidth="1" style="51" min="12805" max="12805"/>
    <col width="17.28515625" customWidth="1" style="51" min="12806" max="12806"/>
    <col width="6.140625" customWidth="1" style="51" min="12807" max="12807"/>
    <col width="15.140625" customWidth="1" style="51" min="12808" max="12808"/>
    <col width="9.140625" customWidth="1" style="51" min="12809" max="12809"/>
    <col width="15" customWidth="1" style="51" min="12810" max="12810"/>
    <col width="6.85546875" customWidth="1" style="51" min="12811" max="12811"/>
    <col width="13.28515625" customWidth="1" style="51" min="12812" max="12812"/>
    <col width="9.42578125" customWidth="1" style="51" min="12813" max="12813"/>
    <col width="11" customWidth="1" style="51" min="12814" max="12814"/>
    <col width="10.140625" customWidth="1" style="51" min="12815" max="12815"/>
    <col width="11.140625" customWidth="1" style="51" min="12816" max="12816"/>
    <col width="7" customWidth="1" style="51" min="12817" max="12817"/>
    <col width="10.85546875" customWidth="1" style="51" min="12818" max="12818"/>
    <col width="5.85546875" customWidth="1" style="51" min="12819" max="12819"/>
    <col width="10" customWidth="1" style="51" min="12820" max="12820"/>
    <col width="9.140625" customWidth="1" style="51" min="12821" max="13055"/>
    <col width="9.5703125" customWidth="1" style="51" min="13056" max="13056"/>
    <col width="30.7109375" customWidth="1" style="51" min="13057" max="13057"/>
    <col width="14.7109375" customWidth="1" style="51" min="13058" max="13058"/>
    <col width="8.28515625" customWidth="1" style="51" min="13059" max="13059"/>
    <col width="11.85546875" customWidth="1" style="51" min="13060" max="13060"/>
    <col width="8.28515625" customWidth="1" style="51" min="13061" max="13061"/>
    <col width="17.28515625" customWidth="1" style="51" min="13062" max="13062"/>
    <col width="6.140625" customWidth="1" style="51" min="13063" max="13063"/>
    <col width="15.140625" customWidth="1" style="51" min="13064" max="13064"/>
    <col width="9.140625" customWidth="1" style="51" min="13065" max="13065"/>
    <col width="15" customWidth="1" style="51" min="13066" max="13066"/>
    <col width="6.85546875" customWidth="1" style="51" min="13067" max="13067"/>
    <col width="13.28515625" customWidth="1" style="51" min="13068" max="13068"/>
    <col width="9.42578125" customWidth="1" style="51" min="13069" max="13069"/>
    <col width="11" customWidth="1" style="51" min="13070" max="13070"/>
    <col width="10.140625" customWidth="1" style="51" min="13071" max="13071"/>
    <col width="11.140625" customWidth="1" style="51" min="13072" max="13072"/>
    <col width="7" customWidth="1" style="51" min="13073" max="13073"/>
    <col width="10.85546875" customWidth="1" style="51" min="13074" max="13074"/>
    <col width="5.85546875" customWidth="1" style="51" min="13075" max="13075"/>
    <col width="10" customWidth="1" style="51" min="13076" max="13076"/>
    <col width="9.140625" customWidth="1" style="51" min="13077" max="13311"/>
    <col width="9.5703125" customWidth="1" style="51" min="13312" max="13312"/>
    <col width="30.7109375" customWidth="1" style="51" min="13313" max="13313"/>
    <col width="14.7109375" customWidth="1" style="51" min="13314" max="13314"/>
    <col width="8.28515625" customWidth="1" style="51" min="13315" max="13315"/>
    <col width="11.85546875" customWidth="1" style="51" min="13316" max="13316"/>
    <col width="8.28515625" customWidth="1" style="51" min="13317" max="13317"/>
    <col width="17.28515625" customWidth="1" style="51" min="13318" max="13318"/>
    <col width="6.140625" customWidth="1" style="51" min="13319" max="13319"/>
    <col width="15.140625" customWidth="1" style="51" min="13320" max="13320"/>
    <col width="9.140625" customWidth="1" style="51" min="13321" max="13321"/>
    <col width="15" customWidth="1" style="51" min="13322" max="13322"/>
    <col width="6.85546875" customWidth="1" style="51" min="13323" max="13323"/>
    <col width="13.28515625" customWidth="1" style="51" min="13324" max="13324"/>
    <col width="9.42578125" customWidth="1" style="51" min="13325" max="13325"/>
    <col width="11" customWidth="1" style="51" min="13326" max="13326"/>
    <col width="10.140625" customWidth="1" style="51" min="13327" max="13327"/>
    <col width="11.140625" customWidth="1" style="51" min="13328" max="13328"/>
    <col width="7" customWidth="1" style="51" min="13329" max="13329"/>
    <col width="10.85546875" customWidth="1" style="51" min="13330" max="13330"/>
    <col width="5.85546875" customWidth="1" style="51" min="13331" max="13331"/>
    <col width="10" customWidth="1" style="51" min="13332" max="13332"/>
    <col width="9.140625" customWidth="1" style="51" min="13333" max="13567"/>
    <col width="9.5703125" customWidth="1" style="51" min="13568" max="13568"/>
    <col width="30.7109375" customWidth="1" style="51" min="13569" max="13569"/>
    <col width="14.7109375" customWidth="1" style="51" min="13570" max="13570"/>
    <col width="8.28515625" customWidth="1" style="51" min="13571" max="13571"/>
    <col width="11.85546875" customWidth="1" style="51" min="13572" max="13572"/>
    <col width="8.28515625" customWidth="1" style="51" min="13573" max="13573"/>
    <col width="17.28515625" customWidth="1" style="51" min="13574" max="13574"/>
    <col width="6.140625" customWidth="1" style="51" min="13575" max="13575"/>
    <col width="15.140625" customWidth="1" style="51" min="13576" max="13576"/>
    <col width="9.140625" customWidth="1" style="51" min="13577" max="13577"/>
    <col width="15" customWidth="1" style="51" min="13578" max="13578"/>
    <col width="6.85546875" customWidth="1" style="51" min="13579" max="13579"/>
    <col width="13.28515625" customWidth="1" style="51" min="13580" max="13580"/>
    <col width="9.42578125" customWidth="1" style="51" min="13581" max="13581"/>
    <col width="11" customWidth="1" style="51" min="13582" max="13582"/>
    <col width="10.140625" customWidth="1" style="51" min="13583" max="13583"/>
    <col width="11.140625" customWidth="1" style="51" min="13584" max="13584"/>
    <col width="7" customWidth="1" style="51" min="13585" max="13585"/>
    <col width="10.85546875" customWidth="1" style="51" min="13586" max="13586"/>
    <col width="5.85546875" customWidth="1" style="51" min="13587" max="13587"/>
    <col width="10" customWidth="1" style="51" min="13588" max="13588"/>
    <col width="9.140625" customWidth="1" style="51" min="13589" max="13823"/>
    <col width="9.5703125" customWidth="1" style="51" min="13824" max="13824"/>
    <col width="30.7109375" customWidth="1" style="51" min="13825" max="13825"/>
    <col width="14.7109375" customWidth="1" style="51" min="13826" max="13826"/>
    <col width="8.28515625" customWidth="1" style="51" min="13827" max="13827"/>
    <col width="11.85546875" customWidth="1" style="51" min="13828" max="13828"/>
    <col width="8.28515625" customWidth="1" style="51" min="13829" max="13829"/>
    <col width="17.28515625" customWidth="1" style="51" min="13830" max="13830"/>
    <col width="6.140625" customWidth="1" style="51" min="13831" max="13831"/>
    <col width="15.140625" customWidth="1" style="51" min="13832" max="13832"/>
    <col width="9.140625" customWidth="1" style="51" min="13833" max="13833"/>
    <col width="15" customWidth="1" style="51" min="13834" max="13834"/>
    <col width="6.85546875" customWidth="1" style="51" min="13835" max="13835"/>
    <col width="13.28515625" customWidth="1" style="51" min="13836" max="13836"/>
    <col width="9.42578125" customWidth="1" style="51" min="13837" max="13837"/>
    <col width="11" customWidth="1" style="51" min="13838" max="13838"/>
    <col width="10.140625" customWidth="1" style="51" min="13839" max="13839"/>
    <col width="11.140625" customWidth="1" style="51" min="13840" max="13840"/>
    <col width="7" customWidth="1" style="51" min="13841" max="13841"/>
    <col width="10.85546875" customWidth="1" style="51" min="13842" max="13842"/>
    <col width="5.85546875" customWidth="1" style="51" min="13843" max="13843"/>
    <col width="10" customWidth="1" style="51" min="13844" max="13844"/>
    <col width="9.140625" customWidth="1" style="51" min="13845" max="14079"/>
    <col width="9.5703125" customWidth="1" style="51" min="14080" max="14080"/>
    <col width="30.7109375" customWidth="1" style="51" min="14081" max="14081"/>
    <col width="14.7109375" customWidth="1" style="51" min="14082" max="14082"/>
    <col width="8.28515625" customWidth="1" style="51" min="14083" max="14083"/>
    <col width="11.85546875" customWidth="1" style="51" min="14084" max="14084"/>
    <col width="8.28515625" customWidth="1" style="51" min="14085" max="14085"/>
    <col width="17.28515625" customWidth="1" style="51" min="14086" max="14086"/>
    <col width="6.140625" customWidth="1" style="51" min="14087" max="14087"/>
    <col width="15.140625" customWidth="1" style="51" min="14088" max="14088"/>
    <col width="9.140625" customWidth="1" style="51" min="14089" max="14089"/>
    <col width="15" customWidth="1" style="51" min="14090" max="14090"/>
    <col width="6.85546875" customWidth="1" style="51" min="14091" max="14091"/>
    <col width="13.28515625" customWidth="1" style="51" min="14092" max="14092"/>
    <col width="9.42578125" customWidth="1" style="51" min="14093" max="14093"/>
    <col width="11" customWidth="1" style="51" min="14094" max="14094"/>
    <col width="10.140625" customWidth="1" style="51" min="14095" max="14095"/>
    <col width="11.140625" customWidth="1" style="51" min="14096" max="14096"/>
    <col width="7" customWidth="1" style="51" min="14097" max="14097"/>
    <col width="10.85546875" customWidth="1" style="51" min="14098" max="14098"/>
    <col width="5.85546875" customWidth="1" style="51" min="14099" max="14099"/>
    <col width="10" customWidth="1" style="51" min="14100" max="14100"/>
    <col width="9.140625" customWidth="1" style="51" min="14101" max="14335"/>
    <col width="9.5703125" customWidth="1" style="51" min="14336" max="14336"/>
    <col width="30.7109375" customWidth="1" style="51" min="14337" max="14337"/>
    <col width="14.7109375" customWidth="1" style="51" min="14338" max="14338"/>
    <col width="8.28515625" customWidth="1" style="51" min="14339" max="14339"/>
    <col width="11.85546875" customWidth="1" style="51" min="14340" max="14340"/>
    <col width="8.28515625" customWidth="1" style="51" min="14341" max="14341"/>
    <col width="17.28515625" customWidth="1" style="51" min="14342" max="14342"/>
    <col width="6.140625" customWidth="1" style="51" min="14343" max="14343"/>
    <col width="15.140625" customWidth="1" style="51" min="14344" max="14344"/>
    <col width="9.140625" customWidth="1" style="51" min="14345" max="14345"/>
    <col width="15" customWidth="1" style="51" min="14346" max="14346"/>
    <col width="6.85546875" customWidth="1" style="51" min="14347" max="14347"/>
    <col width="13.28515625" customWidth="1" style="51" min="14348" max="14348"/>
    <col width="9.42578125" customWidth="1" style="51" min="14349" max="14349"/>
    <col width="11" customWidth="1" style="51" min="14350" max="14350"/>
    <col width="10.140625" customWidth="1" style="51" min="14351" max="14351"/>
    <col width="11.140625" customWidth="1" style="51" min="14352" max="14352"/>
    <col width="7" customWidth="1" style="51" min="14353" max="14353"/>
    <col width="10.85546875" customWidth="1" style="51" min="14354" max="14354"/>
    <col width="5.85546875" customWidth="1" style="51" min="14355" max="14355"/>
    <col width="10" customWidth="1" style="51" min="14356" max="14356"/>
    <col width="9.140625" customWidth="1" style="51" min="14357" max="14591"/>
    <col width="9.5703125" customWidth="1" style="51" min="14592" max="14592"/>
    <col width="30.7109375" customWidth="1" style="51" min="14593" max="14593"/>
    <col width="14.7109375" customWidth="1" style="51" min="14594" max="14594"/>
    <col width="8.28515625" customWidth="1" style="51" min="14595" max="14595"/>
    <col width="11.85546875" customWidth="1" style="51" min="14596" max="14596"/>
    <col width="8.28515625" customWidth="1" style="51" min="14597" max="14597"/>
    <col width="17.28515625" customWidth="1" style="51" min="14598" max="14598"/>
    <col width="6.140625" customWidth="1" style="51" min="14599" max="14599"/>
    <col width="15.140625" customWidth="1" style="51" min="14600" max="14600"/>
    <col width="9.140625" customWidth="1" style="51" min="14601" max="14601"/>
    <col width="15" customWidth="1" style="51" min="14602" max="14602"/>
    <col width="6.85546875" customWidth="1" style="51" min="14603" max="14603"/>
    <col width="13.28515625" customWidth="1" style="51" min="14604" max="14604"/>
    <col width="9.42578125" customWidth="1" style="51" min="14605" max="14605"/>
    <col width="11" customWidth="1" style="51" min="14606" max="14606"/>
    <col width="10.140625" customWidth="1" style="51" min="14607" max="14607"/>
    <col width="11.140625" customWidth="1" style="51" min="14608" max="14608"/>
    <col width="7" customWidth="1" style="51" min="14609" max="14609"/>
    <col width="10.85546875" customWidth="1" style="51" min="14610" max="14610"/>
    <col width="5.85546875" customWidth="1" style="51" min="14611" max="14611"/>
    <col width="10" customWidth="1" style="51" min="14612" max="14612"/>
    <col width="9.140625" customWidth="1" style="51" min="14613" max="14847"/>
    <col width="9.5703125" customWidth="1" style="51" min="14848" max="14848"/>
    <col width="30.7109375" customWidth="1" style="51" min="14849" max="14849"/>
    <col width="14.7109375" customWidth="1" style="51" min="14850" max="14850"/>
    <col width="8.28515625" customWidth="1" style="51" min="14851" max="14851"/>
    <col width="11.85546875" customWidth="1" style="51" min="14852" max="14852"/>
    <col width="8.28515625" customWidth="1" style="51" min="14853" max="14853"/>
    <col width="17.28515625" customWidth="1" style="51" min="14854" max="14854"/>
    <col width="6.140625" customWidth="1" style="51" min="14855" max="14855"/>
    <col width="15.140625" customWidth="1" style="51" min="14856" max="14856"/>
    <col width="9.140625" customWidth="1" style="51" min="14857" max="14857"/>
    <col width="15" customWidth="1" style="51" min="14858" max="14858"/>
    <col width="6.85546875" customWidth="1" style="51" min="14859" max="14859"/>
    <col width="13.28515625" customWidth="1" style="51" min="14860" max="14860"/>
    <col width="9.42578125" customWidth="1" style="51" min="14861" max="14861"/>
    <col width="11" customWidth="1" style="51" min="14862" max="14862"/>
    <col width="10.140625" customWidth="1" style="51" min="14863" max="14863"/>
    <col width="11.140625" customWidth="1" style="51" min="14864" max="14864"/>
    <col width="7" customWidth="1" style="51" min="14865" max="14865"/>
    <col width="10.85546875" customWidth="1" style="51" min="14866" max="14866"/>
    <col width="5.85546875" customWidth="1" style="51" min="14867" max="14867"/>
    <col width="10" customWidth="1" style="51" min="14868" max="14868"/>
    <col width="9.140625" customWidth="1" style="51" min="14869" max="15103"/>
    <col width="9.5703125" customWidth="1" style="51" min="15104" max="15104"/>
    <col width="30.7109375" customWidth="1" style="51" min="15105" max="15105"/>
    <col width="14.7109375" customWidth="1" style="51" min="15106" max="15106"/>
    <col width="8.28515625" customWidth="1" style="51" min="15107" max="15107"/>
    <col width="11.85546875" customWidth="1" style="51" min="15108" max="15108"/>
    <col width="8.28515625" customWidth="1" style="51" min="15109" max="15109"/>
    <col width="17.28515625" customWidth="1" style="51" min="15110" max="15110"/>
    <col width="6.140625" customWidth="1" style="51" min="15111" max="15111"/>
    <col width="15.140625" customWidth="1" style="51" min="15112" max="15112"/>
    <col width="9.140625" customWidth="1" style="51" min="15113" max="15113"/>
    <col width="15" customWidth="1" style="51" min="15114" max="15114"/>
    <col width="6.85546875" customWidth="1" style="51" min="15115" max="15115"/>
    <col width="13.28515625" customWidth="1" style="51" min="15116" max="15116"/>
    <col width="9.42578125" customWidth="1" style="51" min="15117" max="15117"/>
    <col width="11" customWidth="1" style="51" min="15118" max="15118"/>
    <col width="10.140625" customWidth="1" style="51" min="15119" max="15119"/>
    <col width="11.140625" customWidth="1" style="51" min="15120" max="15120"/>
    <col width="7" customWidth="1" style="51" min="15121" max="15121"/>
    <col width="10.85546875" customWidth="1" style="51" min="15122" max="15122"/>
    <col width="5.85546875" customWidth="1" style="51" min="15123" max="15123"/>
    <col width="10" customWidth="1" style="51" min="15124" max="15124"/>
    <col width="9.140625" customWidth="1" style="51" min="15125" max="15359"/>
    <col width="9.5703125" customWidth="1" style="51" min="15360" max="15360"/>
    <col width="30.7109375" customWidth="1" style="51" min="15361" max="15361"/>
    <col width="14.7109375" customWidth="1" style="51" min="15362" max="15362"/>
    <col width="8.28515625" customWidth="1" style="51" min="15363" max="15363"/>
    <col width="11.85546875" customWidth="1" style="51" min="15364" max="15364"/>
    <col width="8.28515625" customWidth="1" style="51" min="15365" max="15365"/>
    <col width="17.28515625" customWidth="1" style="51" min="15366" max="15366"/>
    <col width="6.140625" customWidth="1" style="51" min="15367" max="15367"/>
    <col width="15.140625" customWidth="1" style="51" min="15368" max="15368"/>
    <col width="9.140625" customWidth="1" style="51" min="15369" max="15369"/>
    <col width="15" customWidth="1" style="51" min="15370" max="15370"/>
    <col width="6.85546875" customWidth="1" style="51" min="15371" max="15371"/>
    <col width="13.28515625" customWidth="1" style="51" min="15372" max="15372"/>
    <col width="9.42578125" customWidth="1" style="51" min="15373" max="15373"/>
    <col width="11" customWidth="1" style="51" min="15374" max="15374"/>
    <col width="10.140625" customWidth="1" style="51" min="15375" max="15375"/>
    <col width="11.140625" customWidth="1" style="51" min="15376" max="15376"/>
    <col width="7" customWidth="1" style="51" min="15377" max="15377"/>
    <col width="10.85546875" customWidth="1" style="51" min="15378" max="15378"/>
    <col width="5.85546875" customWidth="1" style="51" min="15379" max="15379"/>
    <col width="10" customWidth="1" style="51" min="15380" max="15380"/>
    <col width="9.140625" customWidth="1" style="51" min="15381" max="15615"/>
    <col width="9.5703125" customWidth="1" style="51" min="15616" max="15616"/>
    <col width="30.7109375" customWidth="1" style="51" min="15617" max="15617"/>
    <col width="14.7109375" customWidth="1" style="51" min="15618" max="15618"/>
    <col width="8.28515625" customWidth="1" style="51" min="15619" max="15619"/>
    <col width="11.85546875" customWidth="1" style="51" min="15620" max="15620"/>
    <col width="8.28515625" customWidth="1" style="51" min="15621" max="15621"/>
    <col width="17.28515625" customWidth="1" style="51" min="15622" max="15622"/>
    <col width="6.140625" customWidth="1" style="51" min="15623" max="15623"/>
    <col width="15.140625" customWidth="1" style="51" min="15624" max="15624"/>
    <col width="9.140625" customWidth="1" style="51" min="15625" max="15625"/>
    <col width="15" customWidth="1" style="51" min="15626" max="15626"/>
    <col width="6.85546875" customWidth="1" style="51" min="15627" max="15627"/>
    <col width="13.28515625" customWidth="1" style="51" min="15628" max="15628"/>
    <col width="9.42578125" customWidth="1" style="51" min="15629" max="15629"/>
    <col width="11" customWidth="1" style="51" min="15630" max="15630"/>
    <col width="10.140625" customWidth="1" style="51" min="15631" max="15631"/>
    <col width="11.140625" customWidth="1" style="51" min="15632" max="15632"/>
    <col width="7" customWidth="1" style="51" min="15633" max="15633"/>
    <col width="10.85546875" customWidth="1" style="51" min="15634" max="15634"/>
    <col width="5.85546875" customWidth="1" style="51" min="15635" max="15635"/>
    <col width="10" customWidth="1" style="51" min="15636" max="15636"/>
    <col width="9.140625" customWidth="1" style="51" min="15637" max="15871"/>
    <col width="9.5703125" customWidth="1" style="51" min="15872" max="15872"/>
    <col width="30.7109375" customWidth="1" style="51" min="15873" max="15873"/>
    <col width="14.7109375" customWidth="1" style="51" min="15874" max="15874"/>
    <col width="8.28515625" customWidth="1" style="51" min="15875" max="15875"/>
    <col width="11.85546875" customWidth="1" style="51" min="15876" max="15876"/>
    <col width="8.28515625" customWidth="1" style="51" min="15877" max="15877"/>
    <col width="17.28515625" customWidth="1" style="51" min="15878" max="15878"/>
    <col width="6.140625" customWidth="1" style="51" min="15879" max="15879"/>
    <col width="15.140625" customWidth="1" style="51" min="15880" max="15880"/>
    <col width="9.140625" customWidth="1" style="51" min="15881" max="15881"/>
    <col width="15" customWidth="1" style="51" min="15882" max="15882"/>
    <col width="6.85546875" customWidth="1" style="51" min="15883" max="15883"/>
    <col width="13.28515625" customWidth="1" style="51" min="15884" max="15884"/>
    <col width="9.42578125" customWidth="1" style="51" min="15885" max="15885"/>
    <col width="11" customWidth="1" style="51" min="15886" max="15886"/>
    <col width="10.140625" customWidth="1" style="51" min="15887" max="15887"/>
    <col width="11.140625" customWidth="1" style="51" min="15888" max="15888"/>
    <col width="7" customWidth="1" style="51" min="15889" max="15889"/>
    <col width="10.85546875" customWidth="1" style="51" min="15890" max="15890"/>
    <col width="5.85546875" customWidth="1" style="51" min="15891" max="15891"/>
    <col width="10" customWidth="1" style="51" min="15892" max="15892"/>
    <col width="9.140625" customWidth="1" style="51" min="15893" max="16127"/>
    <col width="9.5703125" customWidth="1" style="51" min="16128" max="16128"/>
    <col width="30.7109375" customWidth="1" style="51" min="16129" max="16129"/>
    <col width="14.7109375" customWidth="1" style="51" min="16130" max="16130"/>
    <col width="8.28515625" customWidth="1" style="51" min="16131" max="16131"/>
    <col width="11.85546875" customWidth="1" style="51" min="16132" max="16132"/>
    <col width="8.28515625" customWidth="1" style="51" min="16133" max="16133"/>
    <col width="17.28515625" customWidth="1" style="51" min="16134" max="16134"/>
    <col width="6.140625" customWidth="1" style="51" min="16135" max="16135"/>
    <col width="15.140625" customWidth="1" style="51" min="16136" max="16136"/>
    <col width="9.140625" customWidth="1" style="51" min="16137" max="16137"/>
    <col width="15" customWidth="1" style="51" min="16138" max="16138"/>
    <col width="6.85546875" customWidth="1" style="51" min="16139" max="16139"/>
    <col width="13.28515625" customWidth="1" style="51" min="16140" max="16140"/>
    <col width="9.42578125" customWidth="1" style="51" min="16141" max="16141"/>
    <col width="11" customWidth="1" style="51" min="16142" max="16142"/>
    <col width="10.140625" customWidth="1" style="51" min="16143" max="16143"/>
    <col width="11.140625" customWidth="1" style="51" min="16144" max="16144"/>
    <col width="7" customWidth="1" style="51" min="16145" max="16145"/>
    <col width="10.85546875" customWidth="1" style="51" min="16146" max="16146"/>
    <col width="5.85546875" customWidth="1" style="51" min="16147" max="16147"/>
    <col width="10" customWidth="1" style="51" min="16148" max="16148"/>
    <col width="9.140625" customWidth="1" style="51" min="16149" max="16384"/>
  </cols>
  <sheetData>
    <row r="1">
      <c r="A1" s="99" t="inlineStr">
        <is>
          <t>Weekly Issued (Buffer Stock POMI)- POH 1</t>
        </is>
      </c>
    </row>
    <row r="2" ht="15" customHeight="1">
      <c r="A2" s="3" t="inlineStr">
        <is>
          <t>Mnth</t>
        </is>
      </c>
      <c r="B2" s="4" t="n">
        <v>45992</v>
      </c>
      <c r="C2" s="5" t="n"/>
      <c r="D2" s="6" t="n"/>
      <c r="E2" s="116" t="n"/>
      <c r="F2" s="53" t="n"/>
      <c r="G2" s="7" t="n"/>
      <c r="H2" s="53" t="n"/>
      <c r="I2" s="8" t="n"/>
      <c r="J2" s="53" t="n"/>
      <c r="K2" s="7" t="n"/>
      <c r="L2" s="9" t="n"/>
      <c r="M2" s="7" t="n"/>
      <c r="N2" s="99" t="n"/>
      <c r="O2" s="10" t="n"/>
      <c r="P2" s="99" t="n"/>
      <c r="Q2" s="7" t="n"/>
      <c r="R2" s="99" t="n"/>
      <c r="S2" s="99" t="n"/>
      <c r="T2" s="99" t="n"/>
    </row>
    <row r="3">
      <c r="A3" s="11" t="inlineStr">
        <is>
          <t>Week</t>
        </is>
      </c>
      <c r="B3" s="49" t="inlineStr">
        <is>
          <t>IV</t>
        </is>
      </c>
      <c r="G3" s="100" t="n"/>
      <c r="H3" s="117" t="n"/>
      <c r="I3" s="117" t="n"/>
      <c r="J3" s="117" t="n"/>
      <c r="K3" s="117" t="n"/>
      <c r="L3" s="117" t="n"/>
      <c r="M3" s="117" t="n"/>
      <c r="N3" s="117" t="n"/>
    </row>
    <row r="4">
      <c r="A4" s="22" t="inlineStr">
        <is>
          <t>No.</t>
        </is>
      </c>
      <c r="B4" s="79" t="inlineStr">
        <is>
          <t xml:space="preserve">Nama Barang </t>
        </is>
      </c>
      <c r="C4" s="18" t="inlineStr">
        <is>
          <t>Satuan</t>
        </is>
      </c>
      <c r="D4" s="77" t="inlineStr">
        <is>
          <t>Stock Awal</t>
        </is>
      </c>
      <c r="E4" s="118" t="inlineStr">
        <is>
          <t xml:space="preserve">Tanggal Buffer Stock </t>
        </is>
      </c>
      <c r="F4" s="64" t="inlineStr">
        <is>
          <t>Jumlah</t>
        </is>
      </c>
      <c r="G4" s="119" t="n">
        <v>46011</v>
      </c>
      <c r="H4" s="120" t="n"/>
      <c r="I4" s="119" t="n">
        <v>46012</v>
      </c>
      <c r="J4" s="120" t="n"/>
      <c r="K4" s="119" t="n">
        <v>46013</v>
      </c>
      <c r="L4" s="120" t="n"/>
      <c r="M4" s="119" t="n">
        <v>46014</v>
      </c>
      <c r="N4" s="120" t="n"/>
      <c r="O4" s="119" t="n">
        <v>46015</v>
      </c>
      <c r="P4" s="120" t="n"/>
      <c r="Q4" s="119" t="n">
        <v>46016</v>
      </c>
      <c r="R4" s="120" t="n"/>
      <c r="S4" s="119" t="n">
        <v>46017</v>
      </c>
      <c r="T4" s="120" t="n"/>
      <c r="U4" s="71" t="inlineStr">
        <is>
          <t>Ending Stock</t>
        </is>
      </c>
      <c r="V4" t="inlineStr">
        <is>
          <t>KATEGORI</t>
        </is>
      </c>
    </row>
    <row r="5">
      <c r="A5" s="121" t="n"/>
      <c r="B5" s="121" t="n"/>
      <c r="C5" s="121" t="n"/>
      <c r="D5" s="121" t="n"/>
      <c r="E5" s="121" t="n"/>
      <c r="F5" s="121" t="n"/>
      <c r="G5" s="17" t="inlineStr">
        <is>
          <t xml:space="preserve">Lokasi </t>
        </is>
      </c>
      <c r="H5" s="54" t="inlineStr">
        <is>
          <t>Jumlah</t>
        </is>
      </c>
      <c r="I5" s="19" t="inlineStr">
        <is>
          <t xml:space="preserve">Lokasi </t>
        </is>
      </c>
      <c r="J5" s="54" t="inlineStr">
        <is>
          <t>Jumlah</t>
        </is>
      </c>
      <c r="K5" s="73" t="inlineStr">
        <is>
          <t xml:space="preserve">Lokasi </t>
        </is>
      </c>
      <c r="L5" s="21" t="inlineStr">
        <is>
          <t>Jumlah</t>
        </is>
      </c>
      <c r="M5" s="73" t="inlineStr">
        <is>
          <t xml:space="preserve">Lokasi </t>
        </is>
      </c>
      <c r="N5" s="18" t="inlineStr">
        <is>
          <t>Jumlah</t>
        </is>
      </c>
      <c r="O5" s="19" t="inlineStr">
        <is>
          <t xml:space="preserve">Lokasi </t>
        </is>
      </c>
      <c r="P5" s="18" t="inlineStr">
        <is>
          <t>Jumlah</t>
        </is>
      </c>
      <c r="Q5" s="73" t="inlineStr">
        <is>
          <t xml:space="preserve">Lokasi </t>
        </is>
      </c>
      <c r="R5" s="18" t="inlineStr">
        <is>
          <t>Jumlah</t>
        </is>
      </c>
      <c r="S5" s="18" t="inlineStr">
        <is>
          <t xml:space="preserve">Lokasi </t>
        </is>
      </c>
      <c r="T5" s="18" t="inlineStr">
        <is>
          <t>Jumlah</t>
        </is>
      </c>
      <c r="U5" s="121" t="n"/>
    </row>
    <row r="6" ht="30" customHeight="1">
      <c r="A6" s="22" t="n">
        <v>1</v>
      </c>
      <c r="B6" s="122" t="inlineStr">
        <is>
          <t>AC Compressor 1 PK, PANASONIC R 22</t>
        </is>
      </c>
      <c r="C6" s="123" t="inlineStr">
        <is>
          <t>Unit</t>
        </is>
      </c>
      <c r="D6" s="26">
        <f>'Week  (3)'!U6</f>
        <v/>
      </c>
      <c r="E6" s="26" t="n"/>
      <c r="F6" s="26" t="n"/>
      <c r="G6" s="26" t="n"/>
      <c r="H6" s="26" t="n"/>
      <c r="I6" s="26" t="n"/>
      <c r="J6" s="26" t="n"/>
      <c r="K6" s="18" t="n"/>
      <c r="L6" s="73" t="n"/>
      <c r="M6" s="73" t="n"/>
      <c r="N6" s="73" t="n"/>
      <c r="O6" s="19" t="n"/>
      <c r="P6" s="18" t="n"/>
      <c r="Q6" s="18" t="n"/>
      <c r="R6" s="73" t="n"/>
      <c r="S6" s="18" t="n"/>
      <c r="T6" s="18" t="n"/>
      <c r="U6" s="26">
        <f>D6+F6+-(H6+J6+L6+N6+P6+R6+T6)</f>
        <v/>
      </c>
      <c r="V6" t="inlineStr">
        <is>
          <t>AC</t>
        </is>
      </c>
    </row>
    <row r="7" ht="30" customHeight="1">
      <c r="A7" s="22">
        <f>A6+1</f>
        <v/>
      </c>
      <c r="B7" s="122" t="inlineStr">
        <is>
          <t>AC Compressor 1,5  PK, PANASONIC R 22</t>
        </is>
      </c>
      <c r="C7" s="123" t="inlineStr">
        <is>
          <t>Unit</t>
        </is>
      </c>
      <c r="D7" s="26">
        <f>'Week  (3)'!U7</f>
        <v/>
      </c>
      <c r="E7" s="124" t="n"/>
      <c r="F7" s="62" t="n"/>
      <c r="G7" s="25" t="n"/>
      <c r="H7" s="56" t="n"/>
      <c r="I7" s="19" t="n"/>
      <c r="J7" s="64" t="n"/>
      <c r="K7" s="18" t="n"/>
      <c r="L7" s="73" t="n"/>
      <c r="M7" s="73" t="n"/>
      <c r="N7" s="73" t="n"/>
      <c r="O7" s="19" t="n"/>
      <c r="P7" s="18" t="n"/>
      <c r="Q7" s="18" t="n"/>
      <c r="R7" s="73" t="n"/>
      <c r="S7" s="18" t="n"/>
      <c r="T7" s="18" t="n"/>
      <c r="U7" s="26">
        <f>D7+F7+-(H7+J7+L7+N7+P7+R7+T7)</f>
        <v/>
      </c>
      <c r="V7" t="inlineStr">
        <is>
          <t>AC</t>
        </is>
      </c>
    </row>
    <row r="8" ht="30" customHeight="1">
      <c r="A8" s="22">
        <f>A7+1</f>
        <v/>
      </c>
      <c r="B8" s="122" t="inlineStr">
        <is>
          <t>AC Compressor 2 PK, PANASONIC</t>
        </is>
      </c>
      <c r="C8" s="123" t="inlineStr">
        <is>
          <t>Unit</t>
        </is>
      </c>
      <c r="D8" s="26">
        <f>'Week  (3)'!U8</f>
        <v/>
      </c>
      <c r="E8" s="125" t="n"/>
      <c r="F8" s="55" t="n"/>
      <c r="G8" s="52" t="n"/>
      <c r="H8" s="55" t="n"/>
      <c r="I8" s="71" t="n"/>
      <c r="J8" s="55" t="n"/>
      <c r="K8" s="18" t="n"/>
      <c r="L8" s="73" t="n"/>
      <c r="M8" s="73" t="n"/>
      <c r="N8" s="73" t="n"/>
      <c r="O8" s="19" t="n"/>
      <c r="P8" s="18" t="n"/>
      <c r="Q8" s="18" t="n"/>
      <c r="R8" s="73" t="n"/>
      <c r="S8" s="18" t="n"/>
      <c r="T8" s="18" t="n"/>
      <c r="U8" s="26">
        <f>D8+F8+-(H8+J8+L8+N8+P8+R8+T8)</f>
        <v/>
      </c>
      <c r="V8" t="inlineStr">
        <is>
          <t>AC</t>
        </is>
      </c>
    </row>
    <row r="9" ht="30" customHeight="1">
      <c r="A9" s="22">
        <f>A8+1</f>
        <v/>
      </c>
      <c r="B9" s="122" t="inlineStr">
        <is>
          <t>AC Compressor 3 PK, PANASONIC</t>
        </is>
      </c>
      <c r="C9" s="123" t="inlineStr">
        <is>
          <t>Unit</t>
        </is>
      </c>
      <c r="D9" s="26">
        <f>'Week  (3)'!U9</f>
        <v/>
      </c>
      <c r="E9" s="124" t="n"/>
      <c r="F9" s="62" t="n"/>
      <c r="G9" s="25" t="n"/>
      <c r="H9" s="56" t="n"/>
      <c r="I9" s="19" t="n"/>
      <c r="J9" s="64" t="n"/>
      <c r="K9" s="18" t="n"/>
      <c r="L9" s="73" t="n"/>
      <c r="M9" s="73" t="n"/>
      <c r="N9" s="73" t="n"/>
      <c r="O9" s="19" t="n"/>
      <c r="P9" s="18" t="n"/>
      <c r="Q9" s="18" t="n"/>
      <c r="R9" s="73" t="n"/>
      <c r="S9" s="18" t="n"/>
      <c r="T9" s="18" t="n"/>
      <c r="U9" s="26">
        <f>D9+F9+-(H9+J9+L9+N9+P9+R9+T9)</f>
        <v/>
      </c>
      <c r="V9" t="inlineStr">
        <is>
          <t>AC</t>
        </is>
      </c>
    </row>
    <row r="10" ht="30" customHeight="1">
      <c r="A10" s="22">
        <f>A9+1</f>
        <v/>
      </c>
      <c r="B10" s="122" t="inlineStr">
        <is>
          <t>AC Compressor 1 PK, PANASONIC R 32</t>
        </is>
      </c>
      <c r="C10" s="123" t="inlineStr">
        <is>
          <t>Unit</t>
        </is>
      </c>
      <c r="D10" s="26">
        <f>'Week  (3)'!U10</f>
        <v/>
      </c>
      <c r="E10" s="125" t="n"/>
      <c r="F10" s="55" t="n"/>
      <c r="G10" s="52" t="n"/>
      <c r="H10" s="55" t="n"/>
      <c r="I10" s="71" t="n"/>
      <c r="J10" s="55" t="n"/>
      <c r="K10" s="18" t="n"/>
      <c r="L10" s="73" t="n"/>
      <c r="M10" s="73" t="n"/>
      <c r="N10" s="73" t="n"/>
      <c r="O10" s="19" t="n"/>
      <c r="P10" s="18" t="n"/>
      <c r="Q10" s="18" t="n"/>
      <c r="R10" s="73" t="n"/>
      <c r="S10" s="18" t="n"/>
      <c r="T10" s="18" t="n"/>
      <c r="U10" s="26">
        <f>D10+F10+-(H10+J10+L10+N10+P10+R10+T10)</f>
        <v/>
      </c>
      <c r="V10" t="inlineStr">
        <is>
          <t>AC</t>
        </is>
      </c>
    </row>
    <row r="11" ht="30" customHeight="1">
      <c r="A11" s="22">
        <f>A10+1</f>
        <v/>
      </c>
      <c r="B11" s="122" t="inlineStr">
        <is>
          <t>AC Compressor 1,5  PK, PANASONIC R 32</t>
        </is>
      </c>
      <c r="C11" s="123" t="inlineStr">
        <is>
          <t>Unit</t>
        </is>
      </c>
      <c r="D11" s="26">
        <f>'Week  (3)'!U11</f>
        <v/>
      </c>
      <c r="E11" s="124" t="n"/>
      <c r="F11" s="62" t="n"/>
      <c r="G11" s="25" t="n"/>
      <c r="H11" s="56" t="n"/>
      <c r="I11" s="19" t="n"/>
      <c r="J11" s="64" t="n"/>
      <c r="K11" s="18" t="n"/>
      <c r="L11" s="73" t="n"/>
      <c r="M11" s="73" t="n"/>
      <c r="N11" s="73" t="n"/>
      <c r="O11" s="19" t="n"/>
      <c r="P11" s="18" t="n"/>
      <c r="Q11" s="18" t="n"/>
      <c r="R11" s="73" t="n"/>
      <c r="S11" s="18" t="n"/>
      <c r="T11" s="18" t="n"/>
      <c r="U11" s="26">
        <f>D11+F11+-(H11+J11+L11+N11+P11+R11+T11)</f>
        <v/>
      </c>
      <c r="V11" t="inlineStr">
        <is>
          <t>AC</t>
        </is>
      </c>
    </row>
    <row r="12" ht="15" customHeight="1">
      <c r="A12" s="22">
        <f>A11+1</f>
        <v/>
      </c>
      <c r="B12" s="27" t="inlineStr">
        <is>
          <t>Amplas NO 1</t>
        </is>
      </c>
      <c r="C12" s="123" t="inlineStr">
        <is>
          <t xml:space="preserve">Lbr </t>
        </is>
      </c>
      <c r="D12" s="26">
        <f>'Week  (3)'!U12</f>
        <v/>
      </c>
      <c r="E12" s="125" t="n"/>
      <c r="F12" s="55" t="n"/>
      <c r="G12" s="52" t="n"/>
      <c r="H12" s="55" t="n"/>
      <c r="I12" s="71" t="n"/>
      <c r="J12" s="55" t="n"/>
      <c r="K12" s="52" t="n"/>
      <c r="L12" s="55" t="n"/>
      <c r="M12" s="73" t="n"/>
      <c r="N12" s="73" t="n"/>
      <c r="O12" s="19" t="n"/>
      <c r="P12" s="18" t="n"/>
      <c r="Q12" s="18" t="n"/>
      <c r="R12" s="73" t="n"/>
      <c r="S12" s="18" t="n"/>
      <c r="T12" s="18" t="n"/>
      <c r="U12" s="26">
        <f>D12+F12+-(H12+J12+L12+N12+P12+R12+T12)</f>
        <v/>
      </c>
      <c r="V12" t="inlineStr">
        <is>
          <t>CONSUMABLE</t>
        </is>
      </c>
    </row>
    <row r="13" ht="15" customHeight="1">
      <c r="A13" s="22">
        <f>A12+1</f>
        <v/>
      </c>
      <c r="B13" s="27" t="inlineStr">
        <is>
          <t>Amplas NO 180</t>
        </is>
      </c>
      <c r="C13" s="123" t="inlineStr">
        <is>
          <t xml:space="preserve">Lbr </t>
        </is>
      </c>
      <c r="D13" s="26">
        <f>'Week  (3)'!U13</f>
        <v/>
      </c>
      <c r="E13" s="124" t="n"/>
      <c r="F13" s="62" t="n"/>
      <c r="G13" s="52" t="n"/>
      <c r="H13" s="56" t="n"/>
      <c r="I13" s="71" t="n"/>
      <c r="J13" s="64" t="n"/>
      <c r="K13" s="52" t="n"/>
      <c r="L13" s="55" t="n"/>
      <c r="M13" s="73" t="n"/>
      <c r="N13" s="73" t="n"/>
      <c r="O13" s="19" t="inlineStr">
        <is>
          <t>Rechall</t>
        </is>
      </c>
      <c r="P13" s="18" t="n">
        <v>1</v>
      </c>
      <c r="Q13" s="18" t="n"/>
      <c r="R13" s="73" t="n"/>
      <c r="S13" s="18" t="n"/>
      <c r="T13" s="18" t="n"/>
      <c r="U13" s="26">
        <f>D13+F13+-(H13+J13+L13+N13+P13+R13+T13)</f>
        <v/>
      </c>
      <c r="V13" t="inlineStr">
        <is>
          <t>CONSUMABLE</t>
        </is>
      </c>
    </row>
    <row r="14" ht="15" customHeight="1">
      <c r="A14" s="22">
        <f>A13+1</f>
        <v/>
      </c>
      <c r="B14" s="27" t="inlineStr">
        <is>
          <t>Avur bak cuci piring</t>
        </is>
      </c>
      <c r="C14" s="123" t="inlineStr">
        <is>
          <t>pcs</t>
        </is>
      </c>
      <c r="D14" s="26">
        <f>'Week  (3)'!U14</f>
        <v/>
      </c>
      <c r="E14" s="125" t="n"/>
      <c r="F14" s="55" t="n"/>
      <c r="G14" s="52" t="n"/>
      <c r="H14" s="55" t="n"/>
      <c r="I14" s="71" t="n"/>
      <c r="J14" s="55" t="n"/>
      <c r="K14" s="18" t="n"/>
      <c r="L14" s="73" t="n"/>
      <c r="M14" s="73" t="n"/>
      <c r="N14" s="73" t="n"/>
      <c r="O14" s="19" t="n"/>
      <c r="P14" s="18" t="n"/>
      <c r="Q14" s="18" t="n"/>
      <c r="R14" s="73" t="n"/>
      <c r="S14" s="18" t="n"/>
      <c r="T14" s="18" t="n"/>
      <c r="U14" s="26">
        <f>D14+F14+-(H14+J14+L14+N14+P14+R14+T14)</f>
        <v/>
      </c>
      <c r="V14" t="inlineStr">
        <is>
          <t>SANITARY</t>
        </is>
      </c>
    </row>
    <row r="15" ht="15" customHeight="1">
      <c r="A15" s="22">
        <f>A14+1</f>
        <v/>
      </c>
      <c r="B15" s="27" t="inlineStr">
        <is>
          <t>RESIBON CUTTING WHEEL</t>
        </is>
      </c>
      <c r="C15" s="123" t="inlineStr">
        <is>
          <t xml:space="preserve">Lbr </t>
        </is>
      </c>
      <c r="D15" s="26">
        <f>'Week  (3)'!U15</f>
        <v/>
      </c>
      <c r="E15" s="125" t="n"/>
      <c r="F15" s="62" t="n"/>
      <c r="G15" s="25" t="n"/>
      <c r="H15" s="56" t="n"/>
      <c r="I15" s="25" t="n"/>
      <c r="J15" s="56" t="n"/>
      <c r="K15" s="25" t="n"/>
      <c r="L15" s="56" t="n"/>
      <c r="M15" s="25" t="n"/>
      <c r="N15" s="56" t="n"/>
      <c r="O15" s="25" t="n"/>
      <c r="P15" s="18" t="n"/>
      <c r="Q15" s="25" t="n"/>
      <c r="R15" s="18" t="n"/>
      <c r="S15" s="18" t="n"/>
      <c r="T15" s="18" t="n"/>
      <c r="U15" s="26">
        <f>D15+F15+-(H15+J15+L15+N15+P15+R15+T15)</f>
        <v/>
      </c>
      <c r="V15" t="inlineStr">
        <is>
          <t>CONSUMABLE</t>
        </is>
      </c>
    </row>
    <row r="16" ht="15" customHeight="1">
      <c r="A16" s="22">
        <f>A15+1</f>
        <v/>
      </c>
      <c r="B16" s="27" t="inlineStr">
        <is>
          <t>RESIBON GRINDING WHEEL</t>
        </is>
      </c>
      <c r="C16" s="123" t="inlineStr">
        <is>
          <t xml:space="preserve">Lbr </t>
        </is>
      </c>
      <c r="D16" s="26">
        <f>'Week  (3)'!U16</f>
        <v/>
      </c>
      <c r="E16" s="125" t="n"/>
      <c r="F16" s="55" t="n"/>
      <c r="G16" s="25" t="n"/>
      <c r="H16" s="55" t="n"/>
      <c r="I16" s="19" t="n"/>
      <c r="J16" s="55" t="n"/>
      <c r="K16" s="18" t="n"/>
      <c r="L16" s="73" t="n"/>
      <c r="M16" s="25" t="n"/>
      <c r="N16" s="56" t="n"/>
      <c r="O16" s="19" t="n"/>
      <c r="P16" s="18" t="n"/>
      <c r="Q16" s="18" t="n"/>
      <c r="R16" s="73" t="n"/>
      <c r="S16" s="18" t="n"/>
      <c r="T16" s="18" t="n"/>
      <c r="U16" s="26">
        <f>D16+F16+-(H16+J16+L16+N16+P16+R16+T16)</f>
        <v/>
      </c>
      <c r="V16" t="inlineStr">
        <is>
          <t>CONSUMABLE</t>
        </is>
      </c>
    </row>
    <row r="17" ht="13.5" customHeight="1">
      <c r="A17" s="22">
        <f>A16+1</f>
        <v/>
      </c>
      <c r="B17" s="79" t="inlineStr">
        <is>
          <t>Ball Valve 1/2" ONDA Kuningan</t>
        </is>
      </c>
      <c r="C17" s="29" t="inlineStr">
        <is>
          <t>Pcs</t>
        </is>
      </c>
      <c r="D17" s="26">
        <f>'Week  (3)'!U17</f>
        <v/>
      </c>
      <c r="E17" s="124" t="n"/>
      <c r="F17" s="62" t="n"/>
      <c r="G17" s="25" t="n"/>
      <c r="H17" s="56" t="n"/>
      <c r="I17" s="19" t="n"/>
      <c r="J17" s="64" t="n"/>
      <c r="K17" s="18" t="n"/>
      <c r="L17" s="73" t="n"/>
      <c r="M17" s="73" t="n"/>
      <c r="N17" s="73" t="n"/>
      <c r="O17" s="19" t="n"/>
      <c r="P17" s="18" t="n"/>
      <c r="Q17" s="18" t="n"/>
      <c r="R17" s="73" t="n"/>
      <c r="S17" s="18" t="n"/>
      <c r="T17" s="18" t="n"/>
      <c r="U17" s="26">
        <f>D17+F17+-(H17+J17+L17+N17+P17+R17+T17)</f>
        <v/>
      </c>
      <c r="V17" t="inlineStr">
        <is>
          <t>VALVE AND PIPE</t>
        </is>
      </c>
    </row>
    <row r="18" ht="13.5" customHeight="1">
      <c r="A18" s="22">
        <f>A17+1</f>
        <v/>
      </c>
      <c r="B18" s="79" t="inlineStr">
        <is>
          <t>Ball Valve 3/4" ONDA Kuningan</t>
        </is>
      </c>
      <c r="C18" s="29" t="inlineStr">
        <is>
          <t>Pcs</t>
        </is>
      </c>
      <c r="D18" s="26">
        <f>'Week  (3)'!U18</f>
        <v/>
      </c>
      <c r="E18" s="124" t="n"/>
      <c r="F18" s="55" t="n"/>
      <c r="G18" s="52" t="n"/>
      <c r="H18" s="55" t="n"/>
      <c r="I18" s="71" t="n"/>
      <c r="J18" s="55" t="n"/>
      <c r="K18" s="18" t="n"/>
      <c r="L18" s="73" t="n"/>
      <c r="M18" s="73" t="n"/>
      <c r="N18" s="73" t="n"/>
      <c r="O18" s="19" t="n"/>
      <c r="P18" s="18" t="n"/>
      <c r="Q18" s="18" t="n"/>
      <c r="R18" s="73" t="n"/>
      <c r="S18" s="18" t="n"/>
      <c r="T18" s="18" t="n"/>
      <c r="U18" s="26">
        <f>D18+F18+-(H18+J18+L18+N18+P18+R18+T18)</f>
        <v/>
      </c>
      <c r="V18" t="inlineStr">
        <is>
          <t>VALVE AND PIPE</t>
        </is>
      </c>
    </row>
    <row r="19" ht="15" customHeight="1">
      <c r="A19" s="22">
        <f>A18+1</f>
        <v/>
      </c>
      <c r="B19" s="30" t="inlineStr">
        <is>
          <t>BATTERY ALKALINE AA</t>
        </is>
      </c>
      <c r="C19" s="31" t="inlineStr">
        <is>
          <t>PCS</t>
        </is>
      </c>
      <c r="D19" s="26">
        <f>'Week  (3)'!U19</f>
        <v/>
      </c>
      <c r="E19" s="124" t="n"/>
      <c r="F19" s="62" t="n"/>
      <c r="G19" s="25" t="n"/>
      <c r="H19" s="56" t="n"/>
      <c r="I19" s="68" t="n"/>
      <c r="J19" s="56" t="n"/>
      <c r="K19" s="18" t="n"/>
      <c r="L19" s="73" t="n"/>
      <c r="M19" s="73" t="n"/>
      <c r="N19" s="73" t="n"/>
      <c r="O19" s="19" t="n"/>
      <c r="P19" s="18" t="n"/>
      <c r="Q19" s="19" t="n"/>
      <c r="R19" s="73" t="n"/>
      <c r="S19" s="18" t="n"/>
      <c r="T19" s="18" t="n"/>
      <c r="U19" s="26">
        <f>D19+F19+-(H19+J19+L19+N19+P19+R19+T19)</f>
        <v/>
      </c>
      <c r="V19" t="inlineStr">
        <is>
          <t>CONSUMABLE</t>
        </is>
      </c>
    </row>
    <row r="20" ht="45.75" customHeight="1">
      <c r="A20" s="22">
        <f>A19+1</f>
        <v/>
      </c>
      <c r="B20" s="30" t="inlineStr">
        <is>
          <t>BATTERY ALKALINE AAA</t>
        </is>
      </c>
      <c r="C20" s="123" t="inlineStr">
        <is>
          <t>PCS</t>
        </is>
      </c>
      <c r="D20" s="26">
        <f>'Week  (3)'!U20</f>
        <v/>
      </c>
      <c r="E20" s="124" t="n"/>
      <c r="F20" s="55" t="n"/>
      <c r="G20" s="25" t="n"/>
      <c r="H20" s="55" t="n"/>
      <c r="I20" s="71" t="n"/>
      <c r="J20" s="55" t="n"/>
      <c r="K20" s="18" t="n"/>
      <c r="L20" s="73" t="n"/>
      <c r="M20" s="73" t="inlineStr">
        <is>
          <t>IT Room</t>
        </is>
      </c>
      <c r="N20" s="73" t="n">
        <v>1</v>
      </c>
      <c r="O20" s="19" t="n"/>
      <c r="P20" s="18" t="n"/>
      <c r="Q20" s="21" t="n"/>
      <c r="R20" s="73" t="n"/>
      <c r="S20" s="18" t="n"/>
      <c r="T20" s="18" t="n"/>
      <c r="U20" s="26">
        <f>D20+F20+-(H20+J20+L20+N20+P20+R20+T20)</f>
        <v/>
      </c>
      <c r="V20" t="inlineStr">
        <is>
          <t>CONSUMABLE</t>
        </is>
      </c>
    </row>
    <row r="21" ht="15" customHeight="1">
      <c r="A21" s="22">
        <f>A20+1</f>
        <v/>
      </c>
      <c r="B21" s="30" t="inlineStr">
        <is>
          <t>BATTERY KERING 6 VOLT</t>
        </is>
      </c>
      <c r="C21" s="123" t="inlineStr">
        <is>
          <t>PCS</t>
        </is>
      </c>
      <c r="D21" s="26">
        <f>'Week  (3)'!U21</f>
        <v/>
      </c>
      <c r="E21" s="124" t="n"/>
      <c r="F21" s="62" t="n"/>
      <c r="G21" s="25" t="n"/>
      <c r="H21" s="56" t="n"/>
      <c r="I21" s="19" t="n"/>
      <c r="J21" s="64" t="n"/>
      <c r="K21" s="18" t="n"/>
      <c r="L21" s="73" t="n"/>
      <c r="M21" s="73" t="n"/>
      <c r="N21" s="73" t="n"/>
      <c r="O21" s="19" t="n"/>
      <c r="P21" s="18" t="n"/>
      <c r="Q21" s="18" t="n"/>
      <c r="R21" s="73" t="n"/>
      <c r="S21" s="18" t="n"/>
      <c r="T21" s="18" t="n"/>
      <c r="U21" s="26">
        <f>D21+F21+-(H21+J21+L21+N21+P21+R21+T21)</f>
        <v/>
      </c>
      <c r="V21" t="inlineStr">
        <is>
          <t>CONSUMABLE</t>
        </is>
      </c>
    </row>
    <row r="22" ht="15" customFormat="1" customHeight="1" s="32">
      <c r="A22" s="22">
        <f>A21+1</f>
        <v/>
      </c>
      <c r="B22" s="122" t="inlineStr">
        <is>
          <t>Battery Kotak 9 Volt</t>
        </is>
      </c>
      <c r="C22" s="123" t="inlineStr">
        <is>
          <t>PCS</t>
        </is>
      </c>
      <c r="D22" s="26">
        <f>'Week  (3)'!U22</f>
        <v/>
      </c>
      <c r="E22" s="125" t="n"/>
      <c r="F22" s="55" t="n"/>
      <c r="G22" s="52" t="n"/>
      <c r="H22" s="55" t="n"/>
      <c r="I22" s="71" t="n"/>
      <c r="J22" s="55" t="n"/>
      <c r="K22" s="19" t="n"/>
      <c r="L22" s="73" t="n"/>
      <c r="M22" s="73" t="n"/>
      <c r="N22" s="73" t="n"/>
      <c r="O22" s="19" t="n"/>
      <c r="P22" s="18" t="n"/>
      <c r="Q22" s="19" t="n"/>
      <c r="R22" s="73" t="n"/>
      <c r="S22" s="18" t="inlineStr">
        <is>
          <t>Jawa 9</t>
        </is>
      </c>
      <c r="T22" s="18" t="n">
        <v>1</v>
      </c>
      <c r="U22" s="26">
        <f>D22+F22+-(H22+J22+L22+N22+P22+R22+T22)</f>
        <v/>
      </c>
      <c r="V22" s="51" t="inlineStr">
        <is>
          <t>CONSUMABLE</t>
        </is>
      </c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  <c r="FX22" s="51" t="n"/>
      <c r="FY22" s="51" t="n"/>
      <c r="FZ22" s="51" t="n"/>
      <c r="GA22" s="51" t="n"/>
      <c r="GB22" s="51" t="n"/>
      <c r="GC22" s="51" t="n"/>
      <c r="GD22" s="51" t="n"/>
      <c r="GE22" s="51" t="n"/>
      <c r="GF22" s="51" t="n"/>
      <c r="GG22" s="51" t="n"/>
      <c r="GH22" s="51" t="n"/>
      <c r="GI22" s="51" t="n"/>
      <c r="GJ22" s="51" t="n"/>
      <c r="GK22" s="51" t="n"/>
      <c r="GL22" s="51" t="n"/>
      <c r="GM22" s="51" t="n"/>
      <c r="GN22" s="51" t="n"/>
      <c r="GO22" s="51" t="n"/>
      <c r="GP22" s="51" t="n"/>
      <c r="GQ22" s="51" t="n"/>
      <c r="GR22" s="51" t="n"/>
      <c r="GS22" s="51" t="n"/>
      <c r="GT22" s="51" t="n"/>
      <c r="GU22" s="51" t="n"/>
      <c r="GV22" s="51" t="n"/>
      <c r="GW22" s="51" t="n"/>
      <c r="GX22" s="51" t="n"/>
      <c r="GY22" s="51" t="n"/>
      <c r="GZ22" s="51" t="n"/>
      <c r="HA22" s="51" t="n"/>
      <c r="HB22" s="51" t="n"/>
      <c r="HC22" s="51" t="n"/>
      <c r="HD22" s="51" t="n"/>
      <c r="HE22" s="51" t="n"/>
      <c r="HF22" s="51" t="n"/>
      <c r="HG22" s="51" t="n"/>
      <c r="HH22" s="51" t="n"/>
      <c r="HI22" s="51" t="n"/>
      <c r="HJ22" s="51" t="n"/>
      <c r="HK22" s="51" t="n"/>
      <c r="HL22" s="51" t="n"/>
      <c r="HM22" s="51" t="n"/>
      <c r="HN22" s="51" t="n"/>
      <c r="HO22" s="51" t="n"/>
      <c r="HP22" s="51" t="n"/>
      <c r="HQ22" s="51" t="n"/>
      <c r="HR22" s="51" t="n"/>
      <c r="HS22" s="51" t="n"/>
      <c r="HT22" s="51" t="n"/>
      <c r="HU22" s="51" t="n"/>
      <c r="HV22" s="51" t="n"/>
      <c r="HW22" s="51" t="n"/>
      <c r="HX22" s="51" t="n"/>
      <c r="HY22" s="51" t="n"/>
      <c r="HZ22" s="51" t="n"/>
      <c r="IA22" s="51" t="n"/>
      <c r="IB22" s="51" t="n"/>
      <c r="IC22" s="51" t="n"/>
      <c r="ID22" s="51" t="n"/>
      <c r="IE22" s="51" t="n"/>
      <c r="IF22" s="51" t="n"/>
      <c r="IG22" s="51" t="n"/>
      <c r="IH22" s="51" t="n"/>
      <c r="II22" s="51" t="n"/>
      <c r="IJ22" s="51" t="n"/>
      <c r="IK22" s="51" t="n"/>
      <c r="IL22" s="51" t="n"/>
      <c r="IM22" s="51" t="n"/>
      <c r="IN22" s="51" t="n"/>
      <c r="IO22" s="51" t="n"/>
      <c r="IP22" s="51" t="n"/>
      <c r="IQ22" s="51" t="n"/>
      <c r="IR22" s="51" t="n"/>
      <c r="IS22" s="51" t="n"/>
      <c r="IT22" s="51" t="n"/>
      <c r="IU22" s="51" t="n"/>
      <c r="IV22" s="51" t="n"/>
      <c r="IW22" s="51" t="n"/>
      <c r="IX22" s="51" t="n"/>
      <c r="IY22" s="51" t="n"/>
      <c r="IZ22" s="51" t="n"/>
      <c r="JA22" s="51" t="n"/>
      <c r="JB22" s="51" t="n"/>
      <c r="JC22" s="51" t="n"/>
      <c r="JD22" s="51" t="n"/>
      <c r="JE22" s="51" t="n"/>
      <c r="JF22" s="51" t="n"/>
      <c r="JG22" s="51" t="n"/>
      <c r="JH22" s="51" t="n"/>
      <c r="JI22" s="51" t="n"/>
      <c r="JJ22" s="51" t="n"/>
      <c r="JK22" s="51" t="n"/>
      <c r="JL22" s="51" t="n"/>
      <c r="JM22" s="51" t="n"/>
      <c r="JN22" s="51" t="n"/>
      <c r="JO22" s="51" t="n"/>
      <c r="JP22" s="51" t="n"/>
      <c r="JQ22" s="51" t="n"/>
      <c r="JR22" s="51" t="n"/>
      <c r="JS22" s="51" t="n"/>
      <c r="JT22" s="51" t="n"/>
      <c r="JU22" s="51" t="n"/>
      <c r="JV22" s="51" t="n"/>
      <c r="JW22" s="51" t="n"/>
      <c r="JX22" s="51" t="n"/>
      <c r="JY22" s="51" t="n"/>
      <c r="JZ22" s="51" t="n"/>
      <c r="KA22" s="51" t="n"/>
      <c r="KB22" s="51" t="n"/>
      <c r="KC22" s="51" t="n"/>
      <c r="KD22" s="51" t="n"/>
      <c r="KE22" s="51" t="n"/>
      <c r="KF22" s="51" t="n"/>
      <c r="KG22" s="51" t="n"/>
      <c r="KH22" s="51" t="n"/>
      <c r="KI22" s="51" t="n"/>
      <c r="KJ22" s="51" t="n"/>
      <c r="KK22" s="51" t="n"/>
      <c r="KL22" s="51" t="n"/>
      <c r="KM22" s="51" t="n"/>
      <c r="KN22" s="51" t="n"/>
      <c r="KO22" s="51" t="n"/>
      <c r="KP22" s="51" t="n"/>
      <c r="KQ22" s="51" t="n"/>
      <c r="KR22" s="51" t="n"/>
      <c r="KS22" s="51" t="n"/>
      <c r="KT22" s="51" t="n"/>
      <c r="KU22" s="51" t="n"/>
      <c r="KV22" s="51" t="n"/>
      <c r="KW22" s="51" t="n"/>
      <c r="KX22" s="51" t="n"/>
      <c r="KY22" s="51" t="n"/>
      <c r="KZ22" s="51" t="n"/>
      <c r="LA22" s="51" t="n"/>
      <c r="LB22" s="51" t="n"/>
      <c r="LC22" s="51" t="n"/>
      <c r="LD22" s="51" t="n"/>
      <c r="LE22" s="51" t="n"/>
      <c r="LF22" s="51" t="n"/>
      <c r="LG22" s="51" t="n"/>
      <c r="LH22" s="51" t="n"/>
      <c r="LI22" s="51" t="n"/>
      <c r="LJ22" s="51" t="n"/>
      <c r="LK22" s="51" t="n"/>
      <c r="LL22" s="51" t="n"/>
      <c r="LM22" s="51" t="n"/>
      <c r="LN22" s="51" t="n"/>
      <c r="LO22" s="51" t="n"/>
      <c r="LP22" s="51" t="n"/>
      <c r="LQ22" s="51" t="n"/>
      <c r="LR22" s="51" t="n"/>
      <c r="LS22" s="51" t="n"/>
      <c r="LT22" s="51" t="n"/>
      <c r="LU22" s="51" t="n"/>
      <c r="LV22" s="51" t="n"/>
      <c r="LW22" s="51" t="n"/>
      <c r="LX22" s="51" t="n"/>
      <c r="LY22" s="51" t="n"/>
      <c r="LZ22" s="51" t="n"/>
      <c r="MA22" s="51" t="n"/>
      <c r="MB22" s="51" t="n"/>
      <c r="MC22" s="51" t="n"/>
      <c r="MD22" s="51" t="n"/>
      <c r="ME22" s="51" t="n"/>
      <c r="MF22" s="51" t="n"/>
      <c r="MG22" s="51" t="n"/>
      <c r="MH22" s="51" t="n"/>
      <c r="MI22" s="51" t="n"/>
      <c r="MJ22" s="51" t="n"/>
      <c r="MK22" s="51" t="n"/>
      <c r="ML22" s="51" t="n"/>
      <c r="MM22" s="51" t="n"/>
      <c r="MN22" s="51" t="n"/>
      <c r="MO22" s="51" t="n"/>
      <c r="MP22" s="51" t="n"/>
      <c r="MQ22" s="51" t="n"/>
      <c r="MR22" s="51" t="n"/>
      <c r="MS22" s="51" t="n"/>
      <c r="MT22" s="51" t="n"/>
      <c r="MU22" s="51" t="n"/>
      <c r="MV22" s="51" t="n"/>
      <c r="MW22" s="51" t="n"/>
      <c r="MX22" s="51" t="n"/>
      <c r="MY22" s="51" t="n"/>
      <c r="MZ22" s="51" t="n"/>
      <c r="NA22" s="51" t="n"/>
      <c r="NB22" s="51" t="n"/>
      <c r="NC22" s="51" t="n"/>
      <c r="ND22" s="51" t="n"/>
      <c r="NE22" s="51" t="n"/>
      <c r="NF22" s="51" t="n"/>
      <c r="NG22" s="51" t="n"/>
      <c r="NH22" s="51" t="n"/>
      <c r="NI22" s="51" t="n"/>
      <c r="NJ22" s="51" t="n"/>
      <c r="NK22" s="51" t="n"/>
      <c r="NL22" s="51" t="n"/>
      <c r="NM22" s="51" t="n"/>
      <c r="NN22" s="51" t="n"/>
      <c r="NO22" s="51" t="n"/>
      <c r="NP22" s="51" t="n"/>
      <c r="NQ22" s="51" t="n"/>
      <c r="NR22" s="51" t="n"/>
      <c r="NS22" s="51" t="n"/>
      <c r="NT22" s="51" t="n"/>
      <c r="NU22" s="51" t="n"/>
      <c r="NV22" s="51" t="n"/>
      <c r="NW22" s="51" t="n"/>
      <c r="NX22" s="51" t="n"/>
      <c r="NY22" s="51" t="n"/>
      <c r="NZ22" s="51" t="n"/>
      <c r="OA22" s="51" t="n"/>
      <c r="OB22" s="51" t="n"/>
      <c r="OC22" s="51" t="n"/>
      <c r="OD22" s="51" t="n"/>
      <c r="OE22" s="51" t="n"/>
      <c r="OF22" s="51" t="n"/>
      <c r="OG22" s="51" t="n"/>
      <c r="OH22" s="51" t="n"/>
      <c r="OI22" s="51" t="n"/>
      <c r="OJ22" s="51" t="n"/>
      <c r="OK22" s="51" t="n"/>
      <c r="OL22" s="51" t="n"/>
      <c r="OM22" s="51" t="n"/>
      <c r="ON22" s="51" t="n"/>
      <c r="OO22" s="51" t="n"/>
      <c r="OP22" s="51" t="n"/>
      <c r="OQ22" s="51" t="n"/>
      <c r="OR22" s="51" t="n"/>
      <c r="OS22" s="51" t="n"/>
      <c r="OT22" s="51" t="n"/>
      <c r="OU22" s="51" t="n"/>
      <c r="OV22" s="51" t="n"/>
      <c r="OW22" s="51" t="n"/>
      <c r="OX22" s="51" t="n"/>
      <c r="OY22" s="51" t="n"/>
      <c r="OZ22" s="51" t="n"/>
      <c r="PA22" s="51" t="n"/>
      <c r="PB22" s="51" t="n"/>
      <c r="PC22" s="51" t="n"/>
      <c r="PD22" s="51" t="n"/>
      <c r="PE22" s="51" t="n"/>
      <c r="PF22" s="51" t="n"/>
      <c r="PG22" s="51" t="n"/>
      <c r="PH22" s="51" t="n"/>
      <c r="PI22" s="51" t="n"/>
      <c r="PJ22" s="51" t="n"/>
      <c r="PK22" s="51" t="n"/>
      <c r="PL22" s="51" t="n"/>
      <c r="PM22" s="51" t="n"/>
      <c r="PN22" s="51" t="n"/>
      <c r="PO22" s="51" t="n"/>
      <c r="PP22" s="51" t="n"/>
      <c r="PQ22" s="51" t="n"/>
      <c r="PR22" s="51" t="n"/>
      <c r="PS22" s="51" t="n"/>
      <c r="PT22" s="51" t="n"/>
      <c r="PU22" s="51" t="n"/>
      <c r="PV22" s="51" t="n"/>
      <c r="PW22" s="51" t="n"/>
      <c r="PX22" s="51" t="n"/>
      <c r="PY22" s="51" t="n"/>
      <c r="PZ22" s="51" t="n"/>
      <c r="QA22" s="51" t="n"/>
      <c r="QB22" s="51" t="n"/>
      <c r="QC22" s="51" t="n"/>
      <c r="QD22" s="51" t="n"/>
      <c r="QE22" s="51" t="n"/>
      <c r="QF22" s="51" t="n"/>
      <c r="QG22" s="51" t="n"/>
      <c r="QH22" s="51" t="n"/>
      <c r="QI22" s="51" t="n"/>
      <c r="QJ22" s="51" t="n"/>
      <c r="QK22" s="51" t="n"/>
      <c r="QL22" s="51" t="n"/>
      <c r="QM22" s="51" t="n"/>
      <c r="QN22" s="51" t="n"/>
      <c r="QO22" s="51" t="n"/>
      <c r="QP22" s="51" t="n"/>
      <c r="QQ22" s="51" t="n"/>
      <c r="QR22" s="51" t="n"/>
      <c r="QS22" s="51" t="n"/>
      <c r="QT22" s="51" t="n"/>
      <c r="QU22" s="51" t="n"/>
      <c r="QV22" s="51" t="n"/>
      <c r="QW22" s="51" t="n"/>
      <c r="QX22" s="51" t="n"/>
      <c r="QY22" s="51" t="n"/>
      <c r="QZ22" s="51" t="n"/>
      <c r="RA22" s="51" t="n"/>
      <c r="RB22" s="51" t="n"/>
      <c r="RC22" s="51" t="n"/>
      <c r="RD22" s="51" t="n"/>
      <c r="RE22" s="51" t="n"/>
      <c r="RF22" s="51" t="n"/>
      <c r="RG22" s="51" t="n"/>
      <c r="RH22" s="51" t="n"/>
      <c r="RI22" s="51" t="n"/>
      <c r="RJ22" s="51" t="n"/>
      <c r="RK22" s="51" t="n"/>
      <c r="RL22" s="51" t="n"/>
      <c r="RM22" s="51" t="n"/>
      <c r="RN22" s="51" t="n"/>
      <c r="RO22" s="51" t="n"/>
      <c r="RP22" s="51" t="n"/>
      <c r="RQ22" s="51" t="n"/>
      <c r="RR22" s="51" t="n"/>
      <c r="RS22" s="51" t="n"/>
      <c r="RT22" s="51" t="n"/>
      <c r="RU22" s="51" t="n"/>
      <c r="RV22" s="51" t="n"/>
      <c r="RW22" s="51" t="n"/>
      <c r="RX22" s="51" t="n"/>
      <c r="RY22" s="51" t="n"/>
      <c r="RZ22" s="51" t="n"/>
      <c r="SA22" s="51" t="n"/>
      <c r="SB22" s="51" t="n"/>
      <c r="SC22" s="51" t="n"/>
      <c r="SD22" s="51" t="n"/>
      <c r="SE22" s="51" t="n"/>
      <c r="SF22" s="51" t="n"/>
      <c r="SG22" s="51" t="n"/>
      <c r="SH22" s="51" t="n"/>
      <c r="SI22" s="51" t="n"/>
      <c r="SJ22" s="51" t="n"/>
      <c r="SK22" s="51" t="n"/>
      <c r="SL22" s="51" t="n"/>
      <c r="SM22" s="51" t="n"/>
      <c r="SN22" s="51" t="n"/>
      <c r="SO22" s="51" t="n"/>
      <c r="SP22" s="51" t="n"/>
      <c r="SQ22" s="51" t="n"/>
      <c r="SR22" s="51" t="n"/>
      <c r="SS22" s="51" t="n"/>
      <c r="ST22" s="51" t="n"/>
      <c r="SU22" s="51" t="n"/>
      <c r="SV22" s="51" t="n"/>
      <c r="SW22" s="51" t="n"/>
      <c r="SX22" s="51" t="n"/>
      <c r="SY22" s="51" t="n"/>
      <c r="SZ22" s="51" t="n"/>
      <c r="TA22" s="51" t="n"/>
      <c r="TB22" s="51" t="n"/>
      <c r="TC22" s="51" t="n"/>
      <c r="TD22" s="51" t="n"/>
      <c r="TE22" s="51" t="n"/>
      <c r="TF22" s="51" t="n"/>
      <c r="TG22" s="51" t="n"/>
      <c r="TH22" s="51" t="n"/>
      <c r="TI22" s="51" t="n"/>
      <c r="TJ22" s="51" t="n"/>
      <c r="TK22" s="51" t="n"/>
      <c r="TL22" s="51" t="n"/>
      <c r="TM22" s="51" t="n"/>
      <c r="TN22" s="51" t="n"/>
      <c r="TO22" s="51" t="n"/>
      <c r="TP22" s="51" t="n"/>
      <c r="TQ22" s="51" t="n"/>
      <c r="TR22" s="51" t="n"/>
      <c r="TS22" s="51" t="n"/>
      <c r="TT22" s="51" t="n"/>
      <c r="TU22" s="51" t="n"/>
      <c r="TV22" s="51" t="n"/>
      <c r="TW22" s="51" t="n"/>
      <c r="TX22" s="51" t="n"/>
      <c r="TY22" s="51" t="n"/>
      <c r="TZ22" s="51" t="n"/>
      <c r="UA22" s="51" t="n"/>
      <c r="UB22" s="51" t="n"/>
      <c r="UC22" s="51" t="n"/>
      <c r="UD22" s="51" t="n"/>
      <c r="UE22" s="51" t="n"/>
      <c r="UF22" s="51" t="n"/>
      <c r="UG22" s="51" t="n"/>
      <c r="UH22" s="51" t="n"/>
      <c r="UI22" s="51" t="n"/>
      <c r="UJ22" s="51" t="n"/>
      <c r="UK22" s="51" t="n"/>
      <c r="UL22" s="51" t="n"/>
      <c r="UM22" s="51" t="n"/>
      <c r="UN22" s="51" t="n"/>
      <c r="UO22" s="51" t="n"/>
      <c r="UP22" s="51" t="n"/>
      <c r="UQ22" s="51" t="n"/>
      <c r="UR22" s="51" t="n"/>
      <c r="US22" s="51" t="n"/>
      <c r="UT22" s="51" t="n"/>
      <c r="UU22" s="51" t="n"/>
      <c r="UV22" s="51" t="n"/>
      <c r="UW22" s="51" t="n"/>
      <c r="UX22" s="51" t="n"/>
      <c r="UY22" s="51" t="n"/>
      <c r="UZ22" s="51" t="n"/>
      <c r="VA22" s="51" t="n"/>
      <c r="VB22" s="51" t="n"/>
      <c r="VC22" s="51" t="n"/>
      <c r="VD22" s="51" t="n"/>
      <c r="VE22" s="51" t="n"/>
      <c r="VF22" s="51" t="n"/>
      <c r="VG22" s="51" t="n"/>
      <c r="VH22" s="51" t="n"/>
      <c r="VI22" s="51" t="n"/>
      <c r="VJ22" s="51" t="n"/>
      <c r="VK22" s="51" t="n"/>
      <c r="VL22" s="51" t="n"/>
      <c r="VM22" s="51" t="n"/>
      <c r="VN22" s="51" t="n"/>
      <c r="VO22" s="51" t="n"/>
      <c r="VP22" s="51" t="n"/>
      <c r="VQ22" s="51" t="n"/>
      <c r="VR22" s="51" t="n"/>
      <c r="VS22" s="51" t="n"/>
      <c r="VT22" s="51" t="n"/>
      <c r="VU22" s="51" t="n"/>
      <c r="VV22" s="51" t="n"/>
      <c r="VW22" s="51" t="n"/>
      <c r="VX22" s="51" t="n"/>
      <c r="VY22" s="51" t="n"/>
      <c r="VZ22" s="51" t="n"/>
      <c r="WA22" s="51" t="n"/>
      <c r="WB22" s="51" t="n"/>
      <c r="WC22" s="51" t="n"/>
      <c r="WD22" s="51" t="n"/>
      <c r="WE22" s="51" t="n"/>
      <c r="WF22" s="51" t="n"/>
      <c r="WG22" s="51" t="n"/>
      <c r="WH22" s="51" t="n"/>
      <c r="WI22" s="51" t="n"/>
      <c r="WJ22" s="51" t="n"/>
      <c r="WK22" s="51" t="n"/>
      <c r="WL22" s="51" t="n"/>
      <c r="WM22" s="51" t="n"/>
      <c r="WN22" s="51" t="n"/>
      <c r="WO22" s="51" t="n"/>
      <c r="WP22" s="51" t="n"/>
      <c r="WQ22" s="51" t="n"/>
      <c r="WR22" s="51" t="n"/>
      <c r="WS22" s="51" t="n"/>
      <c r="WT22" s="51" t="n"/>
      <c r="WU22" s="51" t="n"/>
      <c r="WV22" s="51" t="n"/>
      <c r="WW22" s="51" t="n"/>
      <c r="WX22" s="51" t="n"/>
      <c r="WY22" s="51" t="n"/>
      <c r="WZ22" s="51" t="n"/>
      <c r="XA22" s="51" t="n"/>
      <c r="XB22" s="51" t="n"/>
      <c r="XC22" s="51" t="n"/>
      <c r="XD22" s="51" t="n"/>
      <c r="XE22" s="51" t="n"/>
      <c r="XF22" s="51" t="n"/>
      <c r="XG22" s="51" t="n"/>
      <c r="XH22" s="51" t="n"/>
      <c r="XI22" s="51" t="n"/>
      <c r="XJ22" s="51" t="n"/>
      <c r="XK22" s="51" t="n"/>
      <c r="XL22" s="51" t="n"/>
      <c r="XM22" s="51" t="n"/>
      <c r="XN22" s="51" t="n"/>
      <c r="XO22" s="51" t="n"/>
      <c r="XP22" s="51" t="n"/>
      <c r="XQ22" s="51" t="n"/>
      <c r="XR22" s="51" t="n"/>
      <c r="XS22" s="51" t="n"/>
      <c r="XT22" s="51" t="n"/>
      <c r="XU22" s="51" t="n"/>
      <c r="XV22" s="51" t="n"/>
      <c r="XW22" s="51" t="n"/>
      <c r="XX22" s="51" t="n"/>
      <c r="XY22" s="51" t="n"/>
      <c r="XZ22" s="51" t="n"/>
      <c r="YA22" s="51" t="n"/>
      <c r="YB22" s="51" t="n"/>
      <c r="YC22" s="51" t="n"/>
      <c r="YD22" s="51" t="n"/>
      <c r="YE22" s="51" t="n"/>
      <c r="YF22" s="51" t="n"/>
      <c r="YG22" s="51" t="n"/>
      <c r="YH22" s="51" t="n"/>
      <c r="YI22" s="51" t="n"/>
      <c r="YJ22" s="51" t="n"/>
      <c r="YK22" s="51" t="n"/>
      <c r="YL22" s="51" t="n"/>
      <c r="YM22" s="51" t="n"/>
      <c r="YN22" s="51" t="n"/>
      <c r="YO22" s="51" t="n"/>
      <c r="YP22" s="51" t="n"/>
      <c r="YQ22" s="51" t="n"/>
      <c r="YR22" s="51" t="n"/>
      <c r="YS22" s="51" t="n"/>
      <c r="YT22" s="51" t="n"/>
      <c r="YU22" s="51" t="n"/>
      <c r="YV22" s="51" t="n"/>
      <c r="YW22" s="51" t="n"/>
      <c r="YX22" s="51" t="n"/>
      <c r="YY22" s="51" t="n"/>
      <c r="YZ22" s="51" t="n"/>
      <c r="ZA22" s="51" t="n"/>
      <c r="ZB22" s="51" t="n"/>
      <c r="ZC22" s="51" t="n"/>
      <c r="ZD22" s="51" t="n"/>
      <c r="ZE22" s="51" t="n"/>
      <c r="ZF22" s="51" t="n"/>
      <c r="ZG22" s="51" t="n"/>
      <c r="ZH22" s="51" t="n"/>
      <c r="ZI22" s="51" t="n"/>
      <c r="ZJ22" s="51" t="n"/>
      <c r="ZK22" s="51" t="n"/>
      <c r="ZL22" s="51" t="n"/>
      <c r="ZM22" s="51" t="n"/>
      <c r="ZN22" s="51" t="n"/>
      <c r="ZO22" s="51" t="n"/>
      <c r="ZP22" s="51" t="n"/>
      <c r="ZQ22" s="51" t="n"/>
      <c r="ZR22" s="51" t="n"/>
      <c r="ZS22" s="51" t="n"/>
      <c r="ZT22" s="51" t="n"/>
      <c r="ZU22" s="51" t="n"/>
      <c r="ZV22" s="51" t="n"/>
      <c r="ZW22" s="51" t="n"/>
      <c r="ZX22" s="51" t="n"/>
      <c r="ZY22" s="51" t="n"/>
      <c r="ZZ22" s="51" t="n"/>
      <c r="AAA22" s="51" t="n"/>
      <c r="AAB22" s="51" t="n"/>
      <c r="AAC22" s="51" t="n"/>
      <c r="AAD22" s="51" t="n"/>
      <c r="AAE22" s="51" t="n"/>
      <c r="AAF22" s="51" t="n"/>
      <c r="AAG22" s="51" t="n"/>
      <c r="AAH22" s="51" t="n"/>
      <c r="AAI22" s="51" t="n"/>
      <c r="AAJ22" s="51" t="n"/>
      <c r="AAK22" s="51" t="n"/>
      <c r="AAL22" s="51" t="n"/>
      <c r="AAM22" s="51" t="n"/>
      <c r="AAN22" s="51" t="n"/>
      <c r="AAO22" s="51" t="n"/>
      <c r="AAP22" s="51" t="n"/>
      <c r="AAQ22" s="51" t="n"/>
      <c r="AAR22" s="51" t="n"/>
      <c r="AAS22" s="51" t="n"/>
      <c r="AAT22" s="51" t="n"/>
      <c r="AAU22" s="51" t="n"/>
      <c r="AAV22" s="51" t="n"/>
      <c r="AAW22" s="51" t="n"/>
      <c r="AAX22" s="51" t="n"/>
      <c r="AAY22" s="51" t="n"/>
      <c r="AAZ22" s="51" t="n"/>
      <c r="ABA22" s="51" t="n"/>
      <c r="ABB22" s="51" t="n"/>
      <c r="ABC22" s="51" t="n"/>
      <c r="ABD22" s="51" t="n"/>
      <c r="ABE22" s="51" t="n"/>
      <c r="ABF22" s="51" t="n"/>
      <c r="ABG22" s="51" t="n"/>
      <c r="ABH22" s="51" t="n"/>
      <c r="ABI22" s="51" t="n"/>
      <c r="ABJ22" s="51" t="n"/>
      <c r="ABK22" s="51" t="n"/>
      <c r="ABL22" s="51" t="n"/>
      <c r="ABM22" s="51" t="n"/>
      <c r="ABN22" s="51" t="n"/>
      <c r="ABO22" s="51" t="n"/>
      <c r="ABP22" s="51" t="n"/>
      <c r="ABQ22" s="51" t="n"/>
      <c r="ABR22" s="51" t="n"/>
      <c r="ABS22" s="51" t="n"/>
      <c r="ABT22" s="51" t="n"/>
      <c r="ABU22" s="51" t="n"/>
      <c r="ABV22" s="51" t="n"/>
      <c r="ABW22" s="51" t="n"/>
      <c r="ABX22" s="51" t="n"/>
      <c r="ABY22" s="51" t="n"/>
      <c r="ABZ22" s="51" t="n"/>
      <c r="ACA22" s="51" t="n"/>
      <c r="ACB22" s="51" t="n"/>
      <c r="ACC22" s="51" t="n"/>
      <c r="ACD22" s="51" t="n"/>
      <c r="ACE22" s="51" t="n"/>
      <c r="ACF22" s="51" t="n"/>
      <c r="ACG22" s="51" t="n"/>
      <c r="ACH22" s="51" t="n"/>
      <c r="ACI22" s="51" t="n"/>
      <c r="ACJ22" s="51" t="n"/>
      <c r="ACK22" s="51" t="n"/>
      <c r="ACL22" s="51" t="n"/>
      <c r="ACM22" s="51" t="n"/>
      <c r="ACN22" s="51" t="n"/>
      <c r="ACO22" s="51" t="n"/>
      <c r="ACP22" s="51" t="n"/>
      <c r="ACQ22" s="51" t="n"/>
      <c r="ACR22" s="51" t="n"/>
      <c r="ACS22" s="51" t="n"/>
      <c r="ACT22" s="51" t="n"/>
      <c r="ACU22" s="51" t="n"/>
      <c r="ACV22" s="51" t="n"/>
      <c r="ACW22" s="51" t="n"/>
      <c r="ACX22" s="51" t="n"/>
      <c r="ACY22" s="51" t="n"/>
      <c r="ACZ22" s="51" t="n"/>
      <c r="ADA22" s="51" t="n"/>
      <c r="ADB22" s="51" t="n"/>
      <c r="ADC22" s="51" t="n"/>
      <c r="ADD22" s="51" t="n"/>
      <c r="ADE22" s="51" t="n"/>
      <c r="ADF22" s="51" t="n"/>
      <c r="ADG22" s="51" t="n"/>
      <c r="ADH22" s="51" t="n"/>
      <c r="ADI22" s="51" t="n"/>
      <c r="ADJ22" s="51" t="n"/>
      <c r="ADK22" s="51" t="n"/>
      <c r="ADL22" s="51" t="n"/>
      <c r="ADM22" s="51" t="n"/>
      <c r="ADN22" s="51" t="n"/>
      <c r="ADO22" s="51" t="n"/>
      <c r="ADP22" s="51" t="n"/>
      <c r="ADQ22" s="51" t="n"/>
      <c r="ADR22" s="51" t="n"/>
      <c r="ADS22" s="51" t="n"/>
      <c r="ADT22" s="51" t="n"/>
      <c r="ADU22" s="51" t="n"/>
      <c r="ADV22" s="51" t="n"/>
      <c r="ADW22" s="51" t="n"/>
      <c r="ADX22" s="51" t="n"/>
      <c r="ADY22" s="51" t="n"/>
      <c r="ADZ22" s="51" t="n"/>
      <c r="AEA22" s="51" t="n"/>
      <c r="AEB22" s="51" t="n"/>
      <c r="AEC22" s="51" t="n"/>
      <c r="AED22" s="51" t="n"/>
      <c r="AEE22" s="51" t="n"/>
      <c r="AEF22" s="51" t="n"/>
      <c r="AEG22" s="51" t="n"/>
      <c r="AEH22" s="51" t="n"/>
      <c r="AEI22" s="51" t="n"/>
      <c r="AEJ22" s="51" t="n"/>
      <c r="AEK22" s="51" t="n"/>
      <c r="AEL22" s="51" t="n"/>
      <c r="AEM22" s="51" t="n"/>
      <c r="AEN22" s="51" t="n"/>
      <c r="AEO22" s="51" t="n"/>
      <c r="AEP22" s="51" t="n"/>
      <c r="AEQ22" s="51" t="n"/>
      <c r="AER22" s="51" t="n"/>
      <c r="AES22" s="51" t="n"/>
      <c r="AET22" s="51" t="n"/>
      <c r="AEU22" s="51" t="n"/>
      <c r="AEV22" s="51" t="n"/>
      <c r="AEW22" s="51" t="n"/>
      <c r="AEX22" s="51" t="n"/>
      <c r="AEY22" s="51" t="n"/>
      <c r="AEZ22" s="51" t="n"/>
      <c r="AFA22" s="51" t="n"/>
      <c r="AFB22" s="51" t="n"/>
      <c r="AFC22" s="51" t="n"/>
      <c r="AFD22" s="51" t="n"/>
      <c r="AFE22" s="51" t="n"/>
      <c r="AFF22" s="51" t="n"/>
      <c r="AFG22" s="51" t="n"/>
      <c r="AFH22" s="51" t="n"/>
      <c r="AFI22" s="51" t="n"/>
      <c r="AFJ22" s="51" t="n"/>
      <c r="AFK22" s="51" t="n"/>
      <c r="AFL22" s="51" t="n"/>
      <c r="AFM22" s="51" t="n"/>
      <c r="AFN22" s="51" t="n"/>
      <c r="AFO22" s="51" t="n"/>
      <c r="AFP22" s="51" t="n"/>
      <c r="AFQ22" s="51" t="n"/>
      <c r="AFR22" s="51" t="n"/>
      <c r="AFS22" s="51" t="n"/>
      <c r="AFT22" s="51" t="n"/>
      <c r="AFU22" s="51" t="n"/>
      <c r="AFV22" s="51" t="n"/>
      <c r="AFW22" s="51" t="n"/>
      <c r="AFX22" s="51" t="n"/>
      <c r="AFY22" s="51" t="n"/>
      <c r="AFZ22" s="51" t="n"/>
      <c r="AGA22" s="51" t="n"/>
      <c r="AGB22" s="51" t="n"/>
      <c r="AGC22" s="51" t="n"/>
      <c r="AGD22" s="51" t="n"/>
      <c r="AGE22" s="51" t="n"/>
      <c r="AGF22" s="51" t="n"/>
      <c r="AGG22" s="51" t="n"/>
      <c r="AGH22" s="51" t="n"/>
      <c r="AGI22" s="51" t="n"/>
      <c r="AGJ22" s="51" t="n"/>
      <c r="AGK22" s="51" t="n"/>
      <c r="AGL22" s="51" t="n"/>
      <c r="AGM22" s="51" t="n"/>
      <c r="AGN22" s="51" t="n"/>
      <c r="AGO22" s="51" t="n"/>
      <c r="AGP22" s="51" t="n"/>
      <c r="AGQ22" s="51" t="n"/>
      <c r="AGR22" s="51" t="n"/>
      <c r="AGS22" s="51" t="n"/>
      <c r="AGT22" s="51" t="n"/>
      <c r="AGU22" s="51" t="n"/>
      <c r="AGV22" s="51" t="n"/>
      <c r="AGW22" s="51" t="n"/>
      <c r="AGX22" s="51" t="n"/>
      <c r="AGY22" s="51" t="n"/>
      <c r="AGZ22" s="51" t="n"/>
      <c r="AHA22" s="51" t="n"/>
      <c r="AHB22" s="51" t="n"/>
      <c r="AHC22" s="51" t="n"/>
      <c r="AHD22" s="51" t="n"/>
      <c r="AHE22" s="51" t="n"/>
      <c r="AHF22" s="51" t="n"/>
      <c r="AHG22" s="51" t="n"/>
      <c r="AHH22" s="51" t="n"/>
      <c r="AHI22" s="51" t="n"/>
      <c r="AHJ22" s="51" t="n"/>
      <c r="AHK22" s="51" t="n"/>
      <c r="AHL22" s="51" t="n"/>
      <c r="AHM22" s="51" t="n"/>
      <c r="AHN22" s="51" t="n"/>
      <c r="AHO22" s="51" t="n"/>
      <c r="AHP22" s="51" t="n"/>
      <c r="AHQ22" s="51" t="n"/>
      <c r="AHR22" s="51" t="n"/>
      <c r="AHS22" s="51" t="n"/>
      <c r="AHT22" s="51" t="n"/>
      <c r="AHU22" s="51" t="n"/>
      <c r="AHV22" s="51" t="n"/>
      <c r="AHW22" s="51" t="n"/>
      <c r="AHX22" s="51" t="n"/>
      <c r="AHY22" s="51" t="n"/>
      <c r="AHZ22" s="51" t="n"/>
      <c r="AIA22" s="51" t="n"/>
      <c r="AIB22" s="51" t="n"/>
      <c r="AIC22" s="51" t="n"/>
      <c r="AID22" s="51" t="n"/>
      <c r="AIE22" s="51" t="n"/>
      <c r="AIF22" s="51" t="n"/>
      <c r="AIG22" s="51" t="n"/>
      <c r="AIH22" s="51" t="n"/>
      <c r="AII22" s="51" t="n"/>
      <c r="AIJ22" s="51" t="n"/>
      <c r="AIK22" s="51" t="n"/>
      <c r="AIL22" s="51" t="n"/>
      <c r="AIM22" s="51" t="n"/>
      <c r="AIN22" s="51" t="n"/>
      <c r="AIO22" s="51" t="n"/>
      <c r="AIP22" s="51" t="n"/>
      <c r="AIQ22" s="51" t="n"/>
      <c r="AIR22" s="51" t="n"/>
      <c r="AIS22" s="51" t="n"/>
      <c r="AIT22" s="51" t="n"/>
      <c r="AIU22" s="51" t="n"/>
      <c r="AIV22" s="51" t="n"/>
      <c r="AIW22" s="51" t="n"/>
      <c r="AIX22" s="51" t="n"/>
      <c r="AIY22" s="51" t="n"/>
      <c r="AIZ22" s="51" t="n"/>
      <c r="AJA22" s="51" t="n"/>
      <c r="AJB22" s="51" t="n"/>
      <c r="AJC22" s="51" t="n"/>
      <c r="AJD22" s="51" t="n"/>
      <c r="AJE22" s="51" t="n"/>
      <c r="AJF22" s="51" t="n"/>
      <c r="AJG22" s="51" t="n"/>
      <c r="AJH22" s="51" t="n"/>
      <c r="AJI22" s="51" t="n"/>
      <c r="AJJ22" s="51" t="n"/>
      <c r="AJK22" s="51" t="n"/>
      <c r="AJL22" s="51" t="n"/>
      <c r="AJM22" s="51" t="n"/>
      <c r="AJN22" s="51" t="n"/>
      <c r="AJO22" s="51" t="n"/>
      <c r="AJP22" s="51" t="n"/>
      <c r="AJQ22" s="51" t="n"/>
      <c r="AJR22" s="51" t="n"/>
      <c r="AJS22" s="51" t="n"/>
      <c r="AJT22" s="51" t="n"/>
      <c r="AJU22" s="51" t="n"/>
      <c r="AJV22" s="51" t="n"/>
      <c r="AJW22" s="51" t="n"/>
      <c r="AJX22" s="51" t="n"/>
      <c r="AJY22" s="51" t="n"/>
      <c r="AJZ22" s="51" t="n"/>
      <c r="AKA22" s="51" t="n"/>
      <c r="AKB22" s="51" t="n"/>
      <c r="AKC22" s="51" t="n"/>
      <c r="AKD22" s="51" t="n"/>
      <c r="AKE22" s="51" t="n"/>
      <c r="AKF22" s="51" t="n"/>
      <c r="AKG22" s="51" t="n"/>
      <c r="AKH22" s="51" t="n"/>
      <c r="AKI22" s="51" t="n"/>
      <c r="AKJ22" s="51" t="n"/>
      <c r="AKK22" s="51" t="n"/>
      <c r="AKL22" s="51" t="n"/>
      <c r="AKM22" s="51" t="n"/>
      <c r="AKN22" s="51" t="n"/>
      <c r="AKO22" s="51" t="n"/>
      <c r="AKP22" s="51" t="n"/>
      <c r="AKQ22" s="51" t="n"/>
      <c r="AKR22" s="51" t="n"/>
      <c r="AKS22" s="51" t="n"/>
      <c r="AKT22" s="51" t="n"/>
      <c r="AKU22" s="51" t="n"/>
      <c r="AKV22" s="51" t="n"/>
      <c r="AKW22" s="51" t="n"/>
      <c r="AKX22" s="51" t="n"/>
      <c r="AKY22" s="51" t="n"/>
      <c r="AKZ22" s="51" t="n"/>
      <c r="ALA22" s="51" t="n"/>
      <c r="ALB22" s="51" t="n"/>
      <c r="ALC22" s="51" t="n"/>
      <c r="ALD22" s="51" t="n"/>
      <c r="ALE22" s="51" t="n"/>
      <c r="ALF22" s="51" t="n"/>
      <c r="ALG22" s="51" t="n"/>
      <c r="ALH22" s="51" t="n"/>
      <c r="ALI22" s="51" t="n"/>
      <c r="ALJ22" s="51" t="n"/>
      <c r="ALK22" s="51" t="n"/>
      <c r="ALL22" s="51" t="n"/>
      <c r="ALM22" s="51" t="n"/>
      <c r="ALN22" s="51" t="n"/>
      <c r="ALO22" s="51" t="n"/>
      <c r="ALP22" s="51" t="n"/>
      <c r="ALQ22" s="51" t="n"/>
      <c r="ALR22" s="51" t="n"/>
      <c r="ALS22" s="51" t="n"/>
      <c r="ALT22" s="51" t="n"/>
      <c r="ALU22" s="51" t="n"/>
      <c r="ALV22" s="51" t="n"/>
      <c r="ALW22" s="51" t="n"/>
      <c r="ALX22" s="51" t="n"/>
      <c r="ALY22" s="51" t="n"/>
      <c r="ALZ22" s="51" t="n"/>
      <c r="AMA22" s="51" t="n"/>
      <c r="AMB22" s="51" t="n"/>
      <c r="AMC22" s="51" t="n"/>
      <c r="AMD22" s="51" t="n"/>
      <c r="AME22" s="51" t="n"/>
      <c r="AMF22" s="51" t="n"/>
      <c r="AMG22" s="51" t="n"/>
      <c r="AMH22" s="51" t="n"/>
      <c r="AMI22" s="51" t="n"/>
      <c r="AMJ22" s="51" t="n"/>
      <c r="AMK22" s="51" t="n"/>
      <c r="AML22" s="51" t="n"/>
      <c r="AMM22" s="51" t="n"/>
      <c r="AMN22" s="51" t="n"/>
      <c r="AMO22" s="51" t="n"/>
      <c r="AMP22" s="51" t="n"/>
      <c r="AMQ22" s="51" t="n"/>
      <c r="AMR22" s="51" t="n"/>
      <c r="AMS22" s="51" t="n"/>
      <c r="AMT22" s="51" t="n"/>
      <c r="AMU22" s="51" t="n"/>
      <c r="AMV22" s="51" t="n"/>
      <c r="AMW22" s="51" t="n"/>
      <c r="AMX22" s="51" t="n"/>
      <c r="AMY22" s="51" t="n"/>
      <c r="AMZ22" s="51" t="n"/>
      <c r="ANA22" s="51" t="n"/>
      <c r="ANB22" s="51" t="n"/>
      <c r="ANC22" s="51" t="n"/>
      <c r="AND22" s="51" t="n"/>
      <c r="ANE22" s="51" t="n"/>
      <c r="ANF22" s="51" t="n"/>
      <c r="ANG22" s="51" t="n"/>
      <c r="ANH22" s="51" t="n"/>
      <c r="ANI22" s="51" t="n"/>
      <c r="ANJ22" s="51" t="n"/>
      <c r="ANK22" s="51" t="n"/>
      <c r="ANL22" s="51" t="n"/>
      <c r="ANM22" s="51" t="n"/>
      <c r="ANN22" s="51" t="n"/>
      <c r="ANO22" s="51" t="n"/>
      <c r="ANP22" s="51" t="n"/>
      <c r="ANQ22" s="51" t="n"/>
      <c r="ANR22" s="51" t="n"/>
      <c r="ANS22" s="51" t="n"/>
      <c r="ANT22" s="51" t="n"/>
      <c r="ANU22" s="51" t="n"/>
      <c r="ANV22" s="51" t="n"/>
      <c r="ANW22" s="51" t="n"/>
      <c r="ANX22" s="51" t="n"/>
      <c r="ANY22" s="51" t="n"/>
      <c r="ANZ22" s="51" t="n"/>
      <c r="AOA22" s="51" t="n"/>
      <c r="AOB22" s="51" t="n"/>
      <c r="AOC22" s="51" t="n"/>
      <c r="AOD22" s="51" t="n"/>
      <c r="AOE22" s="51" t="n"/>
      <c r="AOF22" s="51" t="n"/>
      <c r="AOG22" s="51" t="n"/>
      <c r="AOH22" s="51" t="n"/>
      <c r="AOI22" s="51" t="n"/>
      <c r="AOJ22" s="51" t="n"/>
      <c r="AOK22" s="51" t="n"/>
      <c r="AOL22" s="51" t="n"/>
      <c r="AOM22" s="51" t="n"/>
      <c r="AON22" s="51" t="n"/>
      <c r="AOO22" s="51" t="n"/>
      <c r="AOP22" s="51" t="n"/>
      <c r="AOQ22" s="51" t="n"/>
      <c r="AOR22" s="51" t="n"/>
      <c r="AOS22" s="51" t="n"/>
      <c r="AOT22" s="51" t="n"/>
      <c r="AOU22" s="51" t="n"/>
      <c r="AOV22" s="51" t="n"/>
      <c r="AOW22" s="51" t="n"/>
      <c r="AOX22" s="51" t="n"/>
      <c r="AOY22" s="51" t="n"/>
      <c r="AOZ22" s="51" t="n"/>
      <c r="APA22" s="51" t="n"/>
      <c r="APB22" s="51" t="n"/>
      <c r="APC22" s="51" t="n"/>
      <c r="APD22" s="51" t="n"/>
      <c r="APE22" s="51" t="n"/>
      <c r="APF22" s="51" t="n"/>
      <c r="APG22" s="51" t="n"/>
      <c r="APH22" s="51" t="n"/>
      <c r="API22" s="51" t="n"/>
      <c r="APJ22" s="51" t="n"/>
      <c r="APK22" s="51" t="n"/>
      <c r="APL22" s="51" t="n"/>
      <c r="APM22" s="51" t="n"/>
      <c r="APN22" s="51" t="n"/>
      <c r="APO22" s="51" t="n"/>
      <c r="APP22" s="51" t="n"/>
      <c r="APQ22" s="51" t="n"/>
      <c r="APR22" s="51" t="n"/>
      <c r="APS22" s="51" t="n"/>
      <c r="APT22" s="51" t="n"/>
      <c r="APU22" s="51" t="n"/>
      <c r="APV22" s="51" t="n"/>
      <c r="APW22" s="51" t="n"/>
      <c r="APX22" s="51" t="n"/>
      <c r="APY22" s="51" t="n"/>
      <c r="APZ22" s="51" t="n"/>
      <c r="AQA22" s="51" t="n"/>
      <c r="AQB22" s="51" t="n"/>
      <c r="AQC22" s="51" t="n"/>
      <c r="AQD22" s="51" t="n"/>
      <c r="AQE22" s="51" t="n"/>
      <c r="AQF22" s="51" t="n"/>
      <c r="AQG22" s="51" t="n"/>
      <c r="AQH22" s="51" t="n"/>
      <c r="AQI22" s="51" t="n"/>
      <c r="AQJ22" s="51" t="n"/>
      <c r="AQK22" s="51" t="n"/>
      <c r="AQL22" s="51" t="n"/>
      <c r="AQM22" s="51" t="n"/>
      <c r="AQN22" s="51" t="n"/>
      <c r="AQO22" s="51" t="n"/>
      <c r="AQP22" s="51" t="n"/>
      <c r="AQQ22" s="51" t="n"/>
      <c r="AQR22" s="51" t="n"/>
      <c r="AQS22" s="51" t="n"/>
      <c r="AQT22" s="51" t="n"/>
      <c r="AQU22" s="51" t="n"/>
      <c r="AQV22" s="51" t="n"/>
      <c r="AQW22" s="51" t="n"/>
      <c r="AQX22" s="51" t="n"/>
      <c r="AQY22" s="51" t="n"/>
      <c r="AQZ22" s="51" t="n"/>
      <c r="ARA22" s="51" t="n"/>
      <c r="ARB22" s="51" t="n"/>
      <c r="ARC22" s="51" t="n"/>
      <c r="ARD22" s="51" t="n"/>
      <c r="ARE22" s="51" t="n"/>
      <c r="ARF22" s="51" t="n"/>
      <c r="ARG22" s="51" t="n"/>
      <c r="ARH22" s="51" t="n"/>
      <c r="ARI22" s="51" t="n"/>
      <c r="ARJ22" s="51" t="n"/>
      <c r="ARK22" s="51" t="n"/>
      <c r="ARL22" s="51" t="n"/>
      <c r="ARM22" s="51" t="n"/>
      <c r="ARN22" s="51" t="n"/>
      <c r="ARO22" s="51" t="n"/>
      <c r="ARP22" s="51" t="n"/>
      <c r="ARQ22" s="51" t="n"/>
      <c r="ARR22" s="51" t="n"/>
      <c r="ARS22" s="51" t="n"/>
      <c r="ART22" s="51" t="n"/>
      <c r="ARU22" s="51" t="n"/>
      <c r="ARV22" s="51" t="n"/>
      <c r="ARW22" s="51" t="n"/>
      <c r="ARX22" s="51" t="n"/>
      <c r="ARY22" s="51" t="n"/>
      <c r="ARZ22" s="51" t="n"/>
      <c r="ASA22" s="51" t="n"/>
      <c r="ASB22" s="51" t="n"/>
      <c r="ASC22" s="51" t="n"/>
      <c r="ASD22" s="51" t="n"/>
      <c r="ASE22" s="51" t="n"/>
      <c r="ASF22" s="51" t="n"/>
      <c r="ASG22" s="51" t="n"/>
      <c r="ASH22" s="51" t="n"/>
      <c r="ASI22" s="51" t="n"/>
      <c r="ASJ22" s="51" t="n"/>
      <c r="ASK22" s="51" t="n"/>
      <c r="ASL22" s="51" t="n"/>
      <c r="ASM22" s="51" t="n"/>
      <c r="ASN22" s="51" t="n"/>
      <c r="ASO22" s="51" t="n"/>
      <c r="ASP22" s="51" t="n"/>
      <c r="ASQ22" s="51" t="n"/>
      <c r="ASR22" s="51" t="n"/>
      <c r="ASS22" s="51" t="n"/>
      <c r="AST22" s="51" t="n"/>
      <c r="ASU22" s="51" t="n"/>
      <c r="ASV22" s="51" t="n"/>
      <c r="ASW22" s="51" t="n"/>
      <c r="ASX22" s="51" t="n"/>
      <c r="ASY22" s="51" t="n"/>
      <c r="ASZ22" s="51" t="n"/>
      <c r="ATA22" s="51" t="n"/>
      <c r="ATB22" s="51" t="n"/>
      <c r="ATC22" s="51" t="n"/>
      <c r="ATD22" s="51" t="n"/>
      <c r="ATE22" s="51" t="n"/>
      <c r="ATF22" s="51" t="n"/>
      <c r="ATG22" s="51" t="n"/>
      <c r="ATH22" s="51" t="n"/>
      <c r="ATI22" s="51" t="n"/>
      <c r="ATJ22" s="51" t="n"/>
      <c r="ATK22" s="51" t="n"/>
      <c r="ATL22" s="51" t="n"/>
      <c r="ATM22" s="51" t="n"/>
      <c r="ATN22" s="51" t="n"/>
      <c r="ATO22" s="51" t="n"/>
      <c r="ATP22" s="51" t="n"/>
      <c r="ATQ22" s="51" t="n"/>
      <c r="ATR22" s="51" t="n"/>
      <c r="ATS22" s="51" t="n"/>
      <c r="ATT22" s="51" t="n"/>
      <c r="ATU22" s="51" t="n"/>
      <c r="ATV22" s="51" t="n"/>
      <c r="ATW22" s="51" t="n"/>
      <c r="ATX22" s="51" t="n"/>
      <c r="ATY22" s="51" t="n"/>
      <c r="ATZ22" s="51" t="n"/>
      <c r="AUA22" s="51" t="n"/>
      <c r="AUB22" s="51" t="n"/>
      <c r="AUC22" s="51" t="n"/>
      <c r="AUD22" s="51" t="n"/>
      <c r="AUE22" s="51" t="n"/>
      <c r="AUF22" s="51" t="n"/>
      <c r="AUG22" s="51" t="n"/>
      <c r="AUH22" s="51" t="n"/>
      <c r="AUI22" s="51" t="n"/>
      <c r="AUJ22" s="51" t="n"/>
      <c r="AUK22" s="51" t="n"/>
      <c r="AUL22" s="51" t="n"/>
      <c r="AUM22" s="51" t="n"/>
      <c r="AUN22" s="51" t="n"/>
      <c r="AUO22" s="51" t="n"/>
      <c r="AUP22" s="51" t="n"/>
      <c r="AUQ22" s="51" t="n"/>
      <c r="AUR22" s="51" t="n"/>
      <c r="AUS22" s="51" t="n"/>
      <c r="AUT22" s="51" t="n"/>
      <c r="AUU22" s="51" t="n"/>
      <c r="AUV22" s="51" t="n"/>
      <c r="AUW22" s="51" t="n"/>
      <c r="AUX22" s="51" t="n"/>
      <c r="AUY22" s="51" t="n"/>
      <c r="AUZ22" s="51" t="n"/>
      <c r="AVA22" s="51" t="n"/>
      <c r="AVB22" s="51" t="n"/>
      <c r="AVC22" s="51" t="n"/>
      <c r="AVD22" s="51" t="n"/>
      <c r="AVE22" s="51" t="n"/>
      <c r="AVF22" s="51" t="n"/>
      <c r="AVG22" s="51" t="n"/>
      <c r="AVH22" s="51" t="n"/>
      <c r="AVI22" s="51" t="n"/>
      <c r="AVJ22" s="51" t="n"/>
      <c r="AVK22" s="51" t="n"/>
      <c r="AVL22" s="51" t="n"/>
      <c r="AVM22" s="51" t="n"/>
      <c r="AVN22" s="51" t="n"/>
      <c r="AVO22" s="51" t="n"/>
      <c r="AVP22" s="51" t="n"/>
      <c r="AVQ22" s="51" t="n"/>
      <c r="AVR22" s="51" t="n"/>
      <c r="AVS22" s="51" t="n"/>
      <c r="AVT22" s="51" t="n"/>
      <c r="AVU22" s="51" t="n"/>
      <c r="AVV22" s="51" t="n"/>
      <c r="AVW22" s="51" t="n"/>
      <c r="AVX22" s="51" t="n"/>
      <c r="AVY22" s="51" t="n"/>
      <c r="AVZ22" s="51" t="n"/>
      <c r="AWA22" s="51" t="n"/>
      <c r="AWB22" s="51" t="n"/>
      <c r="AWC22" s="51" t="n"/>
      <c r="AWD22" s="51" t="n"/>
      <c r="AWE22" s="51" t="n"/>
      <c r="AWF22" s="51" t="n"/>
      <c r="AWG22" s="51" t="n"/>
      <c r="AWH22" s="51" t="n"/>
      <c r="AWI22" s="51" t="n"/>
      <c r="AWJ22" s="51" t="n"/>
      <c r="AWK22" s="51" t="n"/>
      <c r="AWL22" s="51" t="n"/>
      <c r="AWM22" s="51" t="n"/>
      <c r="AWN22" s="51" t="n"/>
      <c r="AWO22" s="51" t="n"/>
      <c r="AWP22" s="51" t="n"/>
      <c r="AWQ22" s="51" t="n"/>
      <c r="AWR22" s="51" t="n"/>
      <c r="AWS22" s="51" t="n"/>
      <c r="AWT22" s="51" t="n"/>
      <c r="AWU22" s="51" t="n"/>
      <c r="AWV22" s="51" t="n"/>
      <c r="AWW22" s="51" t="n"/>
      <c r="AWX22" s="51" t="n"/>
      <c r="AWY22" s="51" t="n"/>
      <c r="AWZ22" s="51" t="n"/>
      <c r="AXA22" s="51" t="n"/>
      <c r="AXB22" s="51" t="n"/>
      <c r="AXC22" s="51" t="n"/>
      <c r="AXD22" s="51" t="n"/>
      <c r="AXE22" s="51" t="n"/>
      <c r="AXF22" s="51" t="n"/>
      <c r="AXG22" s="51" t="n"/>
      <c r="AXH22" s="51" t="n"/>
      <c r="AXI22" s="51" t="n"/>
      <c r="AXJ22" s="51" t="n"/>
      <c r="AXK22" s="51" t="n"/>
      <c r="AXL22" s="51" t="n"/>
      <c r="AXM22" s="51" t="n"/>
      <c r="AXN22" s="51" t="n"/>
      <c r="AXO22" s="51" t="n"/>
      <c r="AXP22" s="51" t="n"/>
      <c r="AXQ22" s="51" t="n"/>
      <c r="AXR22" s="51" t="n"/>
      <c r="AXS22" s="51" t="n"/>
      <c r="AXT22" s="51" t="n"/>
      <c r="AXU22" s="51" t="n"/>
      <c r="AXV22" s="51" t="n"/>
      <c r="AXW22" s="51" t="n"/>
      <c r="AXX22" s="51" t="n"/>
      <c r="AXY22" s="51" t="n"/>
      <c r="AXZ22" s="51" t="n"/>
      <c r="AYA22" s="51" t="n"/>
      <c r="AYB22" s="51" t="n"/>
      <c r="AYC22" s="51" t="n"/>
      <c r="AYD22" s="51" t="n"/>
      <c r="AYE22" s="51" t="n"/>
      <c r="AYF22" s="51" t="n"/>
      <c r="AYG22" s="51" t="n"/>
      <c r="AYH22" s="51" t="n"/>
      <c r="AYI22" s="51" t="n"/>
      <c r="AYJ22" s="51" t="n"/>
      <c r="AYK22" s="51" t="n"/>
      <c r="AYL22" s="51" t="n"/>
      <c r="AYM22" s="51" t="n"/>
      <c r="AYN22" s="51" t="n"/>
      <c r="AYO22" s="51" t="n"/>
      <c r="AYP22" s="51" t="n"/>
      <c r="AYQ22" s="51" t="n"/>
      <c r="AYR22" s="51" t="n"/>
      <c r="AYS22" s="51" t="n"/>
      <c r="AYT22" s="51" t="n"/>
      <c r="AYU22" s="51" t="n"/>
      <c r="AYV22" s="51" t="n"/>
      <c r="AYW22" s="51" t="n"/>
      <c r="AYX22" s="51" t="n"/>
      <c r="AYY22" s="51" t="n"/>
      <c r="AYZ22" s="51" t="n"/>
      <c r="AZA22" s="51" t="n"/>
      <c r="AZB22" s="51" t="n"/>
      <c r="AZC22" s="51" t="n"/>
      <c r="AZD22" s="51" t="n"/>
      <c r="AZE22" s="51" t="n"/>
      <c r="AZF22" s="51" t="n"/>
      <c r="AZG22" s="51" t="n"/>
      <c r="AZH22" s="51" t="n"/>
      <c r="AZI22" s="51" t="n"/>
      <c r="AZJ22" s="51" t="n"/>
      <c r="AZK22" s="51" t="n"/>
      <c r="AZL22" s="51" t="n"/>
      <c r="AZM22" s="51" t="n"/>
      <c r="AZN22" s="51" t="n"/>
      <c r="AZO22" s="51" t="n"/>
      <c r="AZP22" s="51" t="n"/>
      <c r="AZQ22" s="51" t="n"/>
      <c r="AZR22" s="51" t="n"/>
      <c r="AZS22" s="51" t="n"/>
      <c r="AZT22" s="51" t="n"/>
      <c r="AZU22" s="51" t="n"/>
      <c r="AZV22" s="51" t="n"/>
      <c r="AZW22" s="51" t="n"/>
      <c r="AZX22" s="51" t="n"/>
      <c r="AZY22" s="51" t="n"/>
      <c r="AZZ22" s="51" t="n"/>
      <c r="BAA22" s="51" t="n"/>
      <c r="BAB22" s="51" t="n"/>
      <c r="BAC22" s="51" t="n"/>
      <c r="BAD22" s="51" t="n"/>
      <c r="BAE22" s="51" t="n"/>
      <c r="BAF22" s="51" t="n"/>
      <c r="BAG22" s="51" t="n"/>
      <c r="BAH22" s="51" t="n"/>
      <c r="BAI22" s="51" t="n"/>
      <c r="BAJ22" s="51" t="n"/>
      <c r="BAK22" s="51" t="n"/>
      <c r="BAL22" s="51" t="n"/>
      <c r="BAM22" s="51" t="n"/>
      <c r="BAN22" s="51" t="n"/>
      <c r="BAO22" s="51" t="n"/>
      <c r="BAP22" s="51" t="n"/>
      <c r="BAQ22" s="51" t="n"/>
      <c r="BAR22" s="51" t="n"/>
      <c r="BAS22" s="51" t="n"/>
      <c r="BAT22" s="51" t="n"/>
      <c r="BAU22" s="51" t="n"/>
      <c r="BAV22" s="51" t="n"/>
      <c r="BAW22" s="51" t="n"/>
      <c r="BAX22" s="51" t="n"/>
      <c r="BAY22" s="51" t="n"/>
      <c r="BAZ22" s="51" t="n"/>
      <c r="BBA22" s="51" t="n"/>
      <c r="BBB22" s="51" t="n"/>
      <c r="BBC22" s="51" t="n"/>
      <c r="BBD22" s="51" t="n"/>
      <c r="BBE22" s="51" t="n"/>
      <c r="BBF22" s="51" t="n"/>
      <c r="BBG22" s="51" t="n"/>
      <c r="BBH22" s="51" t="n"/>
      <c r="BBI22" s="51" t="n"/>
      <c r="BBJ22" s="51" t="n"/>
      <c r="BBK22" s="51" t="n"/>
      <c r="BBL22" s="51" t="n"/>
      <c r="BBM22" s="51" t="n"/>
      <c r="BBN22" s="51" t="n"/>
      <c r="BBO22" s="51" t="n"/>
      <c r="BBP22" s="51" t="n"/>
    </row>
    <row r="23" ht="13.5" customFormat="1" customHeight="1" s="32">
      <c r="A23" s="22">
        <f>A22+1</f>
        <v/>
      </c>
      <c r="B23" s="122" t="inlineStr">
        <is>
          <t>Baut Dipan</t>
        </is>
      </c>
      <c r="C23" s="123" t="inlineStr">
        <is>
          <t>PCS</t>
        </is>
      </c>
      <c r="D23" s="26">
        <f>'Week  (3)'!U23</f>
        <v/>
      </c>
      <c r="E23" s="124" t="n"/>
      <c r="F23" s="62" t="n"/>
      <c r="G23" s="25" t="n"/>
      <c r="H23" s="56" t="n"/>
      <c r="I23" s="19" t="n"/>
      <c r="J23" s="64" t="n"/>
      <c r="K23" s="25" t="n"/>
      <c r="L23" s="56" t="n"/>
      <c r="M23" s="73" t="n"/>
      <c r="N23" s="73" t="n"/>
      <c r="O23" s="19" t="n"/>
      <c r="P23" s="18" t="n"/>
      <c r="Q23" s="18" t="n"/>
      <c r="R23" s="73" t="n"/>
      <c r="S23" s="18" t="n"/>
      <c r="T23" s="18" t="n"/>
      <c r="U23" s="26">
        <f>D23+F23+-(H23+J23+L23+N23+P23+R23+T23)</f>
        <v/>
      </c>
      <c r="V23" s="51" t="inlineStr">
        <is>
          <t>CIVIL</t>
        </is>
      </c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  <c r="FX23" s="51" t="n"/>
      <c r="FY23" s="51" t="n"/>
      <c r="FZ23" s="51" t="n"/>
      <c r="GA23" s="51" t="n"/>
      <c r="GB23" s="51" t="n"/>
      <c r="GC23" s="51" t="n"/>
      <c r="GD23" s="51" t="n"/>
      <c r="GE23" s="51" t="n"/>
      <c r="GF23" s="51" t="n"/>
      <c r="GG23" s="51" t="n"/>
      <c r="GH23" s="51" t="n"/>
      <c r="GI23" s="51" t="n"/>
      <c r="GJ23" s="51" t="n"/>
      <c r="GK23" s="51" t="n"/>
      <c r="GL23" s="51" t="n"/>
      <c r="GM23" s="51" t="n"/>
      <c r="GN23" s="51" t="n"/>
      <c r="GO23" s="51" t="n"/>
      <c r="GP23" s="51" t="n"/>
      <c r="GQ23" s="51" t="n"/>
      <c r="GR23" s="51" t="n"/>
      <c r="GS23" s="51" t="n"/>
      <c r="GT23" s="51" t="n"/>
      <c r="GU23" s="51" t="n"/>
      <c r="GV23" s="51" t="n"/>
      <c r="GW23" s="51" t="n"/>
      <c r="GX23" s="51" t="n"/>
      <c r="GY23" s="51" t="n"/>
      <c r="GZ23" s="51" t="n"/>
      <c r="HA23" s="51" t="n"/>
      <c r="HB23" s="51" t="n"/>
      <c r="HC23" s="51" t="n"/>
      <c r="HD23" s="51" t="n"/>
      <c r="HE23" s="51" t="n"/>
      <c r="HF23" s="51" t="n"/>
      <c r="HG23" s="51" t="n"/>
      <c r="HH23" s="51" t="n"/>
      <c r="HI23" s="51" t="n"/>
      <c r="HJ23" s="51" t="n"/>
      <c r="HK23" s="51" t="n"/>
      <c r="HL23" s="51" t="n"/>
      <c r="HM23" s="51" t="n"/>
      <c r="HN23" s="51" t="n"/>
      <c r="HO23" s="51" t="n"/>
      <c r="HP23" s="51" t="n"/>
      <c r="HQ23" s="51" t="n"/>
      <c r="HR23" s="51" t="n"/>
      <c r="HS23" s="51" t="n"/>
      <c r="HT23" s="51" t="n"/>
      <c r="HU23" s="51" t="n"/>
      <c r="HV23" s="51" t="n"/>
      <c r="HW23" s="51" t="n"/>
      <c r="HX23" s="51" t="n"/>
      <c r="HY23" s="51" t="n"/>
      <c r="HZ23" s="51" t="n"/>
      <c r="IA23" s="51" t="n"/>
      <c r="IB23" s="51" t="n"/>
      <c r="IC23" s="51" t="n"/>
      <c r="ID23" s="51" t="n"/>
      <c r="IE23" s="51" t="n"/>
      <c r="IF23" s="51" t="n"/>
      <c r="IG23" s="51" t="n"/>
      <c r="IH23" s="51" t="n"/>
      <c r="II23" s="51" t="n"/>
      <c r="IJ23" s="51" t="n"/>
      <c r="IK23" s="51" t="n"/>
      <c r="IL23" s="51" t="n"/>
      <c r="IM23" s="51" t="n"/>
      <c r="IN23" s="51" t="n"/>
      <c r="IO23" s="51" t="n"/>
      <c r="IP23" s="51" t="n"/>
      <c r="IQ23" s="51" t="n"/>
      <c r="IR23" s="51" t="n"/>
      <c r="IS23" s="51" t="n"/>
      <c r="IT23" s="51" t="n"/>
      <c r="IU23" s="51" t="n"/>
      <c r="IV23" s="51" t="n"/>
      <c r="IW23" s="51" t="n"/>
      <c r="IX23" s="51" t="n"/>
      <c r="IY23" s="51" t="n"/>
      <c r="IZ23" s="51" t="n"/>
      <c r="JA23" s="51" t="n"/>
      <c r="JB23" s="51" t="n"/>
      <c r="JC23" s="51" t="n"/>
      <c r="JD23" s="51" t="n"/>
      <c r="JE23" s="51" t="n"/>
      <c r="JF23" s="51" t="n"/>
      <c r="JG23" s="51" t="n"/>
      <c r="JH23" s="51" t="n"/>
      <c r="JI23" s="51" t="n"/>
      <c r="JJ23" s="51" t="n"/>
      <c r="JK23" s="51" t="n"/>
      <c r="JL23" s="51" t="n"/>
      <c r="JM23" s="51" t="n"/>
      <c r="JN23" s="51" t="n"/>
      <c r="JO23" s="51" t="n"/>
      <c r="JP23" s="51" t="n"/>
      <c r="JQ23" s="51" t="n"/>
      <c r="JR23" s="51" t="n"/>
      <c r="JS23" s="51" t="n"/>
      <c r="JT23" s="51" t="n"/>
      <c r="JU23" s="51" t="n"/>
      <c r="JV23" s="51" t="n"/>
      <c r="JW23" s="51" t="n"/>
      <c r="JX23" s="51" t="n"/>
      <c r="JY23" s="51" t="n"/>
      <c r="JZ23" s="51" t="n"/>
      <c r="KA23" s="51" t="n"/>
      <c r="KB23" s="51" t="n"/>
      <c r="KC23" s="51" t="n"/>
      <c r="KD23" s="51" t="n"/>
      <c r="KE23" s="51" t="n"/>
      <c r="KF23" s="51" t="n"/>
      <c r="KG23" s="51" t="n"/>
      <c r="KH23" s="51" t="n"/>
      <c r="KI23" s="51" t="n"/>
      <c r="KJ23" s="51" t="n"/>
      <c r="KK23" s="51" t="n"/>
      <c r="KL23" s="51" t="n"/>
      <c r="KM23" s="51" t="n"/>
      <c r="KN23" s="51" t="n"/>
      <c r="KO23" s="51" t="n"/>
      <c r="KP23" s="51" t="n"/>
      <c r="KQ23" s="51" t="n"/>
      <c r="KR23" s="51" t="n"/>
      <c r="KS23" s="51" t="n"/>
      <c r="KT23" s="51" t="n"/>
      <c r="KU23" s="51" t="n"/>
      <c r="KV23" s="51" t="n"/>
      <c r="KW23" s="51" t="n"/>
      <c r="KX23" s="51" t="n"/>
      <c r="KY23" s="51" t="n"/>
      <c r="KZ23" s="51" t="n"/>
      <c r="LA23" s="51" t="n"/>
      <c r="LB23" s="51" t="n"/>
      <c r="LC23" s="51" t="n"/>
      <c r="LD23" s="51" t="n"/>
      <c r="LE23" s="51" t="n"/>
      <c r="LF23" s="51" t="n"/>
      <c r="LG23" s="51" t="n"/>
      <c r="LH23" s="51" t="n"/>
      <c r="LI23" s="51" t="n"/>
      <c r="LJ23" s="51" t="n"/>
      <c r="LK23" s="51" t="n"/>
      <c r="LL23" s="51" t="n"/>
      <c r="LM23" s="51" t="n"/>
      <c r="LN23" s="51" t="n"/>
      <c r="LO23" s="51" t="n"/>
      <c r="LP23" s="51" t="n"/>
      <c r="LQ23" s="51" t="n"/>
      <c r="LR23" s="51" t="n"/>
      <c r="LS23" s="51" t="n"/>
      <c r="LT23" s="51" t="n"/>
      <c r="LU23" s="51" t="n"/>
      <c r="LV23" s="51" t="n"/>
      <c r="LW23" s="51" t="n"/>
      <c r="LX23" s="51" t="n"/>
      <c r="LY23" s="51" t="n"/>
      <c r="LZ23" s="51" t="n"/>
      <c r="MA23" s="51" t="n"/>
      <c r="MB23" s="51" t="n"/>
      <c r="MC23" s="51" t="n"/>
      <c r="MD23" s="51" t="n"/>
      <c r="ME23" s="51" t="n"/>
      <c r="MF23" s="51" t="n"/>
      <c r="MG23" s="51" t="n"/>
      <c r="MH23" s="51" t="n"/>
      <c r="MI23" s="51" t="n"/>
      <c r="MJ23" s="51" t="n"/>
      <c r="MK23" s="51" t="n"/>
      <c r="ML23" s="51" t="n"/>
      <c r="MM23" s="51" t="n"/>
      <c r="MN23" s="51" t="n"/>
      <c r="MO23" s="51" t="n"/>
      <c r="MP23" s="51" t="n"/>
      <c r="MQ23" s="51" t="n"/>
      <c r="MR23" s="51" t="n"/>
      <c r="MS23" s="51" t="n"/>
      <c r="MT23" s="51" t="n"/>
      <c r="MU23" s="51" t="n"/>
      <c r="MV23" s="51" t="n"/>
      <c r="MW23" s="51" t="n"/>
      <c r="MX23" s="51" t="n"/>
      <c r="MY23" s="51" t="n"/>
      <c r="MZ23" s="51" t="n"/>
      <c r="NA23" s="51" t="n"/>
      <c r="NB23" s="51" t="n"/>
      <c r="NC23" s="51" t="n"/>
      <c r="ND23" s="51" t="n"/>
      <c r="NE23" s="51" t="n"/>
      <c r="NF23" s="51" t="n"/>
      <c r="NG23" s="51" t="n"/>
      <c r="NH23" s="51" t="n"/>
      <c r="NI23" s="51" t="n"/>
      <c r="NJ23" s="51" t="n"/>
      <c r="NK23" s="51" t="n"/>
      <c r="NL23" s="51" t="n"/>
      <c r="NM23" s="51" t="n"/>
      <c r="NN23" s="51" t="n"/>
      <c r="NO23" s="51" t="n"/>
      <c r="NP23" s="51" t="n"/>
      <c r="NQ23" s="51" t="n"/>
      <c r="NR23" s="51" t="n"/>
      <c r="NS23" s="51" t="n"/>
      <c r="NT23" s="51" t="n"/>
      <c r="NU23" s="51" t="n"/>
      <c r="NV23" s="51" t="n"/>
      <c r="NW23" s="51" t="n"/>
      <c r="NX23" s="51" t="n"/>
      <c r="NY23" s="51" t="n"/>
      <c r="NZ23" s="51" t="n"/>
      <c r="OA23" s="51" t="n"/>
      <c r="OB23" s="51" t="n"/>
      <c r="OC23" s="51" t="n"/>
      <c r="OD23" s="51" t="n"/>
      <c r="OE23" s="51" t="n"/>
      <c r="OF23" s="51" t="n"/>
      <c r="OG23" s="51" t="n"/>
      <c r="OH23" s="51" t="n"/>
      <c r="OI23" s="51" t="n"/>
      <c r="OJ23" s="51" t="n"/>
      <c r="OK23" s="51" t="n"/>
      <c r="OL23" s="51" t="n"/>
      <c r="OM23" s="51" t="n"/>
      <c r="ON23" s="51" t="n"/>
      <c r="OO23" s="51" t="n"/>
      <c r="OP23" s="51" t="n"/>
      <c r="OQ23" s="51" t="n"/>
      <c r="OR23" s="51" t="n"/>
      <c r="OS23" s="51" t="n"/>
      <c r="OT23" s="51" t="n"/>
      <c r="OU23" s="51" t="n"/>
      <c r="OV23" s="51" t="n"/>
      <c r="OW23" s="51" t="n"/>
      <c r="OX23" s="51" t="n"/>
      <c r="OY23" s="51" t="n"/>
      <c r="OZ23" s="51" t="n"/>
      <c r="PA23" s="51" t="n"/>
      <c r="PB23" s="51" t="n"/>
      <c r="PC23" s="51" t="n"/>
      <c r="PD23" s="51" t="n"/>
      <c r="PE23" s="51" t="n"/>
      <c r="PF23" s="51" t="n"/>
      <c r="PG23" s="51" t="n"/>
      <c r="PH23" s="51" t="n"/>
      <c r="PI23" s="51" t="n"/>
      <c r="PJ23" s="51" t="n"/>
      <c r="PK23" s="51" t="n"/>
      <c r="PL23" s="51" t="n"/>
      <c r="PM23" s="51" t="n"/>
      <c r="PN23" s="51" t="n"/>
      <c r="PO23" s="51" t="n"/>
      <c r="PP23" s="51" t="n"/>
      <c r="PQ23" s="51" t="n"/>
      <c r="PR23" s="51" t="n"/>
      <c r="PS23" s="51" t="n"/>
      <c r="PT23" s="51" t="n"/>
      <c r="PU23" s="51" t="n"/>
      <c r="PV23" s="51" t="n"/>
      <c r="PW23" s="51" t="n"/>
      <c r="PX23" s="51" t="n"/>
      <c r="PY23" s="51" t="n"/>
      <c r="PZ23" s="51" t="n"/>
      <c r="QA23" s="51" t="n"/>
      <c r="QB23" s="51" t="n"/>
      <c r="QC23" s="51" t="n"/>
      <c r="QD23" s="51" t="n"/>
      <c r="QE23" s="51" t="n"/>
      <c r="QF23" s="51" t="n"/>
      <c r="QG23" s="51" t="n"/>
      <c r="QH23" s="51" t="n"/>
      <c r="QI23" s="51" t="n"/>
      <c r="QJ23" s="51" t="n"/>
      <c r="QK23" s="51" t="n"/>
      <c r="QL23" s="51" t="n"/>
      <c r="QM23" s="51" t="n"/>
      <c r="QN23" s="51" t="n"/>
      <c r="QO23" s="51" t="n"/>
      <c r="QP23" s="51" t="n"/>
      <c r="QQ23" s="51" t="n"/>
      <c r="QR23" s="51" t="n"/>
      <c r="QS23" s="51" t="n"/>
      <c r="QT23" s="51" t="n"/>
      <c r="QU23" s="51" t="n"/>
      <c r="QV23" s="51" t="n"/>
      <c r="QW23" s="51" t="n"/>
      <c r="QX23" s="51" t="n"/>
      <c r="QY23" s="51" t="n"/>
      <c r="QZ23" s="51" t="n"/>
      <c r="RA23" s="51" t="n"/>
      <c r="RB23" s="51" t="n"/>
      <c r="RC23" s="51" t="n"/>
      <c r="RD23" s="51" t="n"/>
      <c r="RE23" s="51" t="n"/>
      <c r="RF23" s="51" t="n"/>
      <c r="RG23" s="51" t="n"/>
      <c r="RH23" s="51" t="n"/>
      <c r="RI23" s="51" t="n"/>
      <c r="RJ23" s="51" t="n"/>
      <c r="RK23" s="51" t="n"/>
      <c r="RL23" s="51" t="n"/>
      <c r="RM23" s="51" t="n"/>
      <c r="RN23" s="51" t="n"/>
      <c r="RO23" s="51" t="n"/>
      <c r="RP23" s="51" t="n"/>
      <c r="RQ23" s="51" t="n"/>
      <c r="RR23" s="51" t="n"/>
      <c r="RS23" s="51" t="n"/>
      <c r="RT23" s="51" t="n"/>
      <c r="RU23" s="51" t="n"/>
      <c r="RV23" s="51" t="n"/>
      <c r="RW23" s="51" t="n"/>
      <c r="RX23" s="51" t="n"/>
      <c r="RY23" s="51" t="n"/>
      <c r="RZ23" s="51" t="n"/>
      <c r="SA23" s="51" t="n"/>
      <c r="SB23" s="51" t="n"/>
      <c r="SC23" s="51" t="n"/>
      <c r="SD23" s="51" t="n"/>
      <c r="SE23" s="51" t="n"/>
      <c r="SF23" s="51" t="n"/>
      <c r="SG23" s="51" t="n"/>
      <c r="SH23" s="51" t="n"/>
      <c r="SI23" s="51" t="n"/>
      <c r="SJ23" s="51" t="n"/>
      <c r="SK23" s="51" t="n"/>
      <c r="SL23" s="51" t="n"/>
      <c r="SM23" s="51" t="n"/>
      <c r="SN23" s="51" t="n"/>
      <c r="SO23" s="51" t="n"/>
      <c r="SP23" s="51" t="n"/>
      <c r="SQ23" s="51" t="n"/>
      <c r="SR23" s="51" t="n"/>
      <c r="SS23" s="51" t="n"/>
      <c r="ST23" s="51" t="n"/>
      <c r="SU23" s="51" t="n"/>
      <c r="SV23" s="51" t="n"/>
      <c r="SW23" s="51" t="n"/>
      <c r="SX23" s="51" t="n"/>
      <c r="SY23" s="51" t="n"/>
      <c r="SZ23" s="51" t="n"/>
      <c r="TA23" s="51" t="n"/>
      <c r="TB23" s="51" t="n"/>
      <c r="TC23" s="51" t="n"/>
      <c r="TD23" s="51" t="n"/>
      <c r="TE23" s="51" t="n"/>
      <c r="TF23" s="51" t="n"/>
      <c r="TG23" s="51" t="n"/>
      <c r="TH23" s="51" t="n"/>
      <c r="TI23" s="51" t="n"/>
      <c r="TJ23" s="51" t="n"/>
      <c r="TK23" s="51" t="n"/>
      <c r="TL23" s="51" t="n"/>
      <c r="TM23" s="51" t="n"/>
      <c r="TN23" s="51" t="n"/>
      <c r="TO23" s="51" t="n"/>
      <c r="TP23" s="51" t="n"/>
      <c r="TQ23" s="51" t="n"/>
      <c r="TR23" s="51" t="n"/>
      <c r="TS23" s="51" t="n"/>
      <c r="TT23" s="51" t="n"/>
      <c r="TU23" s="51" t="n"/>
      <c r="TV23" s="51" t="n"/>
      <c r="TW23" s="51" t="n"/>
      <c r="TX23" s="51" t="n"/>
      <c r="TY23" s="51" t="n"/>
      <c r="TZ23" s="51" t="n"/>
      <c r="UA23" s="51" t="n"/>
      <c r="UB23" s="51" t="n"/>
      <c r="UC23" s="51" t="n"/>
      <c r="UD23" s="51" t="n"/>
      <c r="UE23" s="51" t="n"/>
      <c r="UF23" s="51" t="n"/>
      <c r="UG23" s="51" t="n"/>
      <c r="UH23" s="51" t="n"/>
      <c r="UI23" s="51" t="n"/>
      <c r="UJ23" s="51" t="n"/>
      <c r="UK23" s="51" t="n"/>
      <c r="UL23" s="51" t="n"/>
      <c r="UM23" s="51" t="n"/>
      <c r="UN23" s="51" t="n"/>
      <c r="UO23" s="51" t="n"/>
      <c r="UP23" s="51" t="n"/>
      <c r="UQ23" s="51" t="n"/>
      <c r="UR23" s="51" t="n"/>
      <c r="US23" s="51" t="n"/>
      <c r="UT23" s="51" t="n"/>
      <c r="UU23" s="51" t="n"/>
      <c r="UV23" s="51" t="n"/>
      <c r="UW23" s="51" t="n"/>
      <c r="UX23" s="51" t="n"/>
      <c r="UY23" s="51" t="n"/>
      <c r="UZ23" s="51" t="n"/>
      <c r="VA23" s="51" t="n"/>
      <c r="VB23" s="51" t="n"/>
      <c r="VC23" s="51" t="n"/>
      <c r="VD23" s="51" t="n"/>
      <c r="VE23" s="51" t="n"/>
      <c r="VF23" s="51" t="n"/>
      <c r="VG23" s="51" t="n"/>
      <c r="VH23" s="51" t="n"/>
      <c r="VI23" s="51" t="n"/>
      <c r="VJ23" s="51" t="n"/>
      <c r="VK23" s="51" t="n"/>
      <c r="VL23" s="51" t="n"/>
      <c r="VM23" s="51" t="n"/>
      <c r="VN23" s="51" t="n"/>
      <c r="VO23" s="51" t="n"/>
      <c r="VP23" s="51" t="n"/>
      <c r="VQ23" s="51" t="n"/>
      <c r="VR23" s="51" t="n"/>
      <c r="VS23" s="51" t="n"/>
      <c r="VT23" s="51" t="n"/>
      <c r="VU23" s="51" t="n"/>
      <c r="VV23" s="51" t="n"/>
      <c r="VW23" s="51" t="n"/>
      <c r="VX23" s="51" t="n"/>
      <c r="VY23" s="51" t="n"/>
      <c r="VZ23" s="51" t="n"/>
      <c r="WA23" s="51" t="n"/>
      <c r="WB23" s="51" t="n"/>
      <c r="WC23" s="51" t="n"/>
      <c r="WD23" s="51" t="n"/>
      <c r="WE23" s="51" t="n"/>
      <c r="WF23" s="51" t="n"/>
      <c r="WG23" s="51" t="n"/>
      <c r="WH23" s="51" t="n"/>
      <c r="WI23" s="51" t="n"/>
      <c r="WJ23" s="51" t="n"/>
      <c r="WK23" s="51" t="n"/>
      <c r="WL23" s="51" t="n"/>
      <c r="WM23" s="51" t="n"/>
      <c r="WN23" s="51" t="n"/>
      <c r="WO23" s="51" t="n"/>
      <c r="WP23" s="51" t="n"/>
      <c r="WQ23" s="51" t="n"/>
      <c r="WR23" s="51" t="n"/>
      <c r="WS23" s="51" t="n"/>
      <c r="WT23" s="51" t="n"/>
      <c r="WU23" s="51" t="n"/>
      <c r="WV23" s="51" t="n"/>
      <c r="WW23" s="51" t="n"/>
      <c r="WX23" s="51" t="n"/>
      <c r="WY23" s="51" t="n"/>
      <c r="WZ23" s="51" t="n"/>
      <c r="XA23" s="51" t="n"/>
      <c r="XB23" s="51" t="n"/>
      <c r="XC23" s="51" t="n"/>
      <c r="XD23" s="51" t="n"/>
      <c r="XE23" s="51" t="n"/>
      <c r="XF23" s="51" t="n"/>
      <c r="XG23" s="51" t="n"/>
      <c r="XH23" s="51" t="n"/>
      <c r="XI23" s="51" t="n"/>
      <c r="XJ23" s="51" t="n"/>
      <c r="XK23" s="51" t="n"/>
      <c r="XL23" s="51" t="n"/>
      <c r="XM23" s="51" t="n"/>
      <c r="XN23" s="51" t="n"/>
      <c r="XO23" s="51" t="n"/>
      <c r="XP23" s="51" t="n"/>
      <c r="XQ23" s="51" t="n"/>
      <c r="XR23" s="51" t="n"/>
      <c r="XS23" s="51" t="n"/>
      <c r="XT23" s="51" t="n"/>
      <c r="XU23" s="51" t="n"/>
      <c r="XV23" s="51" t="n"/>
      <c r="XW23" s="51" t="n"/>
      <c r="XX23" s="51" t="n"/>
      <c r="XY23" s="51" t="n"/>
      <c r="XZ23" s="51" t="n"/>
      <c r="YA23" s="51" t="n"/>
      <c r="YB23" s="51" t="n"/>
      <c r="YC23" s="51" t="n"/>
      <c r="YD23" s="51" t="n"/>
      <c r="YE23" s="51" t="n"/>
      <c r="YF23" s="51" t="n"/>
      <c r="YG23" s="51" t="n"/>
      <c r="YH23" s="51" t="n"/>
      <c r="YI23" s="51" t="n"/>
      <c r="YJ23" s="51" t="n"/>
      <c r="YK23" s="51" t="n"/>
      <c r="YL23" s="51" t="n"/>
      <c r="YM23" s="51" t="n"/>
      <c r="YN23" s="51" t="n"/>
      <c r="YO23" s="51" t="n"/>
      <c r="YP23" s="51" t="n"/>
      <c r="YQ23" s="51" t="n"/>
      <c r="YR23" s="51" t="n"/>
      <c r="YS23" s="51" t="n"/>
      <c r="YT23" s="51" t="n"/>
      <c r="YU23" s="51" t="n"/>
      <c r="YV23" s="51" t="n"/>
      <c r="YW23" s="51" t="n"/>
      <c r="YX23" s="51" t="n"/>
      <c r="YY23" s="51" t="n"/>
      <c r="YZ23" s="51" t="n"/>
      <c r="ZA23" s="51" t="n"/>
      <c r="ZB23" s="51" t="n"/>
      <c r="ZC23" s="51" t="n"/>
      <c r="ZD23" s="51" t="n"/>
      <c r="ZE23" s="51" t="n"/>
      <c r="ZF23" s="51" t="n"/>
      <c r="ZG23" s="51" t="n"/>
      <c r="ZH23" s="51" t="n"/>
      <c r="ZI23" s="51" t="n"/>
      <c r="ZJ23" s="51" t="n"/>
      <c r="ZK23" s="51" t="n"/>
      <c r="ZL23" s="51" t="n"/>
      <c r="ZM23" s="51" t="n"/>
      <c r="ZN23" s="51" t="n"/>
      <c r="ZO23" s="51" t="n"/>
      <c r="ZP23" s="51" t="n"/>
      <c r="ZQ23" s="51" t="n"/>
      <c r="ZR23" s="51" t="n"/>
      <c r="ZS23" s="51" t="n"/>
      <c r="ZT23" s="51" t="n"/>
      <c r="ZU23" s="51" t="n"/>
      <c r="ZV23" s="51" t="n"/>
      <c r="ZW23" s="51" t="n"/>
      <c r="ZX23" s="51" t="n"/>
      <c r="ZY23" s="51" t="n"/>
      <c r="ZZ23" s="51" t="n"/>
      <c r="AAA23" s="51" t="n"/>
      <c r="AAB23" s="51" t="n"/>
      <c r="AAC23" s="51" t="n"/>
      <c r="AAD23" s="51" t="n"/>
      <c r="AAE23" s="51" t="n"/>
      <c r="AAF23" s="51" t="n"/>
      <c r="AAG23" s="51" t="n"/>
      <c r="AAH23" s="51" t="n"/>
      <c r="AAI23" s="51" t="n"/>
      <c r="AAJ23" s="51" t="n"/>
      <c r="AAK23" s="51" t="n"/>
      <c r="AAL23" s="51" t="n"/>
      <c r="AAM23" s="51" t="n"/>
      <c r="AAN23" s="51" t="n"/>
      <c r="AAO23" s="51" t="n"/>
      <c r="AAP23" s="51" t="n"/>
      <c r="AAQ23" s="51" t="n"/>
      <c r="AAR23" s="51" t="n"/>
      <c r="AAS23" s="51" t="n"/>
      <c r="AAT23" s="51" t="n"/>
      <c r="AAU23" s="51" t="n"/>
      <c r="AAV23" s="51" t="n"/>
      <c r="AAW23" s="51" t="n"/>
      <c r="AAX23" s="51" t="n"/>
      <c r="AAY23" s="51" t="n"/>
      <c r="AAZ23" s="51" t="n"/>
      <c r="ABA23" s="51" t="n"/>
      <c r="ABB23" s="51" t="n"/>
      <c r="ABC23" s="51" t="n"/>
      <c r="ABD23" s="51" t="n"/>
      <c r="ABE23" s="51" t="n"/>
      <c r="ABF23" s="51" t="n"/>
      <c r="ABG23" s="51" t="n"/>
      <c r="ABH23" s="51" t="n"/>
      <c r="ABI23" s="51" t="n"/>
      <c r="ABJ23" s="51" t="n"/>
      <c r="ABK23" s="51" t="n"/>
      <c r="ABL23" s="51" t="n"/>
      <c r="ABM23" s="51" t="n"/>
      <c r="ABN23" s="51" t="n"/>
      <c r="ABO23" s="51" t="n"/>
      <c r="ABP23" s="51" t="n"/>
      <c r="ABQ23" s="51" t="n"/>
      <c r="ABR23" s="51" t="n"/>
      <c r="ABS23" s="51" t="n"/>
      <c r="ABT23" s="51" t="n"/>
      <c r="ABU23" s="51" t="n"/>
      <c r="ABV23" s="51" t="n"/>
      <c r="ABW23" s="51" t="n"/>
      <c r="ABX23" s="51" t="n"/>
      <c r="ABY23" s="51" t="n"/>
      <c r="ABZ23" s="51" t="n"/>
      <c r="ACA23" s="51" t="n"/>
      <c r="ACB23" s="51" t="n"/>
      <c r="ACC23" s="51" t="n"/>
      <c r="ACD23" s="51" t="n"/>
      <c r="ACE23" s="51" t="n"/>
      <c r="ACF23" s="51" t="n"/>
      <c r="ACG23" s="51" t="n"/>
      <c r="ACH23" s="51" t="n"/>
      <c r="ACI23" s="51" t="n"/>
      <c r="ACJ23" s="51" t="n"/>
      <c r="ACK23" s="51" t="n"/>
      <c r="ACL23" s="51" t="n"/>
      <c r="ACM23" s="51" t="n"/>
      <c r="ACN23" s="51" t="n"/>
      <c r="ACO23" s="51" t="n"/>
      <c r="ACP23" s="51" t="n"/>
      <c r="ACQ23" s="51" t="n"/>
      <c r="ACR23" s="51" t="n"/>
      <c r="ACS23" s="51" t="n"/>
      <c r="ACT23" s="51" t="n"/>
      <c r="ACU23" s="51" t="n"/>
      <c r="ACV23" s="51" t="n"/>
      <c r="ACW23" s="51" t="n"/>
      <c r="ACX23" s="51" t="n"/>
      <c r="ACY23" s="51" t="n"/>
      <c r="ACZ23" s="51" t="n"/>
      <c r="ADA23" s="51" t="n"/>
      <c r="ADB23" s="51" t="n"/>
      <c r="ADC23" s="51" t="n"/>
      <c r="ADD23" s="51" t="n"/>
      <c r="ADE23" s="51" t="n"/>
      <c r="ADF23" s="51" t="n"/>
      <c r="ADG23" s="51" t="n"/>
      <c r="ADH23" s="51" t="n"/>
      <c r="ADI23" s="51" t="n"/>
      <c r="ADJ23" s="51" t="n"/>
      <c r="ADK23" s="51" t="n"/>
      <c r="ADL23" s="51" t="n"/>
      <c r="ADM23" s="51" t="n"/>
      <c r="ADN23" s="51" t="n"/>
      <c r="ADO23" s="51" t="n"/>
      <c r="ADP23" s="51" t="n"/>
      <c r="ADQ23" s="51" t="n"/>
      <c r="ADR23" s="51" t="n"/>
      <c r="ADS23" s="51" t="n"/>
      <c r="ADT23" s="51" t="n"/>
      <c r="ADU23" s="51" t="n"/>
      <c r="ADV23" s="51" t="n"/>
      <c r="ADW23" s="51" t="n"/>
      <c r="ADX23" s="51" t="n"/>
      <c r="ADY23" s="51" t="n"/>
      <c r="ADZ23" s="51" t="n"/>
      <c r="AEA23" s="51" t="n"/>
      <c r="AEB23" s="51" t="n"/>
      <c r="AEC23" s="51" t="n"/>
      <c r="AED23" s="51" t="n"/>
      <c r="AEE23" s="51" t="n"/>
      <c r="AEF23" s="51" t="n"/>
      <c r="AEG23" s="51" t="n"/>
      <c r="AEH23" s="51" t="n"/>
      <c r="AEI23" s="51" t="n"/>
      <c r="AEJ23" s="51" t="n"/>
      <c r="AEK23" s="51" t="n"/>
      <c r="AEL23" s="51" t="n"/>
      <c r="AEM23" s="51" t="n"/>
      <c r="AEN23" s="51" t="n"/>
      <c r="AEO23" s="51" t="n"/>
      <c r="AEP23" s="51" t="n"/>
      <c r="AEQ23" s="51" t="n"/>
      <c r="AER23" s="51" t="n"/>
      <c r="AES23" s="51" t="n"/>
      <c r="AET23" s="51" t="n"/>
      <c r="AEU23" s="51" t="n"/>
      <c r="AEV23" s="51" t="n"/>
      <c r="AEW23" s="51" t="n"/>
      <c r="AEX23" s="51" t="n"/>
      <c r="AEY23" s="51" t="n"/>
      <c r="AEZ23" s="51" t="n"/>
      <c r="AFA23" s="51" t="n"/>
      <c r="AFB23" s="51" t="n"/>
      <c r="AFC23" s="51" t="n"/>
      <c r="AFD23" s="51" t="n"/>
      <c r="AFE23" s="51" t="n"/>
      <c r="AFF23" s="51" t="n"/>
      <c r="AFG23" s="51" t="n"/>
      <c r="AFH23" s="51" t="n"/>
      <c r="AFI23" s="51" t="n"/>
      <c r="AFJ23" s="51" t="n"/>
      <c r="AFK23" s="51" t="n"/>
      <c r="AFL23" s="51" t="n"/>
      <c r="AFM23" s="51" t="n"/>
      <c r="AFN23" s="51" t="n"/>
      <c r="AFO23" s="51" t="n"/>
      <c r="AFP23" s="51" t="n"/>
      <c r="AFQ23" s="51" t="n"/>
      <c r="AFR23" s="51" t="n"/>
      <c r="AFS23" s="51" t="n"/>
      <c r="AFT23" s="51" t="n"/>
      <c r="AFU23" s="51" t="n"/>
      <c r="AFV23" s="51" t="n"/>
      <c r="AFW23" s="51" t="n"/>
      <c r="AFX23" s="51" t="n"/>
      <c r="AFY23" s="51" t="n"/>
      <c r="AFZ23" s="51" t="n"/>
      <c r="AGA23" s="51" t="n"/>
      <c r="AGB23" s="51" t="n"/>
      <c r="AGC23" s="51" t="n"/>
      <c r="AGD23" s="51" t="n"/>
      <c r="AGE23" s="51" t="n"/>
      <c r="AGF23" s="51" t="n"/>
      <c r="AGG23" s="51" t="n"/>
      <c r="AGH23" s="51" t="n"/>
      <c r="AGI23" s="51" t="n"/>
      <c r="AGJ23" s="51" t="n"/>
      <c r="AGK23" s="51" t="n"/>
      <c r="AGL23" s="51" t="n"/>
      <c r="AGM23" s="51" t="n"/>
      <c r="AGN23" s="51" t="n"/>
      <c r="AGO23" s="51" t="n"/>
      <c r="AGP23" s="51" t="n"/>
      <c r="AGQ23" s="51" t="n"/>
      <c r="AGR23" s="51" t="n"/>
      <c r="AGS23" s="51" t="n"/>
      <c r="AGT23" s="51" t="n"/>
      <c r="AGU23" s="51" t="n"/>
      <c r="AGV23" s="51" t="n"/>
      <c r="AGW23" s="51" t="n"/>
      <c r="AGX23" s="51" t="n"/>
      <c r="AGY23" s="51" t="n"/>
      <c r="AGZ23" s="51" t="n"/>
      <c r="AHA23" s="51" t="n"/>
      <c r="AHB23" s="51" t="n"/>
      <c r="AHC23" s="51" t="n"/>
      <c r="AHD23" s="51" t="n"/>
      <c r="AHE23" s="51" t="n"/>
      <c r="AHF23" s="51" t="n"/>
      <c r="AHG23" s="51" t="n"/>
      <c r="AHH23" s="51" t="n"/>
      <c r="AHI23" s="51" t="n"/>
      <c r="AHJ23" s="51" t="n"/>
      <c r="AHK23" s="51" t="n"/>
      <c r="AHL23" s="51" t="n"/>
      <c r="AHM23" s="51" t="n"/>
      <c r="AHN23" s="51" t="n"/>
      <c r="AHO23" s="51" t="n"/>
      <c r="AHP23" s="51" t="n"/>
      <c r="AHQ23" s="51" t="n"/>
      <c r="AHR23" s="51" t="n"/>
      <c r="AHS23" s="51" t="n"/>
      <c r="AHT23" s="51" t="n"/>
      <c r="AHU23" s="51" t="n"/>
      <c r="AHV23" s="51" t="n"/>
      <c r="AHW23" s="51" t="n"/>
      <c r="AHX23" s="51" t="n"/>
      <c r="AHY23" s="51" t="n"/>
      <c r="AHZ23" s="51" t="n"/>
      <c r="AIA23" s="51" t="n"/>
      <c r="AIB23" s="51" t="n"/>
      <c r="AIC23" s="51" t="n"/>
      <c r="AID23" s="51" t="n"/>
      <c r="AIE23" s="51" t="n"/>
      <c r="AIF23" s="51" t="n"/>
      <c r="AIG23" s="51" t="n"/>
      <c r="AIH23" s="51" t="n"/>
      <c r="AII23" s="51" t="n"/>
      <c r="AIJ23" s="51" t="n"/>
      <c r="AIK23" s="51" t="n"/>
      <c r="AIL23" s="51" t="n"/>
      <c r="AIM23" s="51" t="n"/>
      <c r="AIN23" s="51" t="n"/>
      <c r="AIO23" s="51" t="n"/>
      <c r="AIP23" s="51" t="n"/>
      <c r="AIQ23" s="51" t="n"/>
      <c r="AIR23" s="51" t="n"/>
      <c r="AIS23" s="51" t="n"/>
      <c r="AIT23" s="51" t="n"/>
      <c r="AIU23" s="51" t="n"/>
      <c r="AIV23" s="51" t="n"/>
      <c r="AIW23" s="51" t="n"/>
      <c r="AIX23" s="51" t="n"/>
      <c r="AIY23" s="51" t="n"/>
      <c r="AIZ23" s="51" t="n"/>
      <c r="AJA23" s="51" t="n"/>
      <c r="AJB23" s="51" t="n"/>
      <c r="AJC23" s="51" t="n"/>
      <c r="AJD23" s="51" t="n"/>
      <c r="AJE23" s="51" t="n"/>
      <c r="AJF23" s="51" t="n"/>
      <c r="AJG23" s="51" t="n"/>
      <c r="AJH23" s="51" t="n"/>
      <c r="AJI23" s="51" t="n"/>
      <c r="AJJ23" s="51" t="n"/>
      <c r="AJK23" s="51" t="n"/>
      <c r="AJL23" s="51" t="n"/>
      <c r="AJM23" s="51" t="n"/>
      <c r="AJN23" s="51" t="n"/>
      <c r="AJO23" s="51" t="n"/>
      <c r="AJP23" s="51" t="n"/>
      <c r="AJQ23" s="51" t="n"/>
      <c r="AJR23" s="51" t="n"/>
      <c r="AJS23" s="51" t="n"/>
      <c r="AJT23" s="51" t="n"/>
      <c r="AJU23" s="51" t="n"/>
      <c r="AJV23" s="51" t="n"/>
      <c r="AJW23" s="51" t="n"/>
      <c r="AJX23" s="51" t="n"/>
      <c r="AJY23" s="51" t="n"/>
      <c r="AJZ23" s="51" t="n"/>
      <c r="AKA23" s="51" t="n"/>
      <c r="AKB23" s="51" t="n"/>
      <c r="AKC23" s="51" t="n"/>
      <c r="AKD23" s="51" t="n"/>
      <c r="AKE23" s="51" t="n"/>
      <c r="AKF23" s="51" t="n"/>
      <c r="AKG23" s="51" t="n"/>
      <c r="AKH23" s="51" t="n"/>
      <c r="AKI23" s="51" t="n"/>
      <c r="AKJ23" s="51" t="n"/>
      <c r="AKK23" s="51" t="n"/>
      <c r="AKL23" s="51" t="n"/>
      <c r="AKM23" s="51" t="n"/>
      <c r="AKN23" s="51" t="n"/>
      <c r="AKO23" s="51" t="n"/>
      <c r="AKP23" s="51" t="n"/>
      <c r="AKQ23" s="51" t="n"/>
      <c r="AKR23" s="51" t="n"/>
      <c r="AKS23" s="51" t="n"/>
      <c r="AKT23" s="51" t="n"/>
      <c r="AKU23" s="51" t="n"/>
      <c r="AKV23" s="51" t="n"/>
      <c r="AKW23" s="51" t="n"/>
      <c r="AKX23" s="51" t="n"/>
      <c r="AKY23" s="51" t="n"/>
      <c r="AKZ23" s="51" t="n"/>
      <c r="ALA23" s="51" t="n"/>
      <c r="ALB23" s="51" t="n"/>
      <c r="ALC23" s="51" t="n"/>
      <c r="ALD23" s="51" t="n"/>
      <c r="ALE23" s="51" t="n"/>
      <c r="ALF23" s="51" t="n"/>
      <c r="ALG23" s="51" t="n"/>
      <c r="ALH23" s="51" t="n"/>
      <c r="ALI23" s="51" t="n"/>
      <c r="ALJ23" s="51" t="n"/>
      <c r="ALK23" s="51" t="n"/>
      <c r="ALL23" s="51" t="n"/>
      <c r="ALM23" s="51" t="n"/>
      <c r="ALN23" s="51" t="n"/>
      <c r="ALO23" s="51" t="n"/>
      <c r="ALP23" s="51" t="n"/>
      <c r="ALQ23" s="51" t="n"/>
      <c r="ALR23" s="51" t="n"/>
      <c r="ALS23" s="51" t="n"/>
      <c r="ALT23" s="51" t="n"/>
      <c r="ALU23" s="51" t="n"/>
      <c r="ALV23" s="51" t="n"/>
      <c r="ALW23" s="51" t="n"/>
      <c r="ALX23" s="51" t="n"/>
      <c r="ALY23" s="51" t="n"/>
      <c r="ALZ23" s="51" t="n"/>
      <c r="AMA23" s="51" t="n"/>
      <c r="AMB23" s="51" t="n"/>
      <c r="AMC23" s="51" t="n"/>
      <c r="AMD23" s="51" t="n"/>
      <c r="AME23" s="51" t="n"/>
      <c r="AMF23" s="51" t="n"/>
      <c r="AMG23" s="51" t="n"/>
      <c r="AMH23" s="51" t="n"/>
      <c r="AMI23" s="51" t="n"/>
      <c r="AMJ23" s="51" t="n"/>
      <c r="AMK23" s="51" t="n"/>
      <c r="AML23" s="51" t="n"/>
      <c r="AMM23" s="51" t="n"/>
      <c r="AMN23" s="51" t="n"/>
      <c r="AMO23" s="51" t="n"/>
      <c r="AMP23" s="51" t="n"/>
      <c r="AMQ23" s="51" t="n"/>
      <c r="AMR23" s="51" t="n"/>
      <c r="AMS23" s="51" t="n"/>
      <c r="AMT23" s="51" t="n"/>
      <c r="AMU23" s="51" t="n"/>
      <c r="AMV23" s="51" t="n"/>
      <c r="AMW23" s="51" t="n"/>
      <c r="AMX23" s="51" t="n"/>
      <c r="AMY23" s="51" t="n"/>
      <c r="AMZ23" s="51" t="n"/>
      <c r="ANA23" s="51" t="n"/>
      <c r="ANB23" s="51" t="n"/>
      <c r="ANC23" s="51" t="n"/>
      <c r="AND23" s="51" t="n"/>
      <c r="ANE23" s="51" t="n"/>
      <c r="ANF23" s="51" t="n"/>
      <c r="ANG23" s="51" t="n"/>
      <c r="ANH23" s="51" t="n"/>
      <c r="ANI23" s="51" t="n"/>
      <c r="ANJ23" s="51" t="n"/>
      <c r="ANK23" s="51" t="n"/>
      <c r="ANL23" s="51" t="n"/>
      <c r="ANM23" s="51" t="n"/>
      <c r="ANN23" s="51" t="n"/>
      <c r="ANO23" s="51" t="n"/>
      <c r="ANP23" s="51" t="n"/>
      <c r="ANQ23" s="51" t="n"/>
      <c r="ANR23" s="51" t="n"/>
      <c r="ANS23" s="51" t="n"/>
      <c r="ANT23" s="51" t="n"/>
      <c r="ANU23" s="51" t="n"/>
      <c r="ANV23" s="51" t="n"/>
      <c r="ANW23" s="51" t="n"/>
      <c r="ANX23" s="51" t="n"/>
      <c r="ANY23" s="51" t="n"/>
      <c r="ANZ23" s="51" t="n"/>
      <c r="AOA23" s="51" t="n"/>
      <c r="AOB23" s="51" t="n"/>
      <c r="AOC23" s="51" t="n"/>
      <c r="AOD23" s="51" t="n"/>
      <c r="AOE23" s="51" t="n"/>
      <c r="AOF23" s="51" t="n"/>
      <c r="AOG23" s="51" t="n"/>
      <c r="AOH23" s="51" t="n"/>
      <c r="AOI23" s="51" t="n"/>
      <c r="AOJ23" s="51" t="n"/>
      <c r="AOK23" s="51" t="n"/>
      <c r="AOL23" s="51" t="n"/>
      <c r="AOM23" s="51" t="n"/>
      <c r="AON23" s="51" t="n"/>
      <c r="AOO23" s="51" t="n"/>
      <c r="AOP23" s="51" t="n"/>
      <c r="AOQ23" s="51" t="n"/>
      <c r="AOR23" s="51" t="n"/>
      <c r="AOS23" s="51" t="n"/>
      <c r="AOT23" s="51" t="n"/>
      <c r="AOU23" s="51" t="n"/>
      <c r="AOV23" s="51" t="n"/>
      <c r="AOW23" s="51" t="n"/>
      <c r="AOX23" s="51" t="n"/>
      <c r="AOY23" s="51" t="n"/>
      <c r="AOZ23" s="51" t="n"/>
      <c r="APA23" s="51" t="n"/>
      <c r="APB23" s="51" t="n"/>
      <c r="APC23" s="51" t="n"/>
      <c r="APD23" s="51" t="n"/>
      <c r="APE23" s="51" t="n"/>
      <c r="APF23" s="51" t="n"/>
      <c r="APG23" s="51" t="n"/>
      <c r="APH23" s="51" t="n"/>
      <c r="API23" s="51" t="n"/>
      <c r="APJ23" s="51" t="n"/>
      <c r="APK23" s="51" t="n"/>
      <c r="APL23" s="51" t="n"/>
      <c r="APM23" s="51" t="n"/>
      <c r="APN23" s="51" t="n"/>
      <c r="APO23" s="51" t="n"/>
      <c r="APP23" s="51" t="n"/>
      <c r="APQ23" s="51" t="n"/>
      <c r="APR23" s="51" t="n"/>
      <c r="APS23" s="51" t="n"/>
      <c r="APT23" s="51" t="n"/>
      <c r="APU23" s="51" t="n"/>
      <c r="APV23" s="51" t="n"/>
      <c r="APW23" s="51" t="n"/>
      <c r="APX23" s="51" t="n"/>
      <c r="APY23" s="51" t="n"/>
      <c r="APZ23" s="51" t="n"/>
      <c r="AQA23" s="51" t="n"/>
      <c r="AQB23" s="51" t="n"/>
      <c r="AQC23" s="51" t="n"/>
      <c r="AQD23" s="51" t="n"/>
      <c r="AQE23" s="51" t="n"/>
      <c r="AQF23" s="51" t="n"/>
      <c r="AQG23" s="51" t="n"/>
      <c r="AQH23" s="51" t="n"/>
      <c r="AQI23" s="51" t="n"/>
      <c r="AQJ23" s="51" t="n"/>
      <c r="AQK23" s="51" t="n"/>
      <c r="AQL23" s="51" t="n"/>
      <c r="AQM23" s="51" t="n"/>
      <c r="AQN23" s="51" t="n"/>
      <c r="AQO23" s="51" t="n"/>
      <c r="AQP23" s="51" t="n"/>
      <c r="AQQ23" s="51" t="n"/>
      <c r="AQR23" s="51" t="n"/>
      <c r="AQS23" s="51" t="n"/>
      <c r="AQT23" s="51" t="n"/>
      <c r="AQU23" s="51" t="n"/>
      <c r="AQV23" s="51" t="n"/>
      <c r="AQW23" s="51" t="n"/>
      <c r="AQX23" s="51" t="n"/>
      <c r="AQY23" s="51" t="n"/>
      <c r="AQZ23" s="51" t="n"/>
      <c r="ARA23" s="51" t="n"/>
      <c r="ARB23" s="51" t="n"/>
      <c r="ARC23" s="51" t="n"/>
      <c r="ARD23" s="51" t="n"/>
      <c r="ARE23" s="51" t="n"/>
      <c r="ARF23" s="51" t="n"/>
      <c r="ARG23" s="51" t="n"/>
      <c r="ARH23" s="51" t="n"/>
      <c r="ARI23" s="51" t="n"/>
      <c r="ARJ23" s="51" t="n"/>
      <c r="ARK23" s="51" t="n"/>
      <c r="ARL23" s="51" t="n"/>
      <c r="ARM23" s="51" t="n"/>
      <c r="ARN23" s="51" t="n"/>
      <c r="ARO23" s="51" t="n"/>
      <c r="ARP23" s="51" t="n"/>
      <c r="ARQ23" s="51" t="n"/>
      <c r="ARR23" s="51" t="n"/>
      <c r="ARS23" s="51" t="n"/>
      <c r="ART23" s="51" t="n"/>
      <c r="ARU23" s="51" t="n"/>
      <c r="ARV23" s="51" t="n"/>
      <c r="ARW23" s="51" t="n"/>
      <c r="ARX23" s="51" t="n"/>
      <c r="ARY23" s="51" t="n"/>
      <c r="ARZ23" s="51" t="n"/>
      <c r="ASA23" s="51" t="n"/>
      <c r="ASB23" s="51" t="n"/>
      <c r="ASC23" s="51" t="n"/>
      <c r="ASD23" s="51" t="n"/>
      <c r="ASE23" s="51" t="n"/>
      <c r="ASF23" s="51" t="n"/>
      <c r="ASG23" s="51" t="n"/>
      <c r="ASH23" s="51" t="n"/>
      <c r="ASI23" s="51" t="n"/>
      <c r="ASJ23" s="51" t="n"/>
      <c r="ASK23" s="51" t="n"/>
      <c r="ASL23" s="51" t="n"/>
      <c r="ASM23" s="51" t="n"/>
      <c r="ASN23" s="51" t="n"/>
      <c r="ASO23" s="51" t="n"/>
      <c r="ASP23" s="51" t="n"/>
      <c r="ASQ23" s="51" t="n"/>
      <c r="ASR23" s="51" t="n"/>
      <c r="ASS23" s="51" t="n"/>
      <c r="AST23" s="51" t="n"/>
      <c r="ASU23" s="51" t="n"/>
      <c r="ASV23" s="51" t="n"/>
      <c r="ASW23" s="51" t="n"/>
      <c r="ASX23" s="51" t="n"/>
      <c r="ASY23" s="51" t="n"/>
      <c r="ASZ23" s="51" t="n"/>
      <c r="ATA23" s="51" t="n"/>
      <c r="ATB23" s="51" t="n"/>
      <c r="ATC23" s="51" t="n"/>
      <c r="ATD23" s="51" t="n"/>
      <c r="ATE23" s="51" t="n"/>
      <c r="ATF23" s="51" t="n"/>
      <c r="ATG23" s="51" t="n"/>
      <c r="ATH23" s="51" t="n"/>
      <c r="ATI23" s="51" t="n"/>
      <c r="ATJ23" s="51" t="n"/>
      <c r="ATK23" s="51" t="n"/>
      <c r="ATL23" s="51" t="n"/>
      <c r="ATM23" s="51" t="n"/>
      <c r="ATN23" s="51" t="n"/>
      <c r="ATO23" s="51" t="n"/>
      <c r="ATP23" s="51" t="n"/>
      <c r="ATQ23" s="51" t="n"/>
      <c r="ATR23" s="51" t="n"/>
      <c r="ATS23" s="51" t="n"/>
      <c r="ATT23" s="51" t="n"/>
      <c r="ATU23" s="51" t="n"/>
      <c r="ATV23" s="51" t="n"/>
      <c r="ATW23" s="51" t="n"/>
      <c r="ATX23" s="51" t="n"/>
      <c r="ATY23" s="51" t="n"/>
      <c r="ATZ23" s="51" t="n"/>
      <c r="AUA23" s="51" t="n"/>
      <c r="AUB23" s="51" t="n"/>
      <c r="AUC23" s="51" t="n"/>
      <c r="AUD23" s="51" t="n"/>
      <c r="AUE23" s="51" t="n"/>
      <c r="AUF23" s="51" t="n"/>
      <c r="AUG23" s="51" t="n"/>
      <c r="AUH23" s="51" t="n"/>
      <c r="AUI23" s="51" t="n"/>
      <c r="AUJ23" s="51" t="n"/>
      <c r="AUK23" s="51" t="n"/>
      <c r="AUL23" s="51" t="n"/>
      <c r="AUM23" s="51" t="n"/>
      <c r="AUN23" s="51" t="n"/>
      <c r="AUO23" s="51" t="n"/>
      <c r="AUP23" s="51" t="n"/>
      <c r="AUQ23" s="51" t="n"/>
      <c r="AUR23" s="51" t="n"/>
      <c r="AUS23" s="51" t="n"/>
      <c r="AUT23" s="51" t="n"/>
      <c r="AUU23" s="51" t="n"/>
      <c r="AUV23" s="51" t="n"/>
      <c r="AUW23" s="51" t="n"/>
      <c r="AUX23" s="51" t="n"/>
      <c r="AUY23" s="51" t="n"/>
      <c r="AUZ23" s="51" t="n"/>
      <c r="AVA23" s="51" t="n"/>
      <c r="AVB23" s="51" t="n"/>
      <c r="AVC23" s="51" t="n"/>
      <c r="AVD23" s="51" t="n"/>
      <c r="AVE23" s="51" t="n"/>
      <c r="AVF23" s="51" t="n"/>
      <c r="AVG23" s="51" t="n"/>
      <c r="AVH23" s="51" t="n"/>
      <c r="AVI23" s="51" t="n"/>
      <c r="AVJ23" s="51" t="n"/>
      <c r="AVK23" s="51" t="n"/>
      <c r="AVL23" s="51" t="n"/>
      <c r="AVM23" s="51" t="n"/>
      <c r="AVN23" s="51" t="n"/>
      <c r="AVO23" s="51" t="n"/>
      <c r="AVP23" s="51" t="n"/>
      <c r="AVQ23" s="51" t="n"/>
      <c r="AVR23" s="51" t="n"/>
      <c r="AVS23" s="51" t="n"/>
      <c r="AVT23" s="51" t="n"/>
      <c r="AVU23" s="51" t="n"/>
      <c r="AVV23" s="51" t="n"/>
      <c r="AVW23" s="51" t="n"/>
      <c r="AVX23" s="51" t="n"/>
      <c r="AVY23" s="51" t="n"/>
      <c r="AVZ23" s="51" t="n"/>
      <c r="AWA23" s="51" t="n"/>
      <c r="AWB23" s="51" t="n"/>
      <c r="AWC23" s="51" t="n"/>
      <c r="AWD23" s="51" t="n"/>
      <c r="AWE23" s="51" t="n"/>
      <c r="AWF23" s="51" t="n"/>
      <c r="AWG23" s="51" t="n"/>
      <c r="AWH23" s="51" t="n"/>
      <c r="AWI23" s="51" t="n"/>
      <c r="AWJ23" s="51" t="n"/>
      <c r="AWK23" s="51" t="n"/>
      <c r="AWL23" s="51" t="n"/>
      <c r="AWM23" s="51" t="n"/>
      <c r="AWN23" s="51" t="n"/>
      <c r="AWO23" s="51" t="n"/>
      <c r="AWP23" s="51" t="n"/>
      <c r="AWQ23" s="51" t="n"/>
      <c r="AWR23" s="51" t="n"/>
      <c r="AWS23" s="51" t="n"/>
      <c r="AWT23" s="51" t="n"/>
      <c r="AWU23" s="51" t="n"/>
      <c r="AWV23" s="51" t="n"/>
      <c r="AWW23" s="51" t="n"/>
      <c r="AWX23" s="51" t="n"/>
      <c r="AWY23" s="51" t="n"/>
      <c r="AWZ23" s="51" t="n"/>
      <c r="AXA23" s="51" t="n"/>
      <c r="AXB23" s="51" t="n"/>
      <c r="AXC23" s="51" t="n"/>
      <c r="AXD23" s="51" t="n"/>
      <c r="AXE23" s="51" t="n"/>
      <c r="AXF23" s="51" t="n"/>
      <c r="AXG23" s="51" t="n"/>
      <c r="AXH23" s="51" t="n"/>
      <c r="AXI23" s="51" t="n"/>
      <c r="AXJ23" s="51" t="n"/>
      <c r="AXK23" s="51" t="n"/>
      <c r="AXL23" s="51" t="n"/>
      <c r="AXM23" s="51" t="n"/>
      <c r="AXN23" s="51" t="n"/>
      <c r="AXO23" s="51" t="n"/>
      <c r="AXP23" s="51" t="n"/>
      <c r="AXQ23" s="51" t="n"/>
      <c r="AXR23" s="51" t="n"/>
      <c r="AXS23" s="51" t="n"/>
      <c r="AXT23" s="51" t="n"/>
      <c r="AXU23" s="51" t="n"/>
      <c r="AXV23" s="51" t="n"/>
      <c r="AXW23" s="51" t="n"/>
      <c r="AXX23" s="51" t="n"/>
      <c r="AXY23" s="51" t="n"/>
      <c r="AXZ23" s="51" t="n"/>
      <c r="AYA23" s="51" t="n"/>
      <c r="AYB23" s="51" t="n"/>
      <c r="AYC23" s="51" t="n"/>
      <c r="AYD23" s="51" t="n"/>
      <c r="AYE23" s="51" t="n"/>
      <c r="AYF23" s="51" t="n"/>
      <c r="AYG23" s="51" t="n"/>
      <c r="AYH23" s="51" t="n"/>
      <c r="AYI23" s="51" t="n"/>
      <c r="AYJ23" s="51" t="n"/>
      <c r="AYK23" s="51" t="n"/>
      <c r="AYL23" s="51" t="n"/>
      <c r="AYM23" s="51" t="n"/>
      <c r="AYN23" s="51" t="n"/>
      <c r="AYO23" s="51" t="n"/>
      <c r="AYP23" s="51" t="n"/>
      <c r="AYQ23" s="51" t="n"/>
      <c r="AYR23" s="51" t="n"/>
      <c r="AYS23" s="51" t="n"/>
      <c r="AYT23" s="51" t="n"/>
      <c r="AYU23" s="51" t="n"/>
      <c r="AYV23" s="51" t="n"/>
      <c r="AYW23" s="51" t="n"/>
      <c r="AYX23" s="51" t="n"/>
      <c r="AYY23" s="51" t="n"/>
      <c r="AYZ23" s="51" t="n"/>
      <c r="AZA23" s="51" t="n"/>
      <c r="AZB23" s="51" t="n"/>
      <c r="AZC23" s="51" t="n"/>
      <c r="AZD23" s="51" t="n"/>
      <c r="AZE23" s="51" t="n"/>
      <c r="AZF23" s="51" t="n"/>
      <c r="AZG23" s="51" t="n"/>
      <c r="AZH23" s="51" t="n"/>
      <c r="AZI23" s="51" t="n"/>
      <c r="AZJ23" s="51" t="n"/>
      <c r="AZK23" s="51" t="n"/>
      <c r="AZL23" s="51" t="n"/>
      <c r="AZM23" s="51" t="n"/>
      <c r="AZN23" s="51" t="n"/>
      <c r="AZO23" s="51" t="n"/>
      <c r="AZP23" s="51" t="n"/>
      <c r="AZQ23" s="51" t="n"/>
      <c r="AZR23" s="51" t="n"/>
      <c r="AZS23" s="51" t="n"/>
      <c r="AZT23" s="51" t="n"/>
      <c r="AZU23" s="51" t="n"/>
      <c r="AZV23" s="51" t="n"/>
      <c r="AZW23" s="51" t="n"/>
      <c r="AZX23" s="51" t="n"/>
      <c r="AZY23" s="51" t="n"/>
      <c r="AZZ23" s="51" t="n"/>
      <c r="BAA23" s="51" t="n"/>
      <c r="BAB23" s="51" t="n"/>
      <c r="BAC23" s="51" t="n"/>
      <c r="BAD23" s="51" t="n"/>
      <c r="BAE23" s="51" t="n"/>
      <c r="BAF23" s="51" t="n"/>
      <c r="BAG23" s="51" t="n"/>
      <c r="BAH23" s="51" t="n"/>
      <c r="BAI23" s="51" t="n"/>
      <c r="BAJ23" s="51" t="n"/>
      <c r="BAK23" s="51" t="n"/>
      <c r="BAL23" s="51" t="n"/>
      <c r="BAM23" s="51" t="n"/>
      <c r="BAN23" s="51" t="n"/>
      <c r="BAO23" s="51" t="n"/>
      <c r="BAP23" s="51" t="n"/>
      <c r="BAQ23" s="51" t="n"/>
      <c r="BAR23" s="51" t="n"/>
      <c r="BAS23" s="51" t="n"/>
      <c r="BAT23" s="51" t="n"/>
      <c r="BAU23" s="51" t="n"/>
      <c r="BAV23" s="51" t="n"/>
      <c r="BAW23" s="51" t="n"/>
      <c r="BAX23" s="51" t="n"/>
      <c r="BAY23" s="51" t="n"/>
      <c r="BAZ23" s="51" t="n"/>
      <c r="BBA23" s="51" t="n"/>
      <c r="BBB23" s="51" t="n"/>
      <c r="BBC23" s="51" t="n"/>
      <c r="BBD23" s="51" t="n"/>
      <c r="BBE23" s="51" t="n"/>
      <c r="BBF23" s="51" t="n"/>
      <c r="BBG23" s="51" t="n"/>
      <c r="BBH23" s="51" t="n"/>
      <c r="BBI23" s="51" t="n"/>
      <c r="BBJ23" s="51" t="n"/>
      <c r="BBK23" s="51" t="n"/>
      <c r="BBL23" s="51" t="n"/>
      <c r="BBM23" s="51" t="n"/>
      <c r="BBN23" s="51" t="n"/>
      <c r="BBO23" s="51" t="n"/>
      <c r="BBP23" s="51" t="n"/>
    </row>
    <row r="24" ht="13.5" customHeight="1">
      <c r="A24" s="22">
        <f>A23+1</f>
        <v/>
      </c>
      <c r="B24" s="30" t="inlineStr">
        <is>
          <t>BATTERY ABC BESAR</t>
        </is>
      </c>
      <c r="C24" s="126" t="inlineStr">
        <is>
          <t>PCS</t>
        </is>
      </c>
      <c r="D24" s="26">
        <f>'Week  (3)'!U24</f>
        <v/>
      </c>
      <c r="E24" s="125" t="n"/>
      <c r="F24" s="55" t="n"/>
      <c r="G24" s="52" t="n"/>
      <c r="H24" s="55" t="n"/>
      <c r="I24" s="71" t="n"/>
      <c r="J24" s="55" t="n"/>
      <c r="K24" s="18" t="n"/>
      <c r="L24" s="73" t="n"/>
      <c r="M24" s="73" t="n"/>
      <c r="N24" s="73" t="n"/>
      <c r="O24" s="19" t="n"/>
      <c r="P24" s="18" t="n"/>
      <c r="Q24" s="18" t="n"/>
      <c r="R24" s="73" t="n"/>
      <c r="S24" s="18" t="n"/>
      <c r="T24" s="18" t="n"/>
      <c r="U24" s="26">
        <f>D24+F24+-(H24+J24+L24+N24+P24+R24+T24)</f>
        <v/>
      </c>
      <c r="V24" s="51" t="inlineStr">
        <is>
          <t>CONSUMABLE</t>
        </is>
      </c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  <c r="GB24" s="51" t="n"/>
      <c r="GC24" s="51" t="n"/>
      <c r="GD24" s="51" t="n"/>
      <c r="GE24" s="51" t="n"/>
      <c r="GF24" s="51" t="n"/>
      <c r="GG24" s="51" t="n"/>
      <c r="GH24" s="51" t="n"/>
      <c r="GI24" s="51" t="n"/>
      <c r="GJ24" s="51" t="n"/>
      <c r="GK24" s="51" t="n"/>
      <c r="GL24" s="51" t="n"/>
      <c r="GM24" s="51" t="n"/>
      <c r="GN24" s="51" t="n"/>
      <c r="GO24" s="51" t="n"/>
      <c r="GP24" s="51" t="n"/>
      <c r="GQ24" s="51" t="n"/>
      <c r="GR24" s="51" t="n"/>
      <c r="GS24" s="51" t="n"/>
      <c r="GT24" s="51" t="n"/>
      <c r="GU24" s="51" t="n"/>
      <c r="GV24" s="51" t="n"/>
      <c r="GW24" s="51" t="n"/>
      <c r="GX24" s="51" t="n"/>
      <c r="GY24" s="51" t="n"/>
      <c r="GZ24" s="51" t="n"/>
      <c r="HA24" s="51" t="n"/>
      <c r="HB24" s="51" t="n"/>
      <c r="HC24" s="51" t="n"/>
      <c r="HD24" s="51" t="n"/>
      <c r="HE24" s="51" t="n"/>
      <c r="HF24" s="51" t="n"/>
      <c r="HG24" s="51" t="n"/>
      <c r="HH24" s="51" t="n"/>
      <c r="HI24" s="51" t="n"/>
      <c r="HJ24" s="51" t="n"/>
      <c r="HK24" s="51" t="n"/>
      <c r="HL24" s="51" t="n"/>
      <c r="HM24" s="51" t="n"/>
      <c r="HN24" s="51" t="n"/>
      <c r="HO24" s="51" t="n"/>
      <c r="HP24" s="51" t="n"/>
      <c r="HQ24" s="51" t="n"/>
      <c r="HR24" s="51" t="n"/>
      <c r="HS24" s="51" t="n"/>
      <c r="HT24" s="51" t="n"/>
      <c r="HU24" s="51" t="n"/>
      <c r="HV24" s="51" t="n"/>
      <c r="HW24" s="51" t="n"/>
      <c r="HX24" s="51" t="n"/>
      <c r="HY24" s="51" t="n"/>
      <c r="HZ24" s="51" t="n"/>
      <c r="IA24" s="51" t="n"/>
      <c r="IB24" s="51" t="n"/>
      <c r="IC24" s="51" t="n"/>
      <c r="ID24" s="51" t="n"/>
      <c r="IE24" s="51" t="n"/>
      <c r="IF24" s="51" t="n"/>
      <c r="IG24" s="51" t="n"/>
      <c r="IH24" s="51" t="n"/>
      <c r="II24" s="51" t="n"/>
      <c r="IJ24" s="51" t="n"/>
      <c r="IK24" s="51" t="n"/>
      <c r="IL24" s="51" t="n"/>
      <c r="IM24" s="51" t="n"/>
      <c r="IN24" s="51" t="n"/>
      <c r="IO24" s="51" t="n"/>
      <c r="IP24" s="51" t="n"/>
      <c r="IQ24" s="51" t="n"/>
      <c r="IR24" s="51" t="n"/>
      <c r="IS24" s="51" t="n"/>
      <c r="IT24" s="51" t="n"/>
      <c r="IU24" s="51" t="n"/>
      <c r="IV24" s="51" t="n"/>
      <c r="IW24" s="51" t="n"/>
      <c r="IX24" s="51" t="n"/>
      <c r="IY24" s="51" t="n"/>
      <c r="IZ24" s="51" t="n"/>
      <c r="JA24" s="51" t="n"/>
      <c r="JB24" s="51" t="n"/>
      <c r="JC24" s="51" t="n"/>
      <c r="JD24" s="51" t="n"/>
      <c r="JE24" s="51" t="n"/>
      <c r="JF24" s="51" t="n"/>
      <c r="JG24" s="51" t="n"/>
      <c r="JH24" s="51" t="n"/>
      <c r="JI24" s="51" t="n"/>
      <c r="JJ24" s="51" t="n"/>
      <c r="JK24" s="51" t="n"/>
      <c r="JL24" s="51" t="n"/>
      <c r="JM24" s="51" t="n"/>
      <c r="JN24" s="51" t="n"/>
      <c r="JO24" s="51" t="n"/>
      <c r="JP24" s="51" t="n"/>
      <c r="JQ24" s="51" t="n"/>
      <c r="JR24" s="51" t="n"/>
      <c r="JS24" s="51" t="n"/>
      <c r="JT24" s="51" t="n"/>
      <c r="JU24" s="51" t="n"/>
      <c r="JV24" s="51" t="n"/>
      <c r="JW24" s="51" t="n"/>
      <c r="JX24" s="51" t="n"/>
      <c r="JY24" s="51" t="n"/>
      <c r="JZ24" s="51" t="n"/>
      <c r="KA24" s="51" t="n"/>
      <c r="KB24" s="51" t="n"/>
      <c r="KC24" s="51" t="n"/>
      <c r="KD24" s="51" t="n"/>
      <c r="KE24" s="51" t="n"/>
      <c r="KF24" s="51" t="n"/>
      <c r="KG24" s="51" t="n"/>
      <c r="KH24" s="51" t="n"/>
      <c r="KI24" s="51" t="n"/>
      <c r="KJ24" s="51" t="n"/>
      <c r="KK24" s="51" t="n"/>
      <c r="KL24" s="51" t="n"/>
      <c r="KM24" s="51" t="n"/>
      <c r="KN24" s="51" t="n"/>
      <c r="KO24" s="51" t="n"/>
      <c r="KP24" s="51" t="n"/>
      <c r="KQ24" s="51" t="n"/>
      <c r="KR24" s="51" t="n"/>
      <c r="KS24" s="51" t="n"/>
      <c r="KT24" s="51" t="n"/>
      <c r="KU24" s="51" t="n"/>
      <c r="KV24" s="51" t="n"/>
      <c r="KW24" s="51" t="n"/>
      <c r="KX24" s="51" t="n"/>
      <c r="KY24" s="51" t="n"/>
      <c r="KZ24" s="51" t="n"/>
      <c r="LA24" s="51" t="n"/>
      <c r="LB24" s="51" t="n"/>
      <c r="LC24" s="51" t="n"/>
      <c r="LD24" s="51" t="n"/>
      <c r="LE24" s="51" t="n"/>
      <c r="LF24" s="51" t="n"/>
      <c r="LG24" s="51" t="n"/>
      <c r="LH24" s="51" t="n"/>
      <c r="LI24" s="51" t="n"/>
      <c r="LJ24" s="51" t="n"/>
      <c r="LK24" s="51" t="n"/>
      <c r="LL24" s="51" t="n"/>
      <c r="LM24" s="51" t="n"/>
      <c r="LN24" s="51" t="n"/>
      <c r="LO24" s="51" t="n"/>
      <c r="LP24" s="51" t="n"/>
      <c r="LQ24" s="51" t="n"/>
      <c r="LR24" s="51" t="n"/>
      <c r="LS24" s="51" t="n"/>
      <c r="LT24" s="51" t="n"/>
      <c r="LU24" s="51" t="n"/>
      <c r="LV24" s="51" t="n"/>
      <c r="LW24" s="51" t="n"/>
      <c r="LX24" s="51" t="n"/>
      <c r="LY24" s="51" t="n"/>
      <c r="LZ24" s="51" t="n"/>
      <c r="MA24" s="51" t="n"/>
      <c r="MB24" s="51" t="n"/>
      <c r="MC24" s="51" t="n"/>
      <c r="MD24" s="51" t="n"/>
      <c r="ME24" s="51" t="n"/>
      <c r="MF24" s="51" t="n"/>
      <c r="MG24" s="51" t="n"/>
      <c r="MH24" s="51" t="n"/>
      <c r="MI24" s="51" t="n"/>
      <c r="MJ24" s="51" t="n"/>
      <c r="MK24" s="51" t="n"/>
      <c r="ML24" s="51" t="n"/>
      <c r="MM24" s="51" t="n"/>
      <c r="MN24" s="51" t="n"/>
      <c r="MO24" s="51" t="n"/>
      <c r="MP24" s="51" t="n"/>
      <c r="MQ24" s="51" t="n"/>
      <c r="MR24" s="51" t="n"/>
      <c r="MS24" s="51" t="n"/>
      <c r="MT24" s="51" t="n"/>
      <c r="MU24" s="51" t="n"/>
      <c r="MV24" s="51" t="n"/>
      <c r="MW24" s="51" t="n"/>
      <c r="MX24" s="51" t="n"/>
      <c r="MY24" s="51" t="n"/>
      <c r="MZ24" s="51" t="n"/>
      <c r="NA24" s="51" t="n"/>
      <c r="NB24" s="51" t="n"/>
      <c r="NC24" s="51" t="n"/>
      <c r="ND24" s="51" t="n"/>
      <c r="NE24" s="51" t="n"/>
      <c r="NF24" s="51" t="n"/>
      <c r="NG24" s="51" t="n"/>
      <c r="NH24" s="51" t="n"/>
      <c r="NI24" s="51" t="n"/>
      <c r="NJ24" s="51" t="n"/>
      <c r="NK24" s="51" t="n"/>
      <c r="NL24" s="51" t="n"/>
      <c r="NM24" s="51" t="n"/>
      <c r="NN24" s="51" t="n"/>
      <c r="NO24" s="51" t="n"/>
      <c r="NP24" s="51" t="n"/>
      <c r="NQ24" s="51" t="n"/>
      <c r="NR24" s="51" t="n"/>
      <c r="NS24" s="51" t="n"/>
      <c r="NT24" s="51" t="n"/>
      <c r="NU24" s="51" t="n"/>
      <c r="NV24" s="51" t="n"/>
      <c r="NW24" s="51" t="n"/>
      <c r="NX24" s="51" t="n"/>
      <c r="NY24" s="51" t="n"/>
      <c r="NZ24" s="51" t="n"/>
      <c r="OA24" s="51" t="n"/>
      <c r="OB24" s="51" t="n"/>
      <c r="OC24" s="51" t="n"/>
      <c r="OD24" s="51" t="n"/>
      <c r="OE24" s="51" t="n"/>
      <c r="OF24" s="51" t="n"/>
      <c r="OG24" s="51" t="n"/>
      <c r="OH24" s="51" t="n"/>
      <c r="OI24" s="51" t="n"/>
      <c r="OJ24" s="51" t="n"/>
      <c r="OK24" s="51" t="n"/>
      <c r="OL24" s="51" t="n"/>
      <c r="OM24" s="51" t="n"/>
      <c r="ON24" s="51" t="n"/>
      <c r="OO24" s="51" t="n"/>
      <c r="OP24" s="51" t="n"/>
      <c r="OQ24" s="51" t="n"/>
      <c r="OR24" s="51" t="n"/>
      <c r="OS24" s="51" t="n"/>
      <c r="OT24" s="51" t="n"/>
      <c r="OU24" s="51" t="n"/>
      <c r="OV24" s="51" t="n"/>
      <c r="OW24" s="51" t="n"/>
      <c r="OX24" s="51" t="n"/>
      <c r="OY24" s="51" t="n"/>
      <c r="OZ24" s="51" t="n"/>
      <c r="PA24" s="51" t="n"/>
      <c r="PB24" s="51" t="n"/>
      <c r="PC24" s="51" t="n"/>
      <c r="PD24" s="51" t="n"/>
      <c r="PE24" s="51" t="n"/>
      <c r="PF24" s="51" t="n"/>
      <c r="PG24" s="51" t="n"/>
      <c r="PH24" s="51" t="n"/>
      <c r="PI24" s="51" t="n"/>
      <c r="PJ24" s="51" t="n"/>
      <c r="PK24" s="51" t="n"/>
      <c r="PL24" s="51" t="n"/>
      <c r="PM24" s="51" t="n"/>
      <c r="PN24" s="51" t="n"/>
      <c r="PO24" s="51" t="n"/>
      <c r="PP24" s="51" t="n"/>
      <c r="PQ24" s="51" t="n"/>
      <c r="PR24" s="51" t="n"/>
      <c r="PS24" s="51" t="n"/>
      <c r="PT24" s="51" t="n"/>
      <c r="PU24" s="51" t="n"/>
      <c r="PV24" s="51" t="n"/>
      <c r="PW24" s="51" t="n"/>
      <c r="PX24" s="51" t="n"/>
      <c r="PY24" s="51" t="n"/>
      <c r="PZ24" s="51" t="n"/>
      <c r="QA24" s="51" t="n"/>
      <c r="QB24" s="51" t="n"/>
      <c r="QC24" s="51" t="n"/>
      <c r="QD24" s="51" t="n"/>
      <c r="QE24" s="51" t="n"/>
      <c r="QF24" s="51" t="n"/>
      <c r="QG24" s="51" t="n"/>
      <c r="QH24" s="51" t="n"/>
      <c r="QI24" s="51" t="n"/>
      <c r="QJ24" s="51" t="n"/>
      <c r="QK24" s="51" t="n"/>
      <c r="QL24" s="51" t="n"/>
      <c r="QM24" s="51" t="n"/>
      <c r="QN24" s="51" t="n"/>
      <c r="QO24" s="51" t="n"/>
      <c r="QP24" s="51" t="n"/>
      <c r="QQ24" s="51" t="n"/>
      <c r="QR24" s="51" t="n"/>
      <c r="QS24" s="51" t="n"/>
      <c r="QT24" s="51" t="n"/>
      <c r="QU24" s="51" t="n"/>
      <c r="QV24" s="51" t="n"/>
      <c r="QW24" s="51" t="n"/>
      <c r="QX24" s="51" t="n"/>
      <c r="QY24" s="51" t="n"/>
      <c r="QZ24" s="51" t="n"/>
      <c r="RA24" s="51" t="n"/>
      <c r="RB24" s="51" t="n"/>
      <c r="RC24" s="51" t="n"/>
      <c r="RD24" s="51" t="n"/>
      <c r="RE24" s="51" t="n"/>
      <c r="RF24" s="51" t="n"/>
      <c r="RG24" s="51" t="n"/>
      <c r="RH24" s="51" t="n"/>
      <c r="RI24" s="51" t="n"/>
      <c r="RJ24" s="51" t="n"/>
      <c r="RK24" s="51" t="n"/>
      <c r="RL24" s="51" t="n"/>
      <c r="RM24" s="51" t="n"/>
      <c r="RN24" s="51" t="n"/>
      <c r="RO24" s="51" t="n"/>
      <c r="RP24" s="51" t="n"/>
      <c r="RQ24" s="51" t="n"/>
      <c r="RR24" s="51" t="n"/>
      <c r="RS24" s="51" t="n"/>
      <c r="RT24" s="51" t="n"/>
      <c r="RU24" s="51" t="n"/>
      <c r="RV24" s="51" t="n"/>
      <c r="RW24" s="51" t="n"/>
      <c r="RX24" s="51" t="n"/>
      <c r="RY24" s="51" t="n"/>
      <c r="RZ24" s="51" t="n"/>
      <c r="SA24" s="51" t="n"/>
      <c r="SB24" s="51" t="n"/>
      <c r="SC24" s="51" t="n"/>
      <c r="SD24" s="51" t="n"/>
      <c r="SE24" s="51" t="n"/>
      <c r="SF24" s="51" t="n"/>
      <c r="SG24" s="51" t="n"/>
      <c r="SH24" s="51" t="n"/>
      <c r="SI24" s="51" t="n"/>
      <c r="SJ24" s="51" t="n"/>
      <c r="SK24" s="51" t="n"/>
      <c r="SL24" s="51" t="n"/>
      <c r="SM24" s="51" t="n"/>
      <c r="SN24" s="51" t="n"/>
      <c r="SO24" s="51" t="n"/>
      <c r="SP24" s="51" t="n"/>
      <c r="SQ24" s="51" t="n"/>
      <c r="SR24" s="51" t="n"/>
      <c r="SS24" s="51" t="n"/>
      <c r="ST24" s="51" t="n"/>
      <c r="SU24" s="51" t="n"/>
      <c r="SV24" s="51" t="n"/>
      <c r="SW24" s="51" t="n"/>
      <c r="SX24" s="51" t="n"/>
      <c r="SY24" s="51" t="n"/>
      <c r="SZ24" s="51" t="n"/>
      <c r="TA24" s="51" t="n"/>
      <c r="TB24" s="51" t="n"/>
      <c r="TC24" s="51" t="n"/>
      <c r="TD24" s="51" t="n"/>
      <c r="TE24" s="51" t="n"/>
      <c r="TF24" s="51" t="n"/>
      <c r="TG24" s="51" t="n"/>
      <c r="TH24" s="51" t="n"/>
      <c r="TI24" s="51" t="n"/>
      <c r="TJ24" s="51" t="n"/>
      <c r="TK24" s="51" t="n"/>
      <c r="TL24" s="51" t="n"/>
      <c r="TM24" s="51" t="n"/>
      <c r="TN24" s="51" t="n"/>
      <c r="TO24" s="51" t="n"/>
      <c r="TP24" s="51" t="n"/>
      <c r="TQ24" s="51" t="n"/>
      <c r="TR24" s="51" t="n"/>
      <c r="TS24" s="51" t="n"/>
      <c r="TT24" s="51" t="n"/>
      <c r="TU24" s="51" t="n"/>
      <c r="TV24" s="51" t="n"/>
      <c r="TW24" s="51" t="n"/>
      <c r="TX24" s="51" t="n"/>
      <c r="TY24" s="51" t="n"/>
      <c r="TZ24" s="51" t="n"/>
      <c r="UA24" s="51" t="n"/>
      <c r="UB24" s="51" t="n"/>
      <c r="UC24" s="51" t="n"/>
      <c r="UD24" s="51" t="n"/>
      <c r="UE24" s="51" t="n"/>
      <c r="UF24" s="51" t="n"/>
      <c r="UG24" s="51" t="n"/>
      <c r="UH24" s="51" t="n"/>
      <c r="UI24" s="51" t="n"/>
      <c r="UJ24" s="51" t="n"/>
      <c r="UK24" s="51" t="n"/>
      <c r="UL24" s="51" t="n"/>
      <c r="UM24" s="51" t="n"/>
      <c r="UN24" s="51" t="n"/>
      <c r="UO24" s="51" t="n"/>
      <c r="UP24" s="51" t="n"/>
      <c r="UQ24" s="51" t="n"/>
      <c r="UR24" s="51" t="n"/>
      <c r="US24" s="51" t="n"/>
      <c r="UT24" s="51" t="n"/>
      <c r="UU24" s="51" t="n"/>
      <c r="UV24" s="51" t="n"/>
      <c r="UW24" s="51" t="n"/>
      <c r="UX24" s="51" t="n"/>
      <c r="UY24" s="51" t="n"/>
      <c r="UZ24" s="51" t="n"/>
      <c r="VA24" s="51" t="n"/>
      <c r="VB24" s="51" t="n"/>
      <c r="VC24" s="51" t="n"/>
      <c r="VD24" s="51" t="n"/>
      <c r="VE24" s="51" t="n"/>
      <c r="VF24" s="51" t="n"/>
      <c r="VG24" s="51" t="n"/>
      <c r="VH24" s="51" t="n"/>
      <c r="VI24" s="51" t="n"/>
      <c r="VJ24" s="51" t="n"/>
      <c r="VK24" s="51" t="n"/>
      <c r="VL24" s="51" t="n"/>
      <c r="VM24" s="51" t="n"/>
      <c r="VN24" s="51" t="n"/>
      <c r="VO24" s="51" t="n"/>
      <c r="VP24" s="51" t="n"/>
      <c r="VQ24" s="51" t="n"/>
      <c r="VR24" s="51" t="n"/>
      <c r="VS24" s="51" t="n"/>
      <c r="VT24" s="51" t="n"/>
      <c r="VU24" s="51" t="n"/>
      <c r="VV24" s="51" t="n"/>
      <c r="VW24" s="51" t="n"/>
      <c r="VX24" s="51" t="n"/>
      <c r="VY24" s="51" t="n"/>
      <c r="VZ24" s="51" t="n"/>
      <c r="WA24" s="51" t="n"/>
      <c r="WB24" s="51" t="n"/>
      <c r="WC24" s="51" t="n"/>
      <c r="WD24" s="51" t="n"/>
      <c r="WE24" s="51" t="n"/>
      <c r="WF24" s="51" t="n"/>
      <c r="WG24" s="51" t="n"/>
      <c r="WH24" s="51" t="n"/>
      <c r="WI24" s="51" t="n"/>
      <c r="WJ24" s="51" t="n"/>
      <c r="WK24" s="51" t="n"/>
      <c r="WL24" s="51" t="n"/>
      <c r="WM24" s="51" t="n"/>
      <c r="WN24" s="51" t="n"/>
      <c r="WO24" s="51" t="n"/>
      <c r="WP24" s="51" t="n"/>
      <c r="WQ24" s="51" t="n"/>
      <c r="WR24" s="51" t="n"/>
      <c r="WS24" s="51" t="n"/>
      <c r="WT24" s="51" t="n"/>
      <c r="WU24" s="51" t="n"/>
      <c r="WV24" s="51" t="n"/>
      <c r="WW24" s="51" t="n"/>
      <c r="WX24" s="51" t="n"/>
      <c r="WY24" s="51" t="n"/>
      <c r="WZ24" s="51" t="n"/>
      <c r="XA24" s="51" t="n"/>
      <c r="XB24" s="51" t="n"/>
      <c r="XC24" s="51" t="n"/>
      <c r="XD24" s="51" t="n"/>
      <c r="XE24" s="51" t="n"/>
      <c r="XF24" s="51" t="n"/>
      <c r="XG24" s="51" t="n"/>
      <c r="XH24" s="51" t="n"/>
      <c r="XI24" s="51" t="n"/>
      <c r="XJ24" s="51" t="n"/>
      <c r="XK24" s="51" t="n"/>
      <c r="XL24" s="51" t="n"/>
      <c r="XM24" s="51" t="n"/>
      <c r="XN24" s="51" t="n"/>
      <c r="XO24" s="51" t="n"/>
      <c r="XP24" s="51" t="n"/>
      <c r="XQ24" s="51" t="n"/>
      <c r="XR24" s="51" t="n"/>
      <c r="XS24" s="51" t="n"/>
      <c r="XT24" s="51" t="n"/>
      <c r="XU24" s="51" t="n"/>
      <c r="XV24" s="51" t="n"/>
      <c r="XW24" s="51" t="n"/>
      <c r="XX24" s="51" t="n"/>
      <c r="XY24" s="51" t="n"/>
      <c r="XZ24" s="51" t="n"/>
      <c r="YA24" s="51" t="n"/>
      <c r="YB24" s="51" t="n"/>
      <c r="YC24" s="51" t="n"/>
      <c r="YD24" s="51" t="n"/>
      <c r="YE24" s="51" t="n"/>
      <c r="YF24" s="51" t="n"/>
      <c r="YG24" s="51" t="n"/>
      <c r="YH24" s="51" t="n"/>
      <c r="YI24" s="51" t="n"/>
      <c r="YJ24" s="51" t="n"/>
      <c r="YK24" s="51" t="n"/>
      <c r="YL24" s="51" t="n"/>
      <c r="YM24" s="51" t="n"/>
      <c r="YN24" s="51" t="n"/>
      <c r="YO24" s="51" t="n"/>
      <c r="YP24" s="51" t="n"/>
      <c r="YQ24" s="51" t="n"/>
      <c r="YR24" s="51" t="n"/>
      <c r="YS24" s="51" t="n"/>
      <c r="YT24" s="51" t="n"/>
      <c r="YU24" s="51" t="n"/>
      <c r="YV24" s="51" t="n"/>
      <c r="YW24" s="51" t="n"/>
      <c r="YX24" s="51" t="n"/>
      <c r="YY24" s="51" t="n"/>
      <c r="YZ24" s="51" t="n"/>
      <c r="ZA24" s="51" t="n"/>
      <c r="ZB24" s="51" t="n"/>
      <c r="ZC24" s="51" t="n"/>
      <c r="ZD24" s="51" t="n"/>
      <c r="ZE24" s="51" t="n"/>
      <c r="ZF24" s="51" t="n"/>
      <c r="ZG24" s="51" t="n"/>
      <c r="ZH24" s="51" t="n"/>
      <c r="ZI24" s="51" t="n"/>
      <c r="ZJ24" s="51" t="n"/>
      <c r="ZK24" s="51" t="n"/>
      <c r="ZL24" s="51" t="n"/>
      <c r="ZM24" s="51" t="n"/>
      <c r="ZN24" s="51" t="n"/>
      <c r="ZO24" s="51" t="n"/>
      <c r="ZP24" s="51" t="n"/>
      <c r="ZQ24" s="51" t="n"/>
      <c r="ZR24" s="51" t="n"/>
      <c r="ZS24" s="51" t="n"/>
      <c r="ZT24" s="51" t="n"/>
      <c r="ZU24" s="51" t="n"/>
      <c r="ZV24" s="51" t="n"/>
      <c r="ZW24" s="51" t="n"/>
      <c r="ZX24" s="51" t="n"/>
      <c r="ZY24" s="51" t="n"/>
      <c r="ZZ24" s="51" t="n"/>
      <c r="AAA24" s="51" t="n"/>
      <c r="AAB24" s="51" t="n"/>
      <c r="AAC24" s="51" t="n"/>
      <c r="AAD24" s="51" t="n"/>
      <c r="AAE24" s="51" t="n"/>
      <c r="AAF24" s="51" t="n"/>
      <c r="AAG24" s="51" t="n"/>
      <c r="AAH24" s="51" t="n"/>
      <c r="AAI24" s="51" t="n"/>
      <c r="AAJ24" s="51" t="n"/>
      <c r="AAK24" s="51" t="n"/>
      <c r="AAL24" s="51" t="n"/>
      <c r="AAM24" s="51" t="n"/>
      <c r="AAN24" s="51" t="n"/>
      <c r="AAO24" s="51" t="n"/>
      <c r="AAP24" s="51" t="n"/>
      <c r="AAQ24" s="51" t="n"/>
      <c r="AAR24" s="51" t="n"/>
      <c r="AAS24" s="51" t="n"/>
      <c r="AAT24" s="51" t="n"/>
      <c r="AAU24" s="51" t="n"/>
      <c r="AAV24" s="51" t="n"/>
      <c r="AAW24" s="51" t="n"/>
      <c r="AAX24" s="51" t="n"/>
      <c r="AAY24" s="51" t="n"/>
      <c r="AAZ24" s="51" t="n"/>
      <c r="ABA24" s="51" t="n"/>
      <c r="ABB24" s="51" t="n"/>
      <c r="ABC24" s="51" t="n"/>
      <c r="ABD24" s="51" t="n"/>
      <c r="ABE24" s="51" t="n"/>
      <c r="ABF24" s="51" t="n"/>
      <c r="ABG24" s="51" t="n"/>
      <c r="ABH24" s="51" t="n"/>
      <c r="ABI24" s="51" t="n"/>
      <c r="ABJ24" s="51" t="n"/>
      <c r="ABK24" s="51" t="n"/>
      <c r="ABL24" s="51" t="n"/>
      <c r="ABM24" s="51" t="n"/>
      <c r="ABN24" s="51" t="n"/>
      <c r="ABO24" s="51" t="n"/>
      <c r="ABP24" s="51" t="n"/>
      <c r="ABQ24" s="51" t="n"/>
      <c r="ABR24" s="51" t="n"/>
      <c r="ABS24" s="51" t="n"/>
      <c r="ABT24" s="51" t="n"/>
      <c r="ABU24" s="51" t="n"/>
      <c r="ABV24" s="51" t="n"/>
      <c r="ABW24" s="51" t="n"/>
      <c r="ABX24" s="51" t="n"/>
      <c r="ABY24" s="51" t="n"/>
      <c r="ABZ24" s="51" t="n"/>
      <c r="ACA24" s="51" t="n"/>
      <c r="ACB24" s="51" t="n"/>
      <c r="ACC24" s="51" t="n"/>
      <c r="ACD24" s="51" t="n"/>
      <c r="ACE24" s="51" t="n"/>
      <c r="ACF24" s="51" t="n"/>
      <c r="ACG24" s="51" t="n"/>
      <c r="ACH24" s="51" t="n"/>
      <c r="ACI24" s="51" t="n"/>
      <c r="ACJ24" s="51" t="n"/>
      <c r="ACK24" s="51" t="n"/>
      <c r="ACL24" s="51" t="n"/>
      <c r="ACM24" s="51" t="n"/>
      <c r="ACN24" s="51" t="n"/>
      <c r="ACO24" s="51" t="n"/>
      <c r="ACP24" s="51" t="n"/>
      <c r="ACQ24" s="51" t="n"/>
      <c r="ACR24" s="51" t="n"/>
      <c r="ACS24" s="51" t="n"/>
      <c r="ACT24" s="51" t="n"/>
      <c r="ACU24" s="51" t="n"/>
      <c r="ACV24" s="51" t="n"/>
      <c r="ACW24" s="51" t="n"/>
      <c r="ACX24" s="51" t="n"/>
      <c r="ACY24" s="51" t="n"/>
      <c r="ACZ24" s="51" t="n"/>
      <c r="ADA24" s="51" t="n"/>
      <c r="ADB24" s="51" t="n"/>
      <c r="ADC24" s="51" t="n"/>
      <c r="ADD24" s="51" t="n"/>
      <c r="ADE24" s="51" t="n"/>
      <c r="ADF24" s="51" t="n"/>
      <c r="ADG24" s="51" t="n"/>
      <c r="ADH24" s="51" t="n"/>
      <c r="ADI24" s="51" t="n"/>
      <c r="ADJ24" s="51" t="n"/>
      <c r="ADK24" s="51" t="n"/>
      <c r="ADL24" s="51" t="n"/>
      <c r="ADM24" s="51" t="n"/>
      <c r="ADN24" s="51" t="n"/>
      <c r="ADO24" s="51" t="n"/>
      <c r="ADP24" s="51" t="n"/>
      <c r="ADQ24" s="51" t="n"/>
      <c r="ADR24" s="51" t="n"/>
      <c r="ADS24" s="51" t="n"/>
      <c r="ADT24" s="51" t="n"/>
      <c r="ADU24" s="51" t="n"/>
      <c r="ADV24" s="51" t="n"/>
      <c r="ADW24" s="51" t="n"/>
      <c r="ADX24" s="51" t="n"/>
      <c r="ADY24" s="51" t="n"/>
      <c r="ADZ24" s="51" t="n"/>
      <c r="AEA24" s="51" t="n"/>
      <c r="AEB24" s="51" t="n"/>
      <c r="AEC24" s="51" t="n"/>
      <c r="AED24" s="51" t="n"/>
      <c r="AEE24" s="51" t="n"/>
      <c r="AEF24" s="51" t="n"/>
      <c r="AEG24" s="51" t="n"/>
      <c r="AEH24" s="51" t="n"/>
      <c r="AEI24" s="51" t="n"/>
      <c r="AEJ24" s="51" t="n"/>
      <c r="AEK24" s="51" t="n"/>
      <c r="AEL24" s="51" t="n"/>
      <c r="AEM24" s="51" t="n"/>
      <c r="AEN24" s="51" t="n"/>
      <c r="AEO24" s="51" t="n"/>
      <c r="AEP24" s="51" t="n"/>
      <c r="AEQ24" s="51" t="n"/>
      <c r="AER24" s="51" t="n"/>
      <c r="AES24" s="51" t="n"/>
      <c r="AET24" s="51" t="n"/>
      <c r="AEU24" s="51" t="n"/>
      <c r="AEV24" s="51" t="n"/>
      <c r="AEW24" s="51" t="n"/>
      <c r="AEX24" s="51" t="n"/>
      <c r="AEY24" s="51" t="n"/>
      <c r="AEZ24" s="51" t="n"/>
      <c r="AFA24" s="51" t="n"/>
      <c r="AFB24" s="51" t="n"/>
      <c r="AFC24" s="51" t="n"/>
      <c r="AFD24" s="51" t="n"/>
      <c r="AFE24" s="51" t="n"/>
      <c r="AFF24" s="51" t="n"/>
      <c r="AFG24" s="51" t="n"/>
      <c r="AFH24" s="51" t="n"/>
      <c r="AFI24" s="51" t="n"/>
      <c r="AFJ24" s="51" t="n"/>
      <c r="AFK24" s="51" t="n"/>
      <c r="AFL24" s="51" t="n"/>
      <c r="AFM24" s="51" t="n"/>
      <c r="AFN24" s="51" t="n"/>
      <c r="AFO24" s="51" t="n"/>
      <c r="AFP24" s="51" t="n"/>
      <c r="AFQ24" s="51" t="n"/>
      <c r="AFR24" s="51" t="n"/>
      <c r="AFS24" s="51" t="n"/>
      <c r="AFT24" s="51" t="n"/>
      <c r="AFU24" s="51" t="n"/>
      <c r="AFV24" s="51" t="n"/>
      <c r="AFW24" s="51" t="n"/>
      <c r="AFX24" s="51" t="n"/>
      <c r="AFY24" s="51" t="n"/>
      <c r="AFZ24" s="51" t="n"/>
      <c r="AGA24" s="51" t="n"/>
      <c r="AGB24" s="51" t="n"/>
      <c r="AGC24" s="51" t="n"/>
      <c r="AGD24" s="51" t="n"/>
      <c r="AGE24" s="51" t="n"/>
      <c r="AGF24" s="51" t="n"/>
      <c r="AGG24" s="51" t="n"/>
      <c r="AGH24" s="51" t="n"/>
      <c r="AGI24" s="51" t="n"/>
      <c r="AGJ24" s="51" t="n"/>
      <c r="AGK24" s="51" t="n"/>
      <c r="AGL24" s="51" t="n"/>
      <c r="AGM24" s="51" t="n"/>
      <c r="AGN24" s="51" t="n"/>
      <c r="AGO24" s="51" t="n"/>
      <c r="AGP24" s="51" t="n"/>
      <c r="AGQ24" s="51" t="n"/>
      <c r="AGR24" s="51" t="n"/>
      <c r="AGS24" s="51" t="n"/>
      <c r="AGT24" s="51" t="n"/>
      <c r="AGU24" s="51" t="n"/>
      <c r="AGV24" s="51" t="n"/>
      <c r="AGW24" s="51" t="n"/>
      <c r="AGX24" s="51" t="n"/>
      <c r="AGY24" s="51" t="n"/>
      <c r="AGZ24" s="51" t="n"/>
      <c r="AHA24" s="51" t="n"/>
      <c r="AHB24" s="51" t="n"/>
      <c r="AHC24" s="51" t="n"/>
      <c r="AHD24" s="51" t="n"/>
      <c r="AHE24" s="51" t="n"/>
      <c r="AHF24" s="51" t="n"/>
      <c r="AHG24" s="51" t="n"/>
      <c r="AHH24" s="51" t="n"/>
      <c r="AHI24" s="51" t="n"/>
      <c r="AHJ24" s="51" t="n"/>
      <c r="AHK24" s="51" t="n"/>
      <c r="AHL24" s="51" t="n"/>
      <c r="AHM24" s="51" t="n"/>
      <c r="AHN24" s="51" t="n"/>
      <c r="AHO24" s="51" t="n"/>
      <c r="AHP24" s="51" t="n"/>
      <c r="AHQ24" s="51" t="n"/>
      <c r="AHR24" s="51" t="n"/>
      <c r="AHS24" s="51" t="n"/>
      <c r="AHT24" s="51" t="n"/>
      <c r="AHU24" s="51" t="n"/>
      <c r="AHV24" s="51" t="n"/>
      <c r="AHW24" s="51" t="n"/>
      <c r="AHX24" s="51" t="n"/>
      <c r="AHY24" s="51" t="n"/>
      <c r="AHZ24" s="51" t="n"/>
      <c r="AIA24" s="51" t="n"/>
      <c r="AIB24" s="51" t="n"/>
      <c r="AIC24" s="51" t="n"/>
      <c r="AID24" s="51" t="n"/>
      <c r="AIE24" s="51" t="n"/>
      <c r="AIF24" s="51" t="n"/>
      <c r="AIG24" s="51" t="n"/>
      <c r="AIH24" s="51" t="n"/>
      <c r="AII24" s="51" t="n"/>
      <c r="AIJ24" s="51" t="n"/>
      <c r="AIK24" s="51" t="n"/>
      <c r="AIL24" s="51" t="n"/>
      <c r="AIM24" s="51" t="n"/>
      <c r="AIN24" s="51" t="n"/>
      <c r="AIO24" s="51" t="n"/>
      <c r="AIP24" s="51" t="n"/>
      <c r="AIQ24" s="51" t="n"/>
      <c r="AIR24" s="51" t="n"/>
      <c r="AIS24" s="51" t="n"/>
      <c r="AIT24" s="51" t="n"/>
      <c r="AIU24" s="51" t="n"/>
      <c r="AIV24" s="51" t="n"/>
      <c r="AIW24" s="51" t="n"/>
      <c r="AIX24" s="51" t="n"/>
      <c r="AIY24" s="51" t="n"/>
      <c r="AIZ24" s="51" t="n"/>
      <c r="AJA24" s="51" t="n"/>
      <c r="AJB24" s="51" t="n"/>
      <c r="AJC24" s="51" t="n"/>
      <c r="AJD24" s="51" t="n"/>
      <c r="AJE24" s="51" t="n"/>
      <c r="AJF24" s="51" t="n"/>
      <c r="AJG24" s="51" t="n"/>
      <c r="AJH24" s="51" t="n"/>
      <c r="AJI24" s="51" t="n"/>
      <c r="AJJ24" s="51" t="n"/>
      <c r="AJK24" s="51" t="n"/>
      <c r="AJL24" s="51" t="n"/>
      <c r="AJM24" s="51" t="n"/>
      <c r="AJN24" s="51" t="n"/>
      <c r="AJO24" s="51" t="n"/>
      <c r="AJP24" s="51" t="n"/>
      <c r="AJQ24" s="51" t="n"/>
      <c r="AJR24" s="51" t="n"/>
      <c r="AJS24" s="51" t="n"/>
      <c r="AJT24" s="51" t="n"/>
      <c r="AJU24" s="51" t="n"/>
      <c r="AJV24" s="51" t="n"/>
      <c r="AJW24" s="51" t="n"/>
      <c r="AJX24" s="51" t="n"/>
      <c r="AJY24" s="51" t="n"/>
      <c r="AJZ24" s="51" t="n"/>
      <c r="AKA24" s="51" t="n"/>
      <c r="AKB24" s="51" t="n"/>
      <c r="AKC24" s="51" t="n"/>
      <c r="AKD24" s="51" t="n"/>
      <c r="AKE24" s="51" t="n"/>
      <c r="AKF24" s="51" t="n"/>
      <c r="AKG24" s="51" t="n"/>
      <c r="AKH24" s="51" t="n"/>
      <c r="AKI24" s="51" t="n"/>
      <c r="AKJ24" s="51" t="n"/>
      <c r="AKK24" s="51" t="n"/>
      <c r="AKL24" s="51" t="n"/>
      <c r="AKM24" s="51" t="n"/>
      <c r="AKN24" s="51" t="n"/>
      <c r="AKO24" s="51" t="n"/>
      <c r="AKP24" s="51" t="n"/>
      <c r="AKQ24" s="51" t="n"/>
      <c r="AKR24" s="51" t="n"/>
      <c r="AKS24" s="51" t="n"/>
      <c r="AKT24" s="51" t="n"/>
      <c r="AKU24" s="51" t="n"/>
      <c r="AKV24" s="51" t="n"/>
      <c r="AKW24" s="51" t="n"/>
      <c r="AKX24" s="51" t="n"/>
      <c r="AKY24" s="51" t="n"/>
      <c r="AKZ24" s="51" t="n"/>
      <c r="ALA24" s="51" t="n"/>
      <c r="ALB24" s="51" t="n"/>
      <c r="ALC24" s="51" t="n"/>
      <c r="ALD24" s="51" t="n"/>
      <c r="ALE24" s="51" t="n"/>
      <c r="ALF24" s="51" t="n"/>
      <c r="ALG24" s="51" t="n"/>
      <c r="ALH24" s="51" t="n"/>
      <c r="ALI24" s="51" t="n"/>
      <c r="ALJ24" s="51" t="n"/>
      <c r="ALK24" s="51" t="n"/>
      <c r="ALL24" s="51" t="n"/>
      <c r="ALM24" s="51" t="n"/>
      <c r="ALN24" s="51" t="n"/>
      <c r="ALO24" s="51" t="n"/>
      <c r="ALP24" s="51" t="n"/>
      <c r="ALQ24" s="51" t="n"/>
      <c r="ALR24" s="51" t="n"/>
      <c r="ALS24" s="51" t="n"/>
      <c r="ALT24" s="51" t="n"/>
      <c r="ALU24" s="51" t="n"/>
      <c r="ALV24" s="51" t="n"/>
      <c r="ALW24" s="51" t="n"/>
      <c r="ALX24" s="51" t="n"/>
      <c r="ALY24" s="51" t="n"/>
      <c r="ALZ24" s="51" t="n"/>
      <c r="AMA24" s="51" t="n"/>
      <c r="AMB24" s="51" t="n"/>
      <c r="AMC24" s="51" t="n"/>
      <c r="AMD24" s="51" t="n"/>
      <c r="AME24" s="51" t="n"/>
      <c r="AMF24" s="51" t="n"/>
      <c r="AMG24" s="51" t="n"/>
      <c r="AMH24" s="51" t="n"/>
      <c r="AMI24" s="51" t="n"/>
      <c r="AMJ24" s="51" t="n"/>
      <c r="AMK24" s="51" t="n"/>
      <c r="AML24" s="51" t="n"/>
      <c r="AMM24" s="51" t="n"/>
      <c r="AMN24" s="51" t="n"/>
      <c r="AMO24" s="51" t="n"/>
      <c r="AMP24" s="51" t="n"/>
      <c r="AMQ24" s="51" t="n"/>
      <c r="AMR24" s="51" t="n"/>
      <c r="AMS24" s="51" t="n"/>
      <c r="AMT24" s="51" t="n"/>
      <c r="AMU24" s="51" t="n"/>
      <c r="AMV24" s="51" t="n"/>
      <c r="AMW24" s="51" t="n"/>
      <c r="AMX24" s="51" t="n"/>
      <c r="AMY24" s="51" t="n"/>
      <c r="AMZ24" s="51" t="n"/>
      <c r="ANA24" s="51" t="n"/>
      <c r="ANB24" s="51" t="n"/>
      <c r="ANC24" s="51" t="n"/>
      <c r="AND24" s="51" t="n"/>
      <c r="ANE24" s="51" t="n"/>
      <c r="ANF24" s="51" t="n"/>
      <c r="ANG24" s="51" t="n"/>
      <c r="ANH24" s="51" t="n"/>
      <c r="ANI24" s="51" t="n"/>
      <c r="ANJ24" s="51" t="n"/>
      <c r="ANK24" s="51" t="n"/>
      <c r="ANL24" s="51" t="n"/>
      <c r="ANM24" s="51" t="n"/>
      <c r="ANN24" s="51" t="n"/>
      <c r="ANO24" s="51" t="n"/>
      <c r="ANP24" s="51" t="n"/>
      <c r="ANQ24" s="51" t="n"/>
      <c r="ANR24" s="51" t="n"/>
      <c r="ANS24" s="51" t="n"/>
      <c r="ANT24" s="51" t="n"/>
      <c r="ANU24" s="51" t="n"/>
      <c r="ANV24" s="51" t="n"/>
      <c r="ANW24" s="51" t="n"/>
      <c r="ANX24" s="51" t="n"/>
      <c r="ANY24" s="51" t="n"/>
      <c r="ANZ24" s="51" t="n"/>
      <c r="AOA24" s="51" t="n"/>
      <c r="AOB24" s="51" t="n"/>
      <c r="AOC24" s="51" t="n"/>
      <c r="AOD24" s="51" t="n"/>
      <c r="AOE24" s="51" t="n"/>
      <c r="AOF24" s="51" t="n"/>
      <c r="AOG24" s="51" t="n"/>
      <c r="AOH24" s="51" t="n"/>
      <c r="AOI24" s="51" t="n"/>
      <c r="AOJ24" s="51" t="n"/>
      <c r="AOK24" s="51" t="n"/>
      <c r="AOL24" s="51" t="n"/>
      <c r="AOM24" s="51" t="n"/>
      <c r="AON24" s="51" t="n"/>
      <c r="AOO24" s="51" t="n"/>
      <c r="AOP24" s="51" t="n"/>
      <c r="AOQ24" s="51" t="n"/>
      <c r="AOR24" s="51" t="n"/>
      <c r="AOS24" s="51" t="n"/>
      <c r="AOT24" s="51" t="n"/>
      <c r="AOU24" s="51" t="n"/>
      <c r="AOV24" s="51" t="n"/>
      <c r="AOW24" s="51" t="n"/>
      <c r="AOX24" s="51" t="n"/>
      <c r="AOY24" s="51" t="n"/>
      <c r="AOZ24" s="51" t="n"/>
      <c r="APA24" s="51" t="n"/>
      <c r="APB24" s="51" t="n"/>
      <c r="APC24" s="51" t="n"/>
      <c r="APD24" s="51" t="n"/>
      <c r="APE24" s="51" t="n"/>
      <c r="APF24" s="51" t="n"/>
      <c r="APG24" s="51" t="n"/>
      <c r="APH24" s="51" t="n"/>
      <c r="API24" s="51" t="n"/>
      <c r="APJ24" s="51" t="n"/>
      <c r="APK24" s="51" t="n"/>
      <c r="APL24" s="51" t="n"/>
      <c r="APM24" s="51" t="n"/>
      <c r="APN24" s="51" t="n"/>
      <c r="APO24" s="51" t="n"/>
      <c r="APP24" s="51" t="n"/>
      <c r="APQ24" s="51" t="n"/>
      <c r="APR24" s="51" t="n"/>
      <c r="APS24" s="51" t="n"/>
      <c r="APT24" s="51" t="n"/>
      <c r="APU24" s="51" t="n"/>
      <c r="APV24" s="51" t="n"/>
      <c r="APW24" s="51" t="n"/>
      <c r="APX24" s="51" t="n"/>
      <c r="APY24" s="51" t="n"/>
      <c r="APZ24" s="51" t="n"/>
      <c r="AQA24" s="51" t="n"/>
      <c r="AQB24" s="51" t="n"/>
      <c r="AQC24" s="51" t="n"/>
      <c r="AQD24" s="51" t="n"/>
      <c r="AQE24" s="51" t="n"/>
      <c r="AQF24" s="51" t="n"/>
      <c r="AQG24" s="51" t="n"/>
      <c r="AQH24" s="51" t="n"/>
      <c r="AQI24" s="51" t="n"/>
      <c r="AQJ24" s="51" t="n"/>
      <c r="AQK24" s="51" t="n"/>
      <c r="AQL24" s="51" t="n"/>
      <c r="AQM24" s="51" t="n"/>
      <c r="AQN24" s="51" t="n"/>
      <c r="AQO24" s="51" t="n"/>
      <c r="AQP24" s="51" t="n"/>
      <c r="AQQ24" s="51" t="n"/>
      <c r="AQR24" s="51" t="n"/>
      <c r="AQS24" s="51" t="n"/>
      <c r="AQT24" s="51" t="n"/>
      <c r="AQU24" s="51" t="n"/>
      <c r="AQV24" s="51" t="n"/>
      <c r="AQW24" s="51" t="n"/>
      <c r="AQX24" s="51" t="n"/>
      <c r="AQY24" s="51" t="n"/>
      <c r="AQZ24" s="51" t="n"/>
      <c r="ARA24" s="51" t="n"/>
      <c r="ARB24" s="51" t="n"/>
      <c r="ARC24" s="51" t="n"/>
      <c r="ARD24" s="51" t="n"/>
      <c r="ARE24" s="51" t="n"/>
      <c r="ARF24" s="51" t="n"/>
      <c r="ARG24" s="51" t="n"/>
      <c r="ARH24" s="51" t="n"/>
      <c r="ARI24" s="51" t="n"/>
      <c r="ARJ24" s="51" t="n"/>
      <c r="ARK24" s="51" t="n"/>
      <c r="ARL24" s="51" t="n"/>
      <c r="ARM24" s="51" t="n"/>
      <c r="ARN24" s="51" t="n"/>
      <c r="ARO24" s="51" t="n"/>
      <c r="ARP24" s="51" t="n"/>
      <c r="ARQ24" s="51" t="n"/>
      <c r="ARR24" s="51" t="n"/>
      <c r="ARS24" s="51" t="n"/>
      <c r="ART24" s="51" t="n"/>
      <c r="ARU24" s="51" t="n"/>
      <c r="ARV24" s="51" t="n"/>
      <c r="ARW24" s="51" t="n"/>
      <c r="ARX24" s="51" t="n"/>
      <c r="ARY24" s="51" t="n"/>
      <c r="ARZ24" s="51" t="n"/>
      <c r="ASA24" s="51" t="n"/>
      <c r="ASB24" s="51" t="n"/>
      <c r="ASC24" s="51" t="n"/>
      <c r="ASD24" s="51" t="n"/>
      <c r="ASE24" s="51" t="n"/>
      <c r="ASF24" s="51" t="n"/>
      <c r="ASG24" s="51" t="n"/>
      <c r="ASH24" s="51" t="n"/>
      <c r="ASI24" s="51" t="n"/>
      <c r="ASJ24" s="51" t="n"/>
      <c r="ASK24" s="51" t="n"/>
      <c r="ASL24" s="51" t="n"/>
      <c r="ASM24" s="51" t="n"/>
      <c r="ASN24" s="51" t="n"/>
      <c r="ASO24" s="51" t="n"/>
      <c r="ASP24" s="51" t="n"/>
      <c r="ASQ24" s="51" t="n"/>
      <c r="ASR24" s="51" t="n"/>
      <c r="ASS24" s="51" t="n"/>
      <c r="AST24" s="51" t="n"/>
      <c r="ASU24" s="51" t="n"/>
      <c r="ASV24" s="51" t="n"/>
      <c r="ASW24" s="51" t="n"/>
      <c r="ASX24" s="51" t="n"/>
      <c r="ASY24" s="51" t="n"/>
      <c r="ASZ24" s="51" t="n"/>
      <c r="ATA24" s="51" t="n"/>
      <c r="ATB24" s="51" t="n"/>
      <c r="ATC24" s="51" t="n"/>
      <c r="ATD24" s="51" t="n"/>
      <c r="ATE24" s="51" t="n"/>
      <c r="ATF24" s="51" t="n"/>
      <c r="ATG24" s="51" t="n"/>
      <c r="ATH24" s="51" t="n"/>
      <c r="ATI24" s="51" t="n"/>
      <c r="ATJ24" s="51" t="n"/>
      <c r="ATK24" s="51" t="n"/>
      <c r="ATL24" s="51" t="n"/>
      <c r="ATM24" s="51" t="n"/>
      <c r="ATN24" s="51" t="n"/>
      <c r="ATO24" s="51" t="n"/>
      <c r="ATP24" s="51" t="n"/>
      <c r="ATQ24" s="51" t="n"/>
      <c r="ATR24" s="51" t="n"/>
      <c r="ATS24" s="51" t="n"/>
      <c r="ATT24" s="51" t="n"/>
      <c r="ATU24" s="51" t="n"/>
      <c r="ATV24" s="51" t="n"/>
      <c r="ATW24" s="51" t="n"/>
      <c r="ATX24" s="51" t="n"/>
      <c r="ATY24" s="51" t="n"/>
      <c r="ATZ24" s="51" t="n"/>
      <c r="AUA24" s="51" t="n"/>
      <c r="AUB24" s="51" t="n"/>
      <c r="AUC24" s="51" t="n"/>
      <c r="AUD24" s="51" t="n"/>
      <c r="AUE24" s="51" t="n"/>
      <c r="AUF24" s="51" t="n"/>
      <c r="AUG24" s="51" t="n"/>
      <c r="AUH24" s="51" t="n"/>
      <c r="AUI24" s="51" t="n"/>
      <c r="AUJ24" s="51" t="n"/>
      <c r="AUK24" s="51" t="n"/>
      <c r="AUL24" s="51" t="n"/>
      <c r="AUM24" s="51" t="n"/>
      <c r="AUN24" s="51" t="n"/>
      <c r="AUO24" s="51" t="n"/>
      <c r="AUP24" s="51" t="n"/>
      <c r="AUQ24" s="51" t="n"/>
      <c r="AUR24" s="51" t="n"/>
      <c r="AUS24" s="51" t="n"/>
      <c r="AUT24" s="51" t="n"/>
      <c r="AUU24" s="51" t="n"/>
      <c r="AUV24" s="51" t="n"/>
      <c r="AUW24" s="51" t="n"/>
      <c r="AUX24" s="51" t="n"/>
      <c r="AUY24" s="51" t="n"/>
      <c r="AUZ24" s="51" t="n"/>
      <c r="AVA24" s="51" t="n"/>
      <c r="AVB24" s="51" t="n"/>
      <c r="AVC24" s="51" t="n"/>
      <c r="AVD24" s="51" t="n"/>
      <c r="AVE24" s="51" t="n"/>
      <c r="AVF24" s="51" t="n"/>
      <c r="AVG24" s="51" t="n"/>
      <c r="AVH24" s="51" t="n"/>
      <c r="AVI24" s="51" t="n"/>
      <c r="AVJ24" s="51" t="n"/>
      <c r="AVK24" s="51" t="n"/>
      <c r="AVL24" s="51" t="n"/>
      <c r="AVM24" s="51" t="n"/>
      <c r="AVN24" s="51" t="n"/>
      <c r="AVO24" s="51" t="n"/>
      <c r="AVP24" s="51" t="n"/>
      <c r="AVQ24" s="51" t="n"/>
      <c r="AVR24" s="51" t="n"/>
      <c r="AVS24" s="51" t="n"/>
      <c r="AVT24" s="51" t="n"/>
      <c r="AVU24" s="51" t="n"/>
      <c r="AVV24" s="51" t="n"/>
      <c r="AVW24" s="51" t="n"/>
      <c r="AVX24" s="51" t="n"/>
      <c r="AVY24" s="51" t="n"/>
      <c r="AVZ24" s="51" t="n"/>
      <c r="AWA24" s="51" t="n"/>
      <c r="AWB24" s="51" t="n"/>
      <c r="AWC24" s="51" t="n"/>
      <c r="AWD24" s="51" t="n"/>
      <c r="AWE24" s="51" t="n"/>
      <c r="AWF24" s="51" t="n"/>
      <c r="AWG24" s="51" t="n"/>
      <c r="AWH24" s="51" t="n"/>
      <c r="AWI24" s="51" t="n"/>
      <c r="AWJ24" s="51" t="n"/>
      <c r="AWK24" s="51" t="n"/>
      <c r="AWL24" s="51" t="n"/>
      <c r="AWM24" s="51" t="n"/>
      <c r="AWN24" s="51" t="n"/>
      <c r="AWO24" s="51" t="n"/>
      <c r="AWP24" s="51" t="n"/>
      <c r="AWQ24" s="51" t="n"/>
      <c r="AWR24" s="51" t="n"/>
      <c r="AWS24" s="51" t="n"/>
      <c r="AWT24" s="51" t="n"/>
      <c r="AWU24" s="51" t="n"/>
      <c r="AWV24" s="51" t="n"/>
      <c r="AWW24" s="51" t="n"/>
      <c r="AWX24" s="51" t="n"/>
      <c r="AWY24" s="51" t="n"/>
      <c r="AWZ24" s="51" t="n"/>
      <c r="AXA24" s="51" t="n"/>
      <c r="AXB24" s="51" t="n"/>
      <c r="AXC24" s="51" t="n"/>
      <c r="AXD24" s="51" t="n"/>
      <c r="AXE24" s="51" t="n"/>
      <c r="AXF24" s="51" t="n"/>
      <c r="AXG24" s="51" t="n"/>
      <c r="AXH24" s="51" t="n"/>
      <c r="AXI24" s="51" t="n"/>
      <c r="AXJ24" s="51" t="n"/>
      <c r="AXK24" s="51" t="n"/>
      <c r="AXL24" s="51" t="n"/>
      <c r="AXM24" s="51" t="n"/>
      <c r="AXN24" s="51" t="n"/>
      <c r="AXO24" s="51" t="n"/>
      <c r="AXP24" s="51" t="n"/>
      <c r="AXQ24" s="51" t="n"/>
      <c r="AXR24" s="51" t="n"/>
      <c r="AXS24" s="51" t="n"/>
      <c r="AXT24" s="51" t="n"/>
      <c r="AXU24" s="51" t="n"/>
      <c r="AXV24" s="51" t="n"/>
      <c r="AXW24" s="51" t="n"/>
      <c r="AXX24" s="51" t="n"/>
      <c r="AXY24" s="51" t="n"/>
      <c r="AXZ24" s="51" t="n"/>
      <c r="AYA24" s="51" t="n"/>
      <c r="AYB24" s="51" t="n"/>
      <c r="AYC24" s="51" t="n"/>
      <c r="AYD24" s="51" t="n"/>
      <c r="AYE24" s="51" t="n"/>
      <c r="AYF24" s="51" t="n"/>
      <c r="AYG24" s="51" t="n"/>
      <c r="AYH24" s="51" t="n"/>
      <c r="AYI24" s="51" t="n"/>
      <c r="AYJ24" s="51" t="n"/>
      <c r="AYK24" s="51" t="n"/>
      <c r="AYL24" s="51" t="n"/>
      <c r="AYM24" s="51" t="n"/>
      <c r="AYN24" s="51" t="n"/>
      <c r="AYO24" s="51" t="n"/>
      <c r="AYP24" s="51" t="n"/>
      <c r="AYQ24" s="51" t="n"/>
      <c r="AYR24" s="51" t="n"/>
      <c r="AYS24" s="51" t="n"/>
      <c r="AYT24" s="51" t="n"/>
      <c r="AYU24" s="51" t="n"/>
      <c r="AYV24" s="51" t="n"/>
      <c r="AYW24" s="51" t="n"/>
      <c r="AYX24" s="51" t="n"/>
      <c r="AYY24" s="51" t="n"/>
      <c r="AYZ24" s="51" t="n"/>
      <c r="AZA24" s="51" t="n"/>
      <c r="AZB24" s="51" t="n"/>
      <c r="AZC24" s="51" t="n"/>
      <c r="AZD24" s="51" t="n"/>
      <c r="AZE24" s="51" t="n"/>
      <c r="AZF24" s="51" t="n"/>
      <c r="AZG24" s="51" t="n"/>
      <c r="AZH24" s="51" t="n"/>
      <c r="AZI24" s="51" t="n"/>
      <c r="AZJ24" s="51" t="n"/>
      <c r="AZK24" s="51" t="n"/>
      <c r="AZL24" s="51" t="n"/>
      <c r="AZM24" s="51" t="n"/>
      <c r="AZN24" s="51" t="n"/>
      <c r="AZO24" s="51" t="n"/>
      <c r="AZP24" s="51" t="n"/>
      <c r="AZQ24" s="51" t="n"/>
      <c r="AZR24" s="51" t="n"/>
      <c r="AZS24" s="51" t="n"/>
      <c r="AZT24" s="51" t="n"/>
      <c r="AZU24" s="51" t="n"/>
      <c r="AZV24" s="51" t="n"/>
      <c r="AZW24" s="51" t="n"/>
      <c r="AZX24" s="51" t="n"/>
      <c r="AZY24" s="51" t="n"/>
      <c r="AZZ24" s="51" t="n"/>
      <c r="BAA24" s="51" t="n"/>
      <c r="BAB24" s="51" t="n"/>
      <c r="BAC24" s="51" t="n"/>
      <c r="BAD24" s="51" t="n"/>
      <c r="BAE24" s="51" t="n"/>
      <c r="BAF24" s="51" t="n"/>
      <c r="BAG24" s="51" t="n"/>
      <c r="BAH24" s="51" t="n"/>
      <c r="BAI24" s="51" t="n"/>
      <c r="BAJ24" s="51" t="n"/>
      <c r="BAK24" s="51" t="n"/>
      <c r="BAL24" s="51" t="n"/>
      <c r="BAM24" s="51" t="n"/>
      <c r="BAN24" s="51" t="n"/>
      <c r="BAO24" s="51" t="n"/>
      <c r="BAP24" s="51" t="n"/>
      <c r="BAQ24" s="51" t="n"/>
      <c r="BAR24" s="51" t="n"/>
      <c r="BAS24" s="51" t="n"/>
      <c r="BAT24" s="51" t="n"/>
      <c r="BAU24" s="51" t="n"/>
      <c r="BAV24" s="51" t="n"/>
      <c r="BAW24" s="51" t="n"/>
      <c r="BAX24" s="51" t="n"/>
      <c r="BAY24" s="51" t="n"/>
      <c r="BAZ24" s="51" t="n"/>
      <c r="BBA24" s="51" t="n"/>
      <c r="BBB24" s="51" t="n"/>
      <c r="BBC24" s="51" t="n"/>
      <c r="BBD24" s="51" t="n"/>
      <c r="BBE24" s="51" t="n"/>
      <c r="BBF24" s="51" t="n"/>
      <c r="BBG24" s="51" t="n"/>
      <c r="BBH24" s="51" t="n"/>
      <c r="BBI24" s="51" t="n"/>
      <c r="BBJ24" s="51" t="n"/>
      <c r="BBK24" s="51" t="n"/>
      <c r="BBL24" s="51" t="n"/>
      <c r="BBM24" s="51" t="n"/>
      <c r="BBN24" s="51" t="n"/>
      <c r="BBO24" s="51" t="n"/>
      <c r="BBP24" s="51" t="n"/>
    </row>
    <row r="25" ht="14.25" customHeight="1">
      <c r="A25" s="22">
        <f>A24+1</f>
        <v/>
      </c>
      <c r="B25" s="103" t="inlineStr">
        <is>
          <t>BEARING 608  ZZ</t>
        </is>
      </c>
      <c r="C25" s="29" t="inlineStr">
        <is>
          <t>Pcs</t>
        </is>
      </c>
      <c r="D25" s="26">
        <f>'Week  (3)'!U25</f>
        <v/>
      </c>
      <c r="E25" s="124" t="n"/>
      <c r="F25" s="62" t="n"/>
      <c r="G25" s="25" t="n"/>
      <c r="H25" s="56" t="n"/>
      <c r="I25" s="19" t="n"/>
      <c r="J25" s="64" t="n"/>
      <c r="K25" s="18" t="n"/>
      <c r="L25" s="73" t="n"/>
      <c r="M25" s="73" t="n"/>
      <c r="N25" s="73" t="n"/>
      <c r="O25" s="19" t="n"/>
      <c r="P25" s="18" t="n"/>
      <c r="Q25" s="18" t="n"/>
      <c r="R25" s="73" t="n"/>
      <c r="S25" s="18" t="n"/>
      <c r="T25" s="18" t="n"/>
      <c r="U25" s="26">
        <f>D25+F25+-(H25+J25+L25+N25+P25+R25+T25)</f>
        <v/>
      </c>
      <c r="V25" t="inlineStr">
        <is>
          <t>MECHANICAL</t>
        </is>
      </c>
    </row>
    <row r="26" ht="15" customHeight="1">
      <c r="A26" s="22">
        <f>A25+1</f>
        <v/>
      </c>
      <c r="B26" s="127" t="inlineStr">
        <is>
          <t>Bearing 6202-2Z, SKF</t>
        </is>
      </c>
      <c r="C26" s="123" t="inlineStr">
        <is>
          <t>PCS</t>
        </is>
      </c>
      <c r="D26" s="26">
        <f>'Week  (3)'!U26</f>
        <v/>
      </c>
      <c r="E26" s="125" t="n"/>
      <c r="F26" s="55" t="n"/>
      <c r="G26" s="52" t="n"/>
      <c r="H26" s="55" t="n"/>
      <c r="I26" s="71" t="n"/>
      <c r="J26" s="55" t="n"/>
      <c r="K26" s="18" t="n"/>
      <c r="L26" s="73" t="n"/>
      <c r="M26" s="73" t="n"/>
      <c r="N26" s="73" t="n"/>
      <c r="O26" s="19" t="inlineStr">
        <is>
          <t>Lombok 6</t>
        </is>
      </c>
      <c r="P26" s="18" t="n">
        <v>2</v>
      </c>
      <c r="Q26" s="18" t="n"/>
      <c r="R26" s="73" t="n"/>
      <c r="S26" s="18" t="n"/>
      <c r="T26" s="18" t="n"/>
      <c r="U26" s="26">
        <f>D26+F26+-(H26+J26+L26+N26+P26+R26+T26)</f>
        <v/>
      </c>
      <c r="V26" t="inlineStr">
        <is>
          <t>MECHANICAL</t>
        </is>
      </c>
    </row>
    <row r="27" ht="14.25" customHeight="1">
      <c r="A27" s="22">
        <f>A26+1</f>
        <v/>
      </c>
      <c r="B27" s="79" t="inlineStr">
        <is>
          <t>BEARING 6203 ZZ</t>
        </is>
      </c>
      <c r="C27" s="29" t="inlineStr">
        <is>
          <t>Pcs</t>
        </is>
      </c>
      <c r="D27" s="26">
        <f>'Week  (3)'!U27</f>
        <v/>
      </c>
      <c r="E27" s="124" t="n"/>
      <c r="F27" s="62" t="n"/>
      <c r="G27" s="25" t="n"/>
      <c r="H27" s="56" t="n"/>
      <c r="I27" s="19" t="n"/>
      <c r="J27" s="64" t="n"/>
      <c r="K27" s="18" t="n"/>
      <c r="L27" s="73" t="n"/>
      <c r="M27" s="73" t="n"/>
      <c r="N27" s="73" t="n"/>
      <c r="O27" s="19" t="n"/>
      <c r="P27" s="18" t="n"/>
      <c r="Q27" s="18" t="n"/>
      <c r="R27" s="73" t="n"/>
      <c r="S27" s="18" t="n"/>
      <c r="T27" s="18" t="n"/>
      <c r="U27" s="26">
        <f>D27+F27+-(H27+J27+L27+N27+P27+R27+T27)</f>
        <v/>
      </c>
      <c r="V27" t="inlineStr">
        <is>
          <t>MECHANICAL</t>
        </is>
      </c>
    </row>
    <row r="28" ht="14.25" customHeight="1">
      <c r="A28" s="22">
        <f>A27+1</f>
        <v/>
      </c>
      <c r="B28" s="79" t="inlineStr">
        <is>
          <t>Bearing 6303</t>
        </is>
      </c>
      <c r="C28" s="29" t="inlineStr">
        <is>
          <t>Pcs</t>
        </is>
      </c>
      <c r="D28" s="26">
        <f>'Week  (3)'!U28</f>
        <v/>
      </c>
      <c r="E28" s="125" t="n"/>
      <c r="F28" s="55" t="n"/>
      <c r="G28" s="52" t="n"/>
      <c r="H28" s="55" t="n"/>
      <c r="I28" s="71" t="n"/>
      <c r="J28" s="55" t="n"/>
      <c r="K28" s="18" t="n"/>
      <c r="L28" s="73" t="n"/>
      <c r="M28" s="73" t="n"/>
      <c r="N28" s="73" t="n"/>
      <c r="O28" s="19" t="n"/>
      <c r="P28" s="18" t="n"/>
      <c r="Q28" s="18" t="n"/>
      <c r="R28" s="73" t="n"/>
      <c r="S28" s="18" t="n"/>
      <c r="T28" s="18" t="n"/>
      <c r="U28" s="26">
        <f>D28+F28+-(H28+J28+L28+N28+P28+R28+T28)</f>
        <v/>
      </c>
      <c r="V28" t="inlineStr">
        <is>
          <t>MECHANICAL</t>
        </is>
      </c>
    </row>
    <row r="29" ht="15" customHeight="1">
      <c r="A29" s="22">
        <f>A28+1</f>
        <v/>
      </c>
      <c r="B29" s="122" t="inlineStr">
        <is>
          <t>Bearing 6304 ZZ</t>
        </is>
      </c>
      <c r="C29" s="123" t="inlineStr">
        <is>
          <t>PCS</t>
        </is>
      </c>
      <c r="D29" s="26">
        <f>'Week  (3)'!U29</f>
        <v/>
      </c>
      <c r="E29" s="124" t="n"/>
      <c r="F29" s="62" t="n"/>
      <c r="G29" s="25" t="n"/>
      <c r="H29" s="56" t="n"/>
      <c r="I29" s="19" t="n"/>
      <c r="J29" s="64" t="n"/>
      <c r="K29" s="18" t="n"/>
      <c r="L29" s="73" t="n"/>
      <c r="M29" s="73" t="n"/>
      <c r="N29" s="73" t="n"/>
      <c r="O29" s="19" t="n"/>
      <c r="P29" s="18" t="n"/>
      <c r="Q29" s="18" t="n"/>
      <c r="R29" s="73" t="n"/>
      <c r="S29" s="18" t="n"/>
      <c r="T29" s="18" t="n"/>
      <c r="U29" s="26">
        <f>D29+F29+-(H29+J29+L29+N29+P29+R29+T29)</f>
        <v/>
      </c>
      <c r="V29" t="inlineStr">
        <is>
          <t>MECHANICAL</t>
        </is>
      </c>
    </row>
    <row r="30" ht="15" customHeight="1">
      <c r="A30" s="22">
        <f>A29+1</f>
        <v/>
      </c>
      <c r="B30" s="128" t="inlineStr">
        <is>
          <t>Bearing 6305 SKF</t>
        </is>
      </c>
      <c r="C30" s="123" t="inlineStr">
        <is>
          <t>PCS</t>
        </is>
      </c>
      <c r="D30" s="26">
        <f>'Week  (3)'!U30</f>
        <v/>
      </c>
      <c r="E30" s="125" t="n"/>
      <c r="F30" s="55" t="n"/>
      <c r="G30" s="52" t="n"/>
      <c r="H30" s="55" t="n"/>
      <c r="I30" s="71" t="n"/>
      <c r="J30" s="55" t="n"/>
      <c r="K30" s="18" t="n"/>
      <c r="L30" s="73" t="n"/>
      <c r="M30" s="73" t="n"/>
      <c r="N30" s="73" t="n"/>
      <c r="O30" s="19" t="n"/>
      <c r="P30" s="18" t="n"/>
      <c r="Q30" s="18" t="n"/>
      <c r="R30" s="73" t="n"/>
      <c r="S30" s="18" t="n"/>
      <c r="T30" s="18" t="n"/>
      <c r="U30" s="26">
        <f>D30+F30+-(H30+J30+L30+N30+P30+R30+T30)</f>
        <v/>
      </c>
      <c r="V30" t="inlineStr">
        <is>
          <t>MECHANICAL</t>
        </is>
      </c>
    </row>
    <row r="31" ht="15" customHeight="1">
      <c r="A31" s="22">
        <f>A30+1</f>
        <v/>
      </c>
      <c r="B31" s="30" t="inlineStr">
        <is>
          <t>Bearing SKF 6306 ZZ</t>
        </is>
      </c>
      <c r="C31" s="123" t="inlineStr">
        <is>
          <t>PCS</t>
        </is>
      </c>
      <c r="D31" s="26">
        <f>'Week  (3)'!U31</f>
        <v/>
      </c>
      <c r="E31" s="124" t="n"/>
      <c r="F31" s="62" t="n"/>
      <c r="G31" s="25" t="n"/>
      <c r="H31" s="56" t="n"/>
      <c r="I31" s="19" t="n"/>
      <c r="J31" s="64" t="n"/>
      <c r="K31" s="18" t="n"/>
      <c r="L31" s="73" t="n"/>
      <c r="M31" s="73" t="n"/>
      <c r="N31" s="73" t="n"/>
      <c r="O31" s="19" t="n"/>
      <c r="P31" s="18" t="n"/>
      <c r="Q31" s="18" t="n"/>
      <c r="R31" s="73" t="n"/>
      <c r="S31" s="18" t="n"/>
      <c r="T31" s="18" t="n"/>
      <c r="U31" s="26">
        <f>D31+F31+-(H31+J31+L31+N31+P31+R31+T31)</f>
        <v/>
      </c>
      <c r="V31" t="inlineStr">
        <is>
          <t>MECHANICAL</t>
        </is>
      </c>
    </row>
    <row r="32" ht="15" customHeight="1">
      <c r="A32" s="22">
        <f>A31+1</f>
        <v/>
      </c>
      <c r="B32" s="30" t="inlineStr">
        <is>
          <t>Bearing SKF 6307 ZZ</t>
        </is>
      </c>
      <c r="C32" s="123" t="inlineStr">
        <is>
          <t>PCS</t>
        </is>
      </c>
      <c r="D32" s="26">
        <f>'Week  (3)'!U32</f>
        <v/>
      </c>
      <c r="E32" s="125" t="n"/>
      <c r="F32" s="55" t="n"/>
      <c r="G32" s="25" t="n"/>
      <c r="H32" s="56" t="n"/>
      <c r="I32" s="71" t="n"/>
      <c r="J32" s="55" t="n"/>
      <c r="K32" s="18" t="n"/>
      <c r="L32" s="73" t="n"/>
      <c r="M32" s="73" t="n"/>
      <c r="N32" s="73" t="n"/>
      <c r="O32" s="19" t="n"/>
      <c r="P32" s="18" t="n"/>
      <c r="Q32" s="18" t="n"/>
      <c r="R32" s="73" t="n"/>
      <c r="S32" s="18" t="n"/>
      <c r="T32" s="18" t="n"/>
      <c r="U32" s="26">
        <f>D32+F32+-(H32+J32+L32+N32+P32+R32+T32)</f>
        <v/>
      </c>
      <c r="V32" t="inlineStr">
        <is>
          <t>MECHANICAL</t>
        </is>
      </c>
    </row>
    <row r="33" ht="15" customHeight="1">
      <c r="A33" s="22">
        <f>A32+1</f>
        <v/>
      </c>
      <c r="B33" s="30" t="inlineStr">
        <is>
          <t>Bearing SKF 6309 / C3</t>
        </is>
      </c>
      <c r="C33" s="123" t="inlineStr">
        <is>
          <t>PCS</t>
        </is>
      </c>
      <c r="D33" s="26">
        <f>'Week  (3)'!U33</f>
        <v/>
      </c>
      <c r="E33" s="124" t="n"/>
      <c r="F33" s="62" t="n"/>
      <c r="G33" s="25" t="n"/>
      <c r="H33" s="56" t="n"/>
      <c r="I33" s="19" t="n"/>
      <c r="J33" s="64" t="n"/>
      <c r="K33" s="18" t="n"/>
      <c r="L33" s="73" t="n"/>
      <c r="M33" s="73" t="n"/>
      <c r="N33" s="73" t="n"/>
      <c r="O33" s="19" t="n"/>
      <c r="P33" s="18" t="n"/>
      <c r="Q33" s="18" t="n"/>
      <c r="R33" s="73" t="n"/>
      <c r="S33" s="18" t="n"/>
      <c r="T33" s="18" t="n"/>
      <c r="U33" s="26">
        <f>D33+F33+-(H33+J33+L33+N33+P33+R33+T33)</f>
        <v/>
      </c>
      <c r="V33" t="inlineStr">
        <is>
          <t>MECHANICAL</t>
        </is>
      </c>
    </row>
    <row r="34" ht="15" customHeight="1">
      <c r="A34" s="22">
        <f>A33+1</f>
        <v/>
      </c>
      <c r="B34" s="122" t="inlineStr">
        <is>
          <t>Bearing SKF 63305 ZZ</t>
        </is>
      </c>
      <c r="C34" s="123" t="inlineStr">
        <is>
          <t>PCS</t>
        </is>
      </c>
      <c r="D34" s="26">
        <f>'Week  (3)'!U34</f>
        <v/>
      </c>
      <c r="E34" s="125" t="n"/>
      <c r="F34" s="55" t="n"/>
      <c r="G34" s="52" t="n"/>
      <c r="H34" s="55" t="n"/>
      <c r="I34" s="71" t="n"/>
      <c r="J34" s="55" t="n"/>
      <c r="K34" s="18" t="n"/>
      <c r="L34" s="73" t="n"/>
      <c r="M34" s="73" t="n"/>
      <c r="N34" s="73" t="n"/>
      <c r="O34" s="19" t="n"/>
      <c r="P34" s="18" t="n"/>
      <c r="Q34" s="18" t="n"/>
      <c r="R34" s="73" t="n"/>
      <c r="S34" s="18" t="n"/>
      <c r="T34" s="18" t="n"/>
      <c r="U34" s="26">
        <f>D34+F34+-(H34+J34+L34+N34+P34+R34+T34)</f>
        <v/>
      </c>
      <c r="V34" t="inlineStr">
        <is>
          <t>MECHANICAL</t>
        </is>
      </c>
    </row>
    <row r="35" ht="15" customHeight="1">
      <c r="A35" s="22">
        <f>A34+1</f>
        <v/>
      </c>
      <c r="B35" s="122" t="inlineStr">
        <is>
          <t>Bearing SKF 6309 C3</t>
        </is>
      </c>
      <c r="C35" s="123" t="inlineStr">
        <is>
          <t>PCS</t>
        </is>
      </c>
      <c r="D35" s="26">
        <f>'Week  (3)'!U35</f>
        <v/>
      </c>
      <c r="E35" s="124" t="n"/>
      <c r="F35" s="62" t="n"/>
      <c r="G35" s="25" t="n"/>
      <c r="H35" s="56" t="n"/>
      <c r="I35" s="19" t="n"/>
      <c r="J35" s="64" t="n"/>
      <c r="K35" s="18" t="n"/>
      <c r="L35" s="73" t="n"/>
      <c r="M35" s="73" t="n"/>
      <c r="N35" s="73" t="n"/>
      <c r="O35" s="19" t="n"/>
      <c r="P35" s="18" t="n"/>
      <c r="Q35" s="18" t="n"/>
      <c r="R35" s="73" t="n"/>
      <c r="S35" s="18" t="n"/>
      <c r="T35" s="18" t="n"/>
      <c r="U35" s="26">
        <f>D35+F35+-(H35+J35+L35+N35+P35+R35+T35)</f>
        <v/>
      </c>
      <c r="V35" t="inlineStr">
        <is>
          <t>MECHANICAL</t>
        </is>
      </c>
    </row>
    <row r="36" ht="30" customHeight="1">
      <c r="A36" s="22">
        <f>A35+1</f>
        <v/>
      </c>
      <c r="B36" s="122" t="inlineStr">
        <is>
          <t xml:space="preserve">Bulb Lamp 25 W, A 35  Clear Philips,  </t>
        </is>
      </c>
      <c r="C36" s="123" t="inlineStr">
        <is>
          <t>PCS</t>
        </is>
      </c>
      <c r="D36" s="26">
        <f>'Week  (3)'!U36</f>
        <v/>
      </c>
      <c r="E36" s="125" t="n"/>
      <c r="F36" s="55" t="n"/>
      <c r="G36" s="52" t="n"/>
      <c r="H36" s="55" t="n"/>
      <c r="I36" s="71" t="n"/>
      <c r="J36" s="55" t="n"/>
      <c r="K36" s="18" t="n"/>
      <c r="L36" s="73" t="n"/>
      <c r="M36" s="73" t="n"/>
      <c r="N36" s="73" t="n"/>
      <c r="O36" s="19" t="n"/>
      <c r="P36" s="18" t="n"/>
      <c r="Q36" s="18" t="n"/>
      <c r="R36" s="73" t="n"/>
      <c r="S36" s="18" t="n"/>
      <c r="T36" s="18" t="n"/>
      <c r="U36" s="26">
        <f>D36+F36+-(H36+J36+L36+N36+P36+R36+T36)</f>
        <v/>
      </c>
      <c r="V36" t="inlineStr">
        <is>
          <t>LAMP</t>
        </is>
      </c>
    </row>
    <row r="37" ht="30" customHeight="1">
      <c r="A37" s="22">
        <f>A36+1</f>
        <v/>
      </c>
      <c r="B37" s="122" t="inlineStr">
        <is>
          <t>Bulb Lamp 40 W, B 35  Clear Philips,  E 14 ( cooker hood )</t>
        </is>
      </c>
      <c r="C37" s="123" t="inlineStr">
        <is>
          <t>PCS</t>
        </is>
      </c>
      <c r="D37" s="26">
        <f>'Week  (3)'!U37</f>
        <v/>
      </c>
      <c r="E37" s="124" t="n"/>
      <c r="F37" s="62" t="n"/>
      <c r="G37" s="25" t="n"/>
      <c r="H37" s="56" t="n"/>
      <c r="I37" s="19" t="n"/>
      <c r="J37" s="64" t="n"/>
      <c r="K37" s="19" t="n"/>
      <c r="L37" s="73" t="n"/>
      <c r="M37" s="73" t="n"/>
      <c r="N37" s="73" t="n"/>
      <c r="O37" s="19" t="n"/>
      <c r="P37" s="18" t="n"/>
      <c r="Q37" s="18" t="n"/>
      <c r="R37" s="73" t="n"/>
      <c r="S37" s="18" t="n"/>
      <c r="T37" s="18" t="n"/>
      <c r="U37" s="26">
        <f>D37+F37+-(H37+J37+L37+N37+P37+R37+T37)</f>
        <v/>
      </c>
      <c r="V37" t="inlineStr">
        <is>
          <t>LAMP</t>
        </is>
      </c>
    </row>
    <row r="38" ht="15" customHeight="1">
      <c r="A38" s="22">
        <f>A37+1</f>
        <v/>
      </c>
      <c r="B38" s="51" t="inlineStr">
        <is>
          <t xml:space="preserve">Capacitor 2,5µf + 2 µf </t>
        </is>
      </c>
      <c r="C38" s="123" t="inlineStr">
        <is>
          <t>PCS</t>
        </is>
      </c>
      <c r="D38" s="26">
        <f>'Week  (3)'!U38</f>
        <v/>
      </c>
      <c r="E38" s="125" t="n"/>
      <c r="F38" s="55" t="n"/>
      <c r="G38" s="52" t="n"/>
      <c r="H38" s="55" t="n"/>
      <c r="I38" s="71" t="n"/>
      <c r="J38" s="55" t="n"/>
      <c r="K38" s="18" t="n"/>
      <c r="L38" s="73" t="n"/>
      <c r="M38" s="73" t="n"/>
      <c r="N38" s="73" t="n"/>
      <c r="O38" s="19" t="n"/>
      <c r="P38" s="18" t="n"/>
      <c r="Q38" s="18" t="n"/>
      <c r="R38" s="73" t="n"/>
      <c r="S38" s="18" t="n"/>
      <c r="T38" s="18" t="n"/>
      <c r="U38" s="26">
        <f>D38+F38+-(H38+J38+L38+N38+P38+R38+T38)</f>
        <v/>
      </c>
      <c r="V38" t="inlineStr">
        <is>
          <t>ELECTRICAL</t>
        </is>
      </c>
    </row>
    <row r="39" ht="15" customHeight="1">
      <c r="A39" s="22">
        <f>A38+1</f>
        <v/>
      </c>
      <c r="B39" s="122" t="inlineStr">
        <is>
          <t>Capacitor 30µf</t>
        </is>
      </c>
      <c r="C39" s="123" t="inlineStr">
        <is>
          <t>PCS</t>
        </is>
      </c>
      <c r="D39" s="26">
        <f>'Week  (3)'!U39</f>
        <v/>
      </c>
      <c r="E39" s="124" t="n"/>
      <c r="F39" s="62" t="n"/>
      <c r="G39" s="25" t="n"/>
      <c r="H39" s="56" t="n"/>
      <c r="I39" s="19" t="n"/>
      <c r="J39" s="64" t="n"/>
      <c r="K39" s="18" t="n"/>
      <c r="L39" s="73" t="n"/>
      <c r="M39" s="73" t="n"/>
      <c r="N39" s="73" t="n"/>
      <c r="O39" s="19" t="n"/>
      <c r="P39" s="18" t="n"/>
      <c r="Q39" s="18" t="n"/>
      <c r="R39" s="73" t="n"/>
      <c r="S39" s="18" t="inlineStr">
        <is>
          <t>Sulawesi 11</t>
        </is>
      </c>
      <c r="T39" s="18" t="n">
        <v>1</v>
      </c>
      <c r="U39" s="26">
        <f>D39+F39+-(H39+J39+L39+N39+P39+R39+T39)</f>
        <v/>
      </c>
      <c r="V39" t="inlineStr">
        <is>
          <t>AC</t>
        </is>
      </c>
    </row>
    <row r="40" ht="15" customHeight="1">
      <c r="A40" s="22">
        <f>A39+1</f>
        <v/>
      </c>
      <c r="B40" s="122" t="inlineStr">
        <is>
          <t>Capacitor 40µf</t>
        </is>
      </c>
      <c r="C40" s="123" t="inlineStr">
        <is>
          <t>PCS</t>
        </is>
      </c>
      <c r="D40" s="26">
        <f>'Week  (3)'!U40</f>
        <v/>
      </c>
      <c r="E40" s="125" t="n"/>
      <c r="F40" s="55" t="n"/>
      <c r="G40" s="52" t="n"/>
      <c r="H40" s="55" t="n"/>
      <c r="I40" s="71" t="n"/>
      <c r="J40" s="55" t="n"/>
      <c r="K40" s="18" t="n"/>
      <c r="L40" s="73" t="n"/>
      <c r="M40" s="73" t="n"/>
      <c r="N40" s="73" t="n"/>
      <c r="O40" s="19" t="n"/>
      <c r="P40" s="18" t="n"/>
      <c r="Q40" s="18" t="n"/>
      <c r="R40" s="73" t="n"/>
      <c r="S40" s="18" t="n"/>
      <c r="T40" s="18" t="n"/>
      <c r="U40" s="26">
        <f>D40+F40+-(H40+J40+L40+N40+P40+R40+T40)</f>
        <v/>
      </c>
      <c r="V40" t="inlineStr">
        <is>
          <t>AC</t>
        </is>
      </c>
    </row>
    <row r="41" ht="12.75" customHeight="1">
      <c r="A41" s="22">
        <f>A40+1</f>
        <v/>
      </c>
      <c r="B41" s="122" t="inlineStr">
        <is>
          <t>Capacitor 35µf</t>
        </is>
      </c>
      <c r="C41" s="123" t="inlineStr">
        <is>
          <t>PCS</t>
        </is>
      </c>
      <c r="D41" s="26">
        <f>'Week  (3)'!U41</f>
        <v/>
      </c>
      <c r="E41" s="124" t="n"/>
      <c r="F41" s="62" t="n"/>
      <c r="G41" s="25" t="n"/>
      <c r="H41" s="56" t="n"/>
      <c r="I41" s="19" t="n"/>
      <c r="J41" s="64" t="n"/>
      <c r="K41" s="18" t="n"/>
      <c r="L41" s="73" t="n"/>
      <c r="M41" s="73" t="n"/>
      <c r="N41" s="73" t="n"/>
      <c r="O41" s="19" t="n"/>
      <c r="P41" s="18" t="n"/>
      <c r="Q41" s="18" t="n"/>
      <c r="R41" s="73" t="n"/>
      <c r="S41" s="18" t="n"/>
      <c r="T41" s="18" t="n"/>
      <c r="U41" s="26">
        <f>D41+F41+-(H41+J41+L41+N41+P41+R41+T41)</f>
        <v/>
      </c>
      <c r="V41" t="inlineStr">
        <is>
          <t>AC</t>
        </is>
      </c>
    </row>
    <row r="42" ht="15" customHeight="1">
      <c r="A42" s="22">
        <f>A41+1</f>
        <v/>
      </c>
      <c r="B42" s="122" t="inlineStr">
        <is>
          <t>Capacitor 50 µf</t>
        </is>
      </c>
      <c r="C42" s="123" t="inlineStr">
        <is>
          <t>PCS</t>
        </is>
      </c>
      <c r="D42" s="26">
        <f>'Week  (3)'!U42</f>
        <v/>
      </c>
      <c r="E42" s="125" t="n"/>
      <c r="F42" s="55" t="n"/>
      <c r="G42" s="52" t="n"/>
      <c r="H42" s="55" t="n"/>
      <c r="I42" s="71" t="n"/>
      <c r="J42" s="55" t="n"/>
      <c r="K42" s="18" t="n"/>
      <c r="L42" s="73" t="n"/>
      <c r="M42" s="73" t="n"/>
      <c r="N42" s="73" t="n"/>
      <c r="O42" s="19" t="n"/>
      <c r="P42" s="18" t="n"/>
      <c r="Q42" s="18" t="n"/>
      <c r="R42" s="73" t="n"/>
      <c r="S42" s="18" t="n"/>
      <c r="T42" s="18" t="n"/>
      <c r="U42" s="26">
        <f>D42+F42+-(H42+J42+L42+N42+P42+R42+T42)</f>
        <v/>
      </c>
      <c r="V42" t="inlineStr">
        <is>
          <t>AC</t>
        </is>
      </c>
    </row>
    <row r="43" ht="15" customHeight="1">
      <c r="A43" s="22">
        <f>A42+1</f>
        <v/>
      </c>
      <c r="B43" s="122" t="inlineStr">
        <is>
          <t>Capacitor AC 25 µf</t>
        </is>
      </c>
      <c r="C43" s="123" t="inlineStr">
        <is>
          <t>PCS</t>
        </is>
      </c>
      <c r="D43" s="26">
        <f>'Week  (3)'!U43</f>
        <v/>
      </c>
      <c r="E43" s="124" t="n"/>
      <c r="F43" s="62" t="n"/>
      <c r="G43" s="25" t="n"/>
      <c r="H43" s="56" t="n"/>
      <c r="I43" s="19" t="n"/>
      <c r="J43" s="64" t="n"/>
      <c r="K43" s="18" t="n"/>
      <c r="L43" s="73" t="n"/>
      <c r="M43" s="73" t="n"/>
      <c r="N43" s="73" t="n"/>
      <c r="O43" s="19" t="n"/>
      <c r="P43" s="18" t="n"/>
      <c r="Q43" s="18" t="n"/>
      <c r="R43" s="73" t="n"/>
      <c r="S43" s="18" t="n"/>
      <c r="T43" s="18" t="n"/>
      <c r="U43" s="26">
        <f>D43+F43+-(H43+J43+L43+N43+P43+R43+T43)</f>
        <v/>
      </c>
      <c r="V43" t="inlineStr">
        <is>
          <t>AC</t>
        </is>
      </c>
    </row>
    <row r="44" ht="15" customHeight="1">
      <c r="A44" s="22">
        <f>A43+1</f>
        <v/>
      </c>
      <c r="B44" s="127" t="inlineStr">
        <is>
          <t>Capacitor Ceiling Fan 5 Cable</t>
        </is>
      </c>
      <c r="C44" s="123" t="inlineStr">
        <is>
          <t>PCS</t>
        </is>
      </c>
      <c r="D44" s="26">
        <f>'Week  (3)'!U44</f>
        <v/>
      </c>
      <c r="E44" s="125" t="n"/>
      <c r="F44" s="55" t="n"/>
      <c r="G44" s="52" t="n"/>
      <c r="H44" s="55" t="n"/>
      <c r="I44" s="71" t="n"/>
      <c r="J44" s="55" t="n"/>
      <c r="K44" s="18" t="n"/>
      <c r="L44" s="73" t="n"/>
      <c r="M44" s="73" t="n"/>
      <c r="N44" s="73" t="n"/>
      <c r="O44" s="19" t="n"/>
      <c r="P44" s="18" t="n"/>
      <c r="Q44" s="18" t="n"/>
      <c r="R44" s="73" t="n"/>
      <c r="S44" s="18" t="n"/>
      <c r="T44" s="18" t="n"/>
      <c r="U44" s="26">
        <f>D44+F44+-(H44+J44+L44+N44+P44+R44+T44)</f>
        <v/>
      </c>
      <c r="V44" t="inlineStr">
        <is>
          <t>ELECTRICAL</t>
        </is>
      </c>
    </row>
    <row r="45" ht="15" customHeight="1">
      <c r="A45" s="22">
        <f>A44+1</f>
        <v/>
      </c>
      <c r="B45" s="127" t="inlineStr">
        <is>
          <t>Capacitor Washing Machine 12 µf</t>
        </is>
      </c>
      <c r="C45" s="123" t="inlineStr">
        <is>
          <t>PCS</t>
        </is>
      </c>
      <c r="D45" s="26">
        <f>'Week  (3)'!U45</f>
        <v/>
      </c>
      <c r="E45" s="124" t="n"/>
      <c r="F45" s="62" t="n"/>
      <c r="G45" s="25" t="n"/>
      <c r="H45" s="56" t="n"/>
      <c r="I45" s="19" t="n"/>
      <c r="J45" s="64" t="n"/>
      <c r="K45" s="18" t="n"/>
      <c r="L45" s="73" t="n"/>
      <c r="M45" s="73" t="n"/>
      <c r="N45" s="73" t="n"/>
      <c r="O45" s="19" t="n"/>
      <c r="P45" s="18" t="n"/>
      <c r="Q45" s="18" t="n"/>
      <c r="R45" s="73" t="n"/>
      <c r="S45" s="18" t="n"/>
      <c r="T45" s="18" t="n"/>
      <c r="U45" s="26">
        <f>D45+F45+-(H45+J45+L45+N45+P45+R45+T45)</f>
        <v/>
      </c>
      <c r="V45" t="inlineStr">
        <is>
          <t>ELECTRICAL</t>
        </is>
      </c>
    </row>
    <row r="46" ht="15" customHeight="1">
      <c r="A46" s="22">
        <f>A45+1</f>
        <v/>
      </c>
      <c r="B46" s="122" t="inlineStr">
        <is>
          <t>Capacitor 60 µf</t>
        </is>
      </c>
      <c r="C46" s="123" t="inlineStr">
        <is>
          <t>PCS</t>
        </is>
      </c>
      <c r="D46" s="26">
        <f>'Week  (3)'!U46</f>
        <v/>
      </c>
      <c r="E46" s="125" t="n"/>
      <c r="F46" s="55" t="n"/>
      <c r="G46" s="52" t="n"/>
      <c r="H46" s="55" t="n"/>
      <c r="I46" s="71" t="n"/>
      <c r="J46" s="55" t="n"/>
      <c r="K46" s="18" t="n"/>
      <c r="L46" s="73" t="n"/>
      <c r="M46" s="73" t="n"/>
      <c r="N46" s="73" t="n"/>
      <c r="O46" s="19" t="n"/>
      <c r="P46" s="18" t="n"/>
      <c r="Q46" s="18" t="n"/>
      <c r="R46" s="73" t="n"/>
      <c r="S46" s="18" t="n"/>
      <c r="T46" s="18" t="n"/>
      <c r="U46" s="26">
        <f>D46+F46+-(H46+J46+L46+N46+P46+R46+T46)</f>
        <v/>
      </c>
      <c r="V46" t="inlineStr">
        <is>
          <t>AC</t>
        </is>
      </c>
    </row>
    <row r="47" ht="25.5" customHeight="1">
      <c r="A47" s="22">
        <f>A46+1</f>
        <v/>
      </c>
      <c r="B47" s="79" t="inlineStr">
        <is>
          <t>CAT DULUX CATYLAC INVERNES  25KG</t>
        </is>
      </c>
      <c r="C47" s="29" t="inlineStr">
        <is>
          <t>Pail</t>
        </is>
      </c>
      <c r="D47" s="26">
        <f>'Week  (3)'!U47</f>
        <v/>
      </c>
      <c r="E47" s="124" t="n"/>
      <c r="F47" s="62" t="n"/>
      <c r="G47" s="25" t="n"/>
      <c r="H47" s="69" t="n"/>
      <c r="I47" s="19" t="n"/>
      <c r="J47" s="64" t="n"/>
      <c r="K47" s="18" t="n"/>
      <c r="L47" s="73" t="n"/>
      <c r="M47" s="73" t="n"/>
      <c r="N47" s="73" t="n"/>
      <c r="O47" s="19" t="n"/>
      <c r="P47" s="18" t="n"/>
      <c r="Q47" s="18" t="n"/>
      <c r="R47" s="73" t="n"/>
      <c r="S47" s="18" t="n"/>
      <c r="T47" s="18" t="n"/>
      <c r="U47" s="26">
        <f>D47+F47+-(H47+J47+L47+N47+P47+R47+T47)</f>
        <v/>
      </c>
      <c r="V47" t="inlineStr">
        <is>
          <t>CIVIL</t>
        </is>
      </c>
    </row>
    <row r="48" ht="30" customHeight="1">
      <c r="A48" s="22">
        <f>A47+1</f>
        <v/>
      </c>
      <c r="B48" s="122" t="inlineStr">
        <is>
          <t>CAT DULUX CATYLAC INVERNES 5 KG</t>
        </is>
      </c>
      <c r="C48" s="123" t="inlineStr">
        <is>
          <t>GLN</t>
        </is>
      </c>
      <c r="D48" s="26">
        <f>'Week  (3)'!U48</f>
        <v/>
      </c>
      <c r="E48" s="125" t="n"/>
      <c r="F48" s="55" t="n"/>
      <c r="G48" s="52" t="n"/>
      <c r="H48" s="55" t="n"/>
      <c r="I48" s="71" t="n"/>
      <c r="J48" s="55" t="n"/>
      <c r="K48" s="18" t="n"/>
      <c r="L48" s="73" t="n"/>
      <c r="M48" s="73" t="n"/>
      <c r="N48" s="73" t="n"/>
      <c r="O48" s="19" t="n"/>
      <c r="P48" s="18" t="n"/>
      <c r="Q48" s="18" t="n"/>
      <c r="R48" s="73" t="n"/>
      <c r="S48" s="18" t="n"/>
      <c r="T48" s="18" t="n"/>
      <c r="U48" s="26">
        <f>D48+F48+-(H48+J48+L48+N48+P48+R48+T48)</f>
        <v/>
      </c>
      <c r="V48" t="inlineStr">
        <is>
          <t>CIVIL</t>
        </is>
      </c>
    </row>
    <row r="49" ht="30" customHeight="1">
      <c r="A49" s="22">
        <f>A48+1</f>
        <v/>
      </c>
      <c r="B49" s="122" t="inlineStr">
        <is>
          <t>CAT DULUX MORNING STAR 2,5 LTR</t>
        </is>
      </c>
      <c r="C49" s="123" t="inlineStr">
        <is>
          <t>GLN</t>
        </is>
      </c>
      <c r="D49" s="26">
        <f>'Week  (3)'!U49</f>
        <v/>
      </c>
      <c r="E49" s="124" t="n"/>
      <c r="F49" s="62" t="n"/>
      <c r="G49" s="25" t="n"/>
      <c r="H49" s="56" t="n"/>
      <c r="I49" s="19" t="n"/>
      <c r="J49" s="64" t="n"/>
      <c r="K49" s="18" t="n"/>
      <c r="L49" s="73" t="n"/>
      <c r="M49" s="73" t="n"/>
      <c r="N49" s="73" t="n"/>
      <c r="O49" s="19" t="n"/>
      <c r="P49" s="18" t="n"/>
      <c r="Q49" s="18" t="n"/>
      <c r="R49" s="73" t="n"/>
      <c r="S49" s="18" t="n"/>
      <c r="T49" s="18" t="n"/>
      <c r="U49" s="26">
        <f>D49+F49+-(H49+J49+L49+N49+P49+R49+T49)</f>
        <v/>
      </c>
      <c r="V49" t="inlineStr">
        <is>
          <t>CIVIL</t>
        </is>
      </c>
    </row>
    <row r="50" ht="15" customHeight="1">
      <c r="A50" s="22">
        <f>A49+1</f>
        <v/>
      </c>
      <c r="B50" s="122" t="inlineStr">
        <is>
          <t>CAT JAVA EXTERIOR</t>
        </is>
      </c>
      <c r="C50" s="123" t="inlineStr">
        <is>
          <t>PAIL</t>
        </is>
      </c>
      <c r="D50" s="26">
        <f>'Week  (3)'!U50</f>
        <v/>
      </c>
      <c r="E50" s="125" t="n"/>
      <c r="F50" s="55" t="n"/>
      <c r="G50" s="52" t="n"/>
      <c r="H50" s="55" t="n"/>
      <c r="I50" s="71" t="n"/>
      <c r="J50" s="55" t="n"/>
      <c r="K50" s="18" t="n"/>
      <c r="L50" s="73" t="n"/>
      <c r="M50" s="18" t="n"/>
      <c r="N50" s="73" t="n"/>
      <c r="O50" s="19" t="n"/>
      <c r="P50" s="18" t="n"/>
      <c r="Q50" s="18" t="n"/>
      <c r="R50" s="73" t="n"/>
      <c r="S50" s="18" t="n"/>
      <c r="T50" s="18" t="n"/>
      <c r="U50" s="26">
        <f>D50+F50+-(H50+J50+L50+N50+P50+R50+T50)</f>
        <v/>
      </c>
      <c r="V50" t="inlineStr">
        <is>
          <t>CIVIL</t>
        </is>
      </c>
    </row>
    <row r="51" ht="15" customHeight="1">
      <c r="A51" s="22">
        <f>A50+1</f>
        <v/>
      </c>
      <c r="B51" s="122" t="inlineStr">
        <is>
          <t>CAT JAVA INTERIOR NO. 31</t>
        </is>
      </c>
      <c r="C51" s="123" t="inlineStr">
        <is>
          <t>PAIL</t>
        </is>
      </c>
      <c r="D51" s="26">
        <f>'Week  (3)'!U51</f>
        <v/>
      </c>
      <c r="E51" s="124" t="n"/>
      <c r="F51" s="62" t="n"/>
      <c r="G51" s="25" t="n"/>
      <c r="H51" s="56" t="n"/>
      <c r="I51" s="19" t="n"/>
      <c r="J51" s="64" t="n"/>
      <c r="K51" s="18" t="n"/>
      <c r="L51" s="73" t="n"/>
      <c r="M51" s="73" t="n"/>
      <c r="N51" s="73" t="n"/>
      <c r="O51" s="19" t="n"/>
      <c r="P51" s="18" t="n"/>
      <c r="Q51" s="18" t="n"/>
      <c r="R51" s="73" t="n"/>
      <c r="S51" s="18" t="n"/>
      <c r="T51" s="18" t="n"/>
      <c r="U51" s="26">
        <f>D51+F51+-(H51+J51+L51+N51+P51+R51+T51)</f>
        <v/>
      </c>
      <c r="V51" t="inlineStr">
        <is>
          <t>CIVIL</t>
        </is>
      </c>
    </row>
    <row r="52" ht="15" customHeight="1">
      <c r="A52" s="22">
        <f>A51+1</f>
        <v/>
      </c>
      <c r="B52" s="122" t="inlineStr">
        <is>
          <t>CAT JAVA INTERIOR NO. 32</t>
        </is>
      </c>
      <c r="C52" s="123" t="inlineStr">
        <is>
          <t>PAIL</t>
        </is>
      </c>
      <c r="D52" s="26">
        <f>'Week  (3)'!U52</f>
        <v/>
      </c>
      <c r="E52" s="125" t="n"/>
      <c r="F52" s="55" t="n"/>
      <c r="G52" s="52" t="n"/>
      <c r="H52" s="55" t="n"/>
      <c r="I52" s="71" t="n"/>
      <c r="J52" s="55" t="n"/>
      <c r="K52" s="18" t="n"/>
      <c r="L52" s="73" t="n"/>
      <c r="M52" s="73" t="n"/>
      <c r="N52" s="73" t="n"/>
      <c r="O52" s="19" t="n"/>
      <c r="P52" s="18" t="n"/>
      <c r="Q52" s="18" t="n"/>
      <c r="R52" s="73" t="n"/>
      <c r="S52" s="18" t="n"/>
      <c r="T52" s="18" t="n"/>
      <c r="U52" s="26">
        <f>D52+F52+-(H52+J52+L52+N52+P52+R52+T52)</f>
        <v/>
      </c>
      <c r="V52" t="inlineStr">
        <is>
          <t>CIVIL</t>
        </is>
      </c>
    </row>
    <row r="53" ht="24" customHeight="1">
      <c r="A53" s="22">
        <f>A52+1</f>
        <v/>
      </c>
      <c r="B53" s="79" t="inlineStr">
        <is>
          <t>Cat NIPPE 2000 No.012 ( CHAMONIK)</t>
        </is>
      </c>
      <c r="C53" s="29" t="inlineStr">
        <is>
          <t>KG</t>
        </is>
      </c>
      <c r="D53" s="26">
        <f>'Week  (3)'!U53</f>
        <v/>
      </c>
      <c r="E53" s="124" t="n"/>
      <c r="F53" s="62" t="n"/>
      <c r="G53" s="25" t="n"/>
      <c r="H53" s="69" t="n"/>
      <c r="I53" s="19" t="n"/>
      <c r="J53" s="64" t="n"/>
      <c r="K53" s="25" t="n"/>
      <c r="L53" s="56" t="n"/>
      <c r="M53" s="73" t="n"/>
      <c r="N53" s="73" t="n"/>
      <c r="O53" s="19" t="n"/>
      <c r="P53" s="18" t="n"/>
      <c r="Q53" s="18" t="n"/>
      <c r="R53" s="73" t="n"/>
      <c r="S53" s="18" t="n"/>
      <c r="T53" s="18" t="n"/>
      <c r="U53" s="26">
        <f>D53+F53+-(H53+J53+L53+N53+P53+R53+T53)</f>
        <v/>
      </c>
      <c r="V53" t="inlineStr">
        <is>
          <t>CIVIL</t>
        </is>
      </c>
    </row>
    <row r="54" ht="24" customHeight="1">
      <c r="A54" s="22">
        <f>A53+1</f>
        <v/>
      </c>
      <c r="B54" s="104" t="inlineStr">
        <is>
          <t>Cat Pylox Hitam</t>
        </is>
      </c>
      <c r="C54" s="29" t="inlineStr">
        <is>
          <t>Btl</t>
        </is>
      </c>
      <c r="D54" s="26">
        <f>'Week  (3)'!U54</f>
        <v/>
      </c>
      <c r="E54" s="125" t="n"/>
      <c r="F54" s="55" t="n"/>
      <c r="G54" s="52" t="n"/>
      <c r="H54" s="55" t="n"/>
      <c r="I54" s="71" t="n"/>
      <c r="J54" s="55" t="n"/>
      <c r="K54" s="18" t="n"/>
      <c r="L54" s="73" t="n"/>
      <c r="M54" s="73" t="n"/>
      <c r="N54" s="73" t="n"/>
      <c r="O54" s="19" t="n"/>
      <c r="P54" s="18" t="n"/>
      <c r="Q54" s="18" t="n"/>
      <c r="R54" s="73" t="n"/>
      <c r="S54" s="18" t="n"/>
      <c r="T54" s="18" t="n"/>
      <c r="U54" s="26">
        <f>D54+F54+-(H54+J54+L54+N54+P54+R54+T54)</f>
        <v/>
      </c>
      <c r="V54" t="inlineStr">
        <is>
          <t>CIVIL</t>
        </is>
      </c>
    </row>
    <row r="55" ht="24" customHeight="1">
      <c r="A55" s="22">
        <f>A54+1</f>
        <v/>
      </c>
      <c r="B55" s="79" t="inlineStr">
        <is>
          <t>Cat Pylox Merah</t>
        </is>
      </c>
      <c r="C55" s="29" t="inlineStr">
        <is>
          <t>Btl</t>
        </is>
      </c>
      <c r="D55" s="26">
        <f>'Week  (3)'!U55</f>
        <v/>
      </c>
      <c r="E55" s="124" t="n"/>
      <c r="F55" s="62" t="n"/>
      <c r="G55" s="25" t="n"/>
      <c r="H55" s="56" t="n"/>
      <c r="I55" s="19" t="n"/>
      <c r="J55" s="64" t="n"/>
      <c r="K55" s="18" t="n"/>
      <c r="L55" s="73" t="n"/>
      <c r="M55" s="73" t="n"/>
      <c r="N55" s="73" t="n"/>
      <c r="O55" s="19" t="n"/>
      <c r="P55" s="18" t="n"/>
      <c r="Q55" s="18" t="n"/>
      <c r="R55" s="73" t="n"/>
      <c r="S55" s="18" t="n"/>
      <c r="T55" s="18" t="n"/>
      <c r="U55" s="26">
        <f>D55+F55+-(H55+J55+L55+N55+P55+R55+T55)</f>
        <v/>
      </c>
      <c r="V55" t="inlineStr">
        <is>
          <t>CIVIL</t>
        </is>
      </c>
    </row>
    <row r="56" ht="24" customHeight="1">
      <c r="A56" s="22">
        <f>A55+1</f>
        <v/>
      </c>
      <c r="B56" s="104" t="inlineStr">
        <is>
          <t>Cat Pylox Putih</t>
        </is>
      </c>
      <c r="C56" s="29" t="inlineStr">
        <is>
          <t>Btl</t>
        </is>
      </c>
      <c r="D56" s="26">
        <f>'Week  (3)'!U56</f>
        <v/>
      </c>
      <c r="E56" s="125" t="n"/>
      <c r="F56" s="55" t="n"/>
      <c r="G56" s="52" t="n"/>
      <c r="H56" s="55" t="n"/>
      <c r="I56" s="71" t="n"/>
      <c r="J56" s="55" t="n"/>
      <c r="K56" s="18" t="n"/>
      <c r="L56" s="73" t="n"/>
      <c r="M56" s="73" t="n"/>
      <c r="N56" s="73" t="n"/>
      <c r="O56" s="19" t="n"/>
      <c r="P56" s="18" t="n"/>
      <c r="Q56" s="18" t="n"/>
      <c r="R56" s="73" t="n"/>
      <c r="S56" s="18" t="n"/>
      <c r="T56" s="18" t="n"/>
      <c r="U56" s="26">
        <f>D56+F56+-(H56+J56+L56+N56+P56+R56+T56)</f>
        <v/>
      </c>
      <c r="V56" t="inlineStr">
        <is>
          <t>CIVIL</t>
        </is>
      </c>
    </row>
    <row r="57" ht="24" customHeight="1">
      <c r="A57" s="22">
        <f>A56+1</f>
        <v/>
      </c>
      <c r="B57" s="104" t="inlineStr">
        <is>
          <t>Cat Zynchromate</t>
        </is>
      </c>
      <c r="C57" s="29" t="inlineStr">
        <is>
          <t>Kg</t>
        </is>
      </c>
      <c r="D57" s="26">
        <f>'Week  (3)'!U57</f>
        <v/>
      </c>
      <c r="E57" s="124" t="n"/>
      <c r="F57" s="62" t="n"/>
      <c r="G57" s="25" t="n"/>
      <c r="H57" s="56" t="n"/>
      <c r="I57" s="19" t="n"/>
      <c r="J57" s="64" t="n"/>
      <c r="K57" s="18" t="n"/>
      <c r="L57" s="73" t="n"/>
      <c r="M57" s="73" t="n"/>
      <c r="N57" s="73" t="n"/>
      <c r="O57" s="19" t="n"/>
      <c r="P57" s="18" t="n"/>
      <c r="Q57" s="18" t="n"/>
      <c r="R57" s="73" t="n"/>
      <c r="S57" s="18" t="n"/>
      <c r="T57" s="18" t="n"/>
      <c r="U57" s="26">
        <f>D57+F57+-(H57+J57+L57+N57+P57+R57+T57)</f>
        <v/>
      </c>
      <c r="V57" t="inlineStr">
        <is>
          <t>CIVIL</t>
        </is>
      </c>
    </row>
    <row r="58" ht="24" customHeight="1">
      <c r="A58" s="22">
        <f>A57+1</f>
        <v/>
      </c>
      <c r="B58" s="104" t="inlineStr">
        <is>
          <t>Cat Avian Putih</t>
        </is>
      </c>
      <c r="C58" s="29" t="inlineStr">
        <is>
          <t>Kg</t>
        </is>
      </c>
      <c r="D58" s="26">
        <f>'Week  (3)'!U58</f>
        <v/>
      </c>
      <c r="E58" s="125" t="n"/>
      <c r="F58" s="55" t="n"/>
      <c r="G58" s="52" t="n"/>
      <c r="H58" s="55" t="n"/>
      <c r="I58" s="71" t="n"/>
      <c r="J58" s="55" t="n"/>
      <c r="K58" s="18" t="n"/>
      <c r="L58" s="73" t="n"/>
      <c r="M58" s="73" t="n"/>
      <c r="N58" s="73" t="n"/>
      <c r="O58" s="19" t="n"/>
      <c r="P58" s="18" t="n"/>
      <c r="Q58" s="18" t="n"/>
      <c r="R58" s="73" t="n"/>
      <c r="S58" s="18" t="n"/>
      <c r="T58" s="18" t="n"/>
      <c r="U58" s="26">
        <f>D58+F58+-(H58+J58+L58+N58+P58+R58+T58)</f>
        <v/>
      </c>
      <c r="V58" t="inlineStr">
        <is>
          <t>CIVIL</t>
        </is>
      </c>
    </row>
    <row r="59" ht="27" customHeight="1">
      <c r="A59" s="22">
        <f>A58+1</f>
        <v/>
      </c>
      <c r="B59" s="122" t="inlineStr">
        <is>
          <t>Semen, Gresik</t>
        </is>
      </c>
      <c r="C59" s="123" t="inlineStr">
        <is>
          <t>SACK</t>
        </is>
      </c>
      <c r="D59" s="26">
        <f>'Week  (3)'!U59</f>
        <v/>
      </c>
      <c r="E59" s="129" t="n"/>
      <c r="F59" s="62" t="n"/>
      <c r="G59" s="68" t="n"/>
      <c r="H59" s="65" t="n"/>
      <c r="I59" s="19" t="n"/>
      <c r="J59" s="77" t="n"/>
      <c r="K59" s="19" t="n"/>
      <c r="L59" s="73" t="n"/>
      <c r="M59" s="19" t="n"/>
      <c r="N59" s="73" t="n"/>
      <c r="O59" s="19" t="n"/>
      <c r="P59" s="18" t="n"/>
      <c r="Q59" s="18" t="n"/>
      <c r="R59" s="73" t="n"/>
      <c r="S59" s="18" t="n"/>
      <c r="T59" s="18" t="n"/>
      <c r="U59" s="26">
        <f>D59+F59+-(H59+J59+L59+N59+P59+R59+T59)</f>
        <v/>
      </c>
      <c r="V59" t="inlineStr">
        <is>
          <t>CIVIL</t>
        </is>
      </c>
    </row>
    <row r="60" ht="15" customHeight="1">
      <c r="A60" s="22">
        <f>A59+1</f>
        <v/>
      </c>
      <c r="B60" s="122" t="inlineStr">
        <is>
          <t>Semen Putih</t>
        </is>
      </c>
      <c r="C60" s="123" t="inlineStr">
        <is>
          <t>Kg</t>
        </is>
      </c>
      <c r="D60" s="26">
        <f>'Week  (3)'!U60</f>
        <v/>
      </c>
      <c r="E60" s="125" t="n"/>
      <c r="F60" s="55" t="n"/>
      <c r="G60" s="68" t="n"/>
      <c r="H60" s="55" t="n"/>
      <c r="I60" s="71" t="n"/>
      <c r="J60" s="55" t="n"/>
      <c r="K60" s="19" t="n"/>
      <c r="L60" s="73" t="n"/>
      <c r="M60" s="73" t="n"/>
      <c r="N60" s="73" t="n"/>
      <c r="O60" s="19" t="n"/>
      <c r="P60" s="18" t="n"/>
      <c r="Q60" s="18" t="n"/>
      <c r="R60" s="73" t="n"/>
      <c r="S60" s="18" t="n"/>
      <c r="T60" s="18" t="n"/>
      <c r="U60" s="26">
        <f>D60+F60+-(H60+J60+L60+N60+P60+R60+T60)</f>
        <v/>
      </c>
      <c r="V60" t="inlineStr">
        <is>
          <t>CIVIL</t>
        </is>
      </c>
    </row>
    <row r="61" ht="15" customHeight="1">
      <c r="A61" s="22">
        <f>A60+1</f>
        <v/>
      </c>
      <c r="B61" s="122" t="inlineStr">
        <is>
          <t>Ceramic size 20x25 PUTIH</t>
        </is>
      </c>
      <c r="C61" s="123" t="inlineStr">
        <is>
          <t>DUs</t>
        </is>
      </c>
      <c r="D61" s="26">
        <f>'Week  (3)'!U61</f>
        <v/>
      </c>
      <c r="E61" s="124" t="n"/>
      <c r="F61" s="62" t="n"/>
      <c r="G61" s="25" t="n"/>
      <c r="H61" s="56" t="n"/>
      <c r="I61" s="19" t="n"/>
      <c r="J61" s="64" t="n"/>
      <c r="K61" s="18" t="n"/>
      <c r="L61" s="73" t="n"/>
      <c r="M61" s="73" t="n"/>
      <c r="N61" s="73" t="n"/>
      <c r="O61" s="19" t="n"/>
      <c r="P61" s="18" t="n"/>
      <c r="Q61" s="18" t="n"/>
      <c r="R61" s="73" t="n"/>
      <c r="S61" s="18" t="n"/>
      <c r="T61" s="18" t="n"/>
      <c r="U61" s="26">
        <f>D61+F61+-(H61+J61+L61+N61+P61+R61+T61)</f>
        <v/>
      </c>
      <c r="V61" t="inlineStr">
        <is>
          <t>CIVIL</t>
        </is>
      </c>
    </row>
    <row r="62" ht="15" customHeight="1">
      <c r="A62" s="22">
        <f>A61+1</f>
        <v/>
      </c>
      <c r="B62" s="122" t="inlineStr">
        <is>
          <t>Ceramic size 30x30</t>
        </is>
      </c>
      <c r="C62" s="123" t="inlineStr">
        <is>
          <t>Dus</t>
        </is>
      </c>
      <c r="D62" s="26">
        <f>'Week  (3)'!U62</f>
        <v/>
      </c>
      <c r="E62" s="125" t="n"/>
      <c r="F62" s="55" t="n"/>
      <c r="G62" s="52" t="n"/>
      <c r="H62" s="55" t="n"/>
      <c r="I62" s="71" t="n"/>
      <c r="J62" s="55" t="n"/>
      <c r="K62" s="18" t="n"/>
      <c r="L62" s="73" t="n"/>
      <c r="M62" s="73" t="n"/>
      <c r="N62" s="73" t="n"/>
      <c r="O62" s="19" t="n"/>
      <c r="P62" s="18" t="n"/>
      <c r="Q62" s="18" t="n"/>
      <c r="R62" s="73" t="n"/>
      <c r="S62" s="18" t="n"/>
      <c r="T62" s="18" t="n"/>
      <c r="U62" s="26">
        <f>D62+F62+-(H62+J62+L62+N62+P62+R62+T62)</f>
        <v/>
      </c>
      <c r="V62" t="inlineStr">
        <is>
          <t>CIVIL</t>
        </is>
      </c>
    </row>
    <row r="63" ht="15" customHeight="1">
      <c r="A63" s="22">
        <f>A62+1</f>
        <v/>
      </c>
      <c r="B63" s="122" t="inlineStr">
        <is>
          <t>Contactor LC1D09M7, Scheider</t>
        </is>
      </c>
      <c r="C63" s="123" t="inlineStr">
        <is>
          <t>PCS</t>
        </is>
      </c>
      <c r="D63" s="26">
        <f>'Week  (3)'!U63</f>
        <v/>
      </c>
      <c r="E63" s="124" t="n"/>
      <c r="F63" s="62" t="n"/>
      <c r="G63" s="25" t="n"/>
      <c r="H63" s="56" t="n"/>
      <c r="I63" s="19" t="n"/>
      <c r="J63" s="64" t="n"/>
      <c r="K63" s="18" t="n"/>
      <c r="L63" s="73" t="n"/>
      <c r="M63" s="73" t="n"/>
      <c r="N63" s="73" t="n"/>
      <c r="O63" s="19" t="n"/>
      <c r="P63" s="18" t="n"/>
      <c r="Q63" s="18" t="n"/>
      <c r="R63" s="73" t="n"/>
      <c r="S63" s="18" t="n"/>
      <c r="T63" s="18" t="n"/>
      <c r="U63" s="26">
        <f>D63+F63+-(H63+J63+L63+N63+P63+R63+T63)</f>
        <v/>
      </c>
      <c r="V63" t="inlineStr">
        <is>
          <t>ELECTRICAL</t>
        </is>
      </c>
    </row>
    <row r="64" ht="15" customHeight="1">
      <c r="A64" s="22">
        <f>A63+1</f>
        <v/>
      </c>
      <c r="B64" s="122" t="inlineStr">
        <is>
          <t>Contactor LC1D12M7, Scheider</t>
        </is>
      </c>
      <c r="C64" s="123" t="inlineStr">
        <is>
          <t>PCS</t>
        </is>
      </c>
      <c r="D64" s="26">
        <f>'Week  (3)'!U64</f>
        <v/>
      </c>
      <c r="E64" s="125" t="n"/>
      <c r="F64" s="55" t="n"/>
      <c r="G64" s="52" t="n"/>
      <c r="H64" s="55" t="n"/>
      <c r="I64" s="71" t="n"/>
      <c r="J64" s="55" t="n"/>
      <c r="K64" s="18" t="n"/>
      <c r="L64" s="73" t="n"/>
      <c r="M64" s="73" t="n"/>
      <c r="N64" s="73" t="n"/>
      <c r="O64" s="19" t="n"/>
      <c r="P64" s="18" t="n"/>
      <c r="Q64" s="18" t="n"/>
      <c r="R64" s="73" t="n"/>
      <c r="S64" s="18" t="n"/>
      <c r="T64" s="18" t="n"/>
      <c r="U64" s="26">
        <f>D64+F64+-(H64+J64+L64+N64+P64+R64+T64)</f>
        <v/>
      </c>
      <c r="V64" t="inlineStr">
        <is>
          <t>ELECTRICAL</t>
        </is>
      </c>
    </row>
    <row r="65" ht="15" customHeight="1">
      <c r="A65" s="22">
        <f>A64+1</f>
        <v/>
      </c>
      <c r="B65" s="122" t="inlineStr">
        <is>
          <t>Contactor LC1D18M7, Scheider</t>
        </is>
      </c>
      <c r="C65" s="123" t="inlineStr">
        <is>
          <t>PCS</t>
        </is>
      </c>
      <c r="D65" s="26">
        <f>'Week  (3)'!U65</f>
        <v/>
      </c>
      <c r="E65" s="124" t="n"/>
      <c r="F65" s="62" t="n"/>
      <c r="G65" s="25" t="n"/>
      <c r="H65" s="56" t="n"/>
      <c r="I65" s="19" t="n"/>
      <c r="J65" s="64" t="n"/>
      <c r="K65" s="18" t="n"/>
      <c r="L65" s="73" t="n"/>
      <c r="M65" s="73" t="n"/>
      <c r="N65" s="73" t="n"/>
      <c r="O65" s="19" t="n"/>
      <c r="P65" s="18" t="n"/>
      <c r="Q65" s="18" t="n"/>
      <c r="R65" s="73" t="n"/>
      <c r="S65" s="18" t="n"/>
      <c r="T65" s="18" t="n"/>
      <c r="U65" s="26">
        <f>D65+F65+-(H65+J65+L65+N65+P65+R65+T65)</f>
        <v/>
      </c>
      <c r="V65" t="inlineStr">
        <is>
          <t>ELECTRICAL</t>
        </is>
      </c>
    </row>
    <row r="66" ht="15" customHeight="1">
      <c r="A66" s="22">
        <f>A65+1</f>
        <v/>
      </c>
      <c r="B66" s="122" t="inlineStr">
        <is>
          <t>Contactor LC1D25M7, Scheider</t>
        </is>
      </c>
      <c r="C66" s="123" t="inlineStr">
        <is>
          <t>PCS</t>
        </is>
      </c>
      <c r="D66" s="26">
        <f>'Week  (3)'!U66</f>
        <v/>
      </c>
      <c r="E66" s="125" t="n"/>
      <c r="F66" s="55" t="n"/>
      <c r="G66" s="52" t="n"/>
      <c r="H66" s="55" t="n"/>
      <c r="I66" s="71" t="n"/>
      <c r="J66" s="55" t="n"/>
      <c r="K66" s="18" t="n"/>
      <c r="L66" s="73" t="n"/>
      <c r="M66" s="73" t="n"/>
      <c r="N66" s="73" t="n"/>
      <c r="O66" s="19" t="n"/>
      <c r="P66" s="18" t="n"/>
      <c r="Q66" s="19" t="n"/>
      <c r="R66" s="18" t="n"/>
      <c r="S66" s="18" t="n"/>
      <c r="T66" s="18" t="n"/>
      <c r="U66" s="26">
        <f>D66+F66+-(H66+J66+L66+N66+P66+R66+T66)</f>
        <v/>
      </c>
      <c r="V66" t="inlineStr">
        <is>
          <t>ELECTRICAL</t>
        </is>
      </c>
    </row>
    <row r="67" ht="15" customHeight="1">
      <c r="A67" s="22">
        <f>A66+1</f>
        <v/>
      </c>
      <c r="B67" s="122" t="inlineStr">
        <is>
          <t>Contactor LC1D32M7, Scheider</t>
        </is>
      </c>
      <c r="C67" s="123" t="inlineStr">
        <is>
          <t>PCS</t>
        </is>
      </c>
      <c r="D67" s="26">
        <f>'Week  (3)'!U67</f>
        <v/>
      </c>
      <c r="E67" s="124" t="n"/>
      <c r="F67" s="62" t="n"/>
      <c r="G67" s="25" t="n"/>
      <c r="H67" s="56" t="n"/>
      <c r="I67" s="19" t="n"/>
      <c r="J67" s="64" t="n"/>
      <c r="K67" s="19" t="n"/>
      <c r="L67" s="73" t="n"/>
      <c r="M67" s="73" t="n"/>
      <c r="N67" s="73" t="n"/>
      <c r="O67" s="19" t="n"/>
      <c r="P67" s="18" t="n"/>
      <c r="Q67" s="18" t="n"/>
      <c r="R67" s="73" t="n"/>
      <c r="S67" s="18" t="n"/>
      <c r="T67" s="18" t="n"/>
      <c r="U67" s="26">
        <f>D67+F67+-(H67+J67+L67+N67+P67+R67+T67)</f>
        <v/>
      </c>
      <c r="V67" t="inlineStr">
        <is>
          <t>ELECTRICAL</t>
        </is>
      </c>
    </row>
    <row r="68" ht="15" customHeight="1">
      <c r="A68" s="22">
        <f>A67+1</f>
        <v/>
      </c>
      <c r="B68" s="38" t="inlineStr">
        <is>
          <t>Coupler  Equal Tee 20 x 20</t>
        </is>
      </c>
      <c r="C68" s="123" t="inlineStr">
        <is>
          <t>PCS</t>
        </is>
      </c>
      <c r="D68" s="26">
        <f>'Week  (3)'!U68</f>
        <v/>
      </c>
      <c r="E68" s="125" t="n"/>
      <c r="F68" s="55" t="n"/>
      <c r="G68" s="52" t="n"/>
      <c r="H68" s="55" t="n"/>
      <c r="I68" s="71" t="n"/>
      <c r="J68" s="55" t="n"/>
      <c r="K68" s="18" t="n"/>
      <c r="L68" s="73" t="n"/>
      <c r="M68" s="73" t="n"/>
      <c r="N68" s="73" t="n"/>
      <c r="O68" s="19" t="n"/>
      <c r="P68" s="18" t="n"/>
      <c r="Q68" s="18" t="n"/>
      <c r="R68" s="73" t="n"/>
      <c r="S68" s="18" t="n"/>
      <c r="T68" s="18" t="n"/>
      <c r="U68" s="26">
        <f>D68+F68+-(H68+J68+L68+N68+P68+R68+T68)</f>
        <v/>
      </c>
      <c r="V68" t="inlineStr">
        <is>
          <t>VALVE AND PIPE</t>
        </is>
      </c>
    </row>
    <row r="69" ht="15" customHeight="1">
      <c r="A69" s="22">
        <f>A68+1</f>
        <v/>
      </c>
      <c r="B69" s="38" t="inlineStr">
        <is>
          <t>Coupler  Equal Tee 32 x 32</t>
        </is>
      </c>
      <c r="C69" s="123" t="inlineStr">
        <is>
          <t>PCS</t>
        </is>
      </c>
      <c r="D69" s="26">
        <f>'Week  (3)'!U69</f>
        <v/>
      </c>
      <c r="E69" s="124" t="n"/>
      <c r="F69" s="62" t="n"/>
      <c r="G69" s="25" t="n"/>
      <c r="H69" s="56" t="n"/>
      <c r="I69" s="19" t="n"/>
      <c r="J69" s="64" t="n"/>
      <c r="K69" s="18" t="n"/>
      <c r="L69" s="73" t="n"/>
      <c r="M69" s="73" t="n"/>
      <c r="N69" s="73" t="n"/>
      <c r="O69" s="19" t="n"/>
      <c r="P69" s="18" t="n"/>
      <c r="Q69" s="18" t="n"/>
      <c r="R69" s="73" t="n"/>
      <c r="S69" s="18" t="n"/>
      <c r="T69" s="18" t="n"/>
      <c r="U69" s="26">
        <f>D69+F69+-(H69+J69+L69+N69+P69+R69+T69)</f>
        <v/>
      </c>
      <c r="V69" t="inlineStr">
        <is>
          <t>VALVE AND PIPE</t>
        </is>
      </c>
    </row>
    <row r="70" ht="30.75" customHeight="1">
      <c r="A70" s="22">
        <f>A69+1</f>
        <v/>
      </c>
      <c r="B70" s="39" t="inlineStr">
        <is>
          <t>Coupler HDPE Mechanical Joint ø 110</t>
        </is>
      </c>
      <c r="C70" s="123" t="inlineStr">
        <is>
          <t>PCS</t>
        </is>
      </c>
      <c r="D70" s="26">
        <f>'Week  (3)'!U70</f>
        <v/>
      </c>
      <c r="E70" s="125" t="n"/>
      <c r="F70" s="55" t="n"/>
      <c r="G70" s="52" t="n"/>
      <c r="H70" s="55" t="n"/>
      <c r="I70" s="71" t="n"/>
      <c r="J70" s="55" t="n"/>
      <c r="K70" s="18" t="n"/>
      <c r="L70" s="73" t="n"/>
      <c r="M70" s="73" t="n"/>
      <c r="N70" s="73" t="n"/>
      <c r="O70" s="19" t="n"/>
      <c r="P70" s="18" t="n"/>
      <c r="Q70" s="18" t="n"/>
      <c r="R70" s="73" t="n"/>
      <c r="S70" s="18" t="n"/>
      <c r="T70" s="18" t="n"/>
      <c r="U70" s="26">
        <f>D70+F70+-(H70+J70+L70+N70+P70+R70+T70)</f>
        <v/>
      </c>
      <c r="V70" t="inlineStr">
        <is>
          <t>VALVE AND PIPE</t>
        </is>
      </c>
    </row>
    <row r="71" ht="33.75" customHeight="1">
      <c r="A71" s="22">
        <f>A70+1</f>
        <v/>
      </c>
      <c r="B71" s="39" t="inlineStr">
        <is>
          <t>Coupler HDPE Mechanical Joint ø 63</t>
        </is>
      </c>
      <c r="C71" s="123" t="inlineStr">
        <is>
          <t>PCS</t>
        </is>
      </c>
      <c r="D71" s="26">
        <f>'Week  (3)'!U71</f>
        <v/>
      </c>
      <c r="E71" s="124" t="n"/>
      <c r="F71" s="62" t="n"/>
      <c r="G71" s="25" t="n"/>
      <c r="H71" s="56" t="n"/>
      <c r="I71" s="19" t="n"/>
      <c r="J71" s="64" t="n"/>
      <c r="K71" s="18" t="n"/>
      <c r="L71" s="73" t="n"/>
      <c r="M71" s="73" t="n"/>
      <c r="N71" s="73" t="n"/>
      <c r="O71" s="19" t="n"/>
      <c r="P71" s="18" t="n"/>
      <c r="Q71" s="18" t="n"/>
      <c r="R71" s="73" t="n"/>
      <c r="S71" s="18" t="n"/>
      <c r="T71" s="18" t="n"/>
      <c r="U71" s="26">
        <f>D71+F71+-(H71+J71+L71+N71+P71+R71+T71)</f>
        <v/>
      </c>
      <c r="V71" t="inlineStr">
        <is>
          <t>VALVE AND PIPE</t>
        </is>
      </c>
    </row>
    <row r="72" ht="30" customHeight="1">
      <c r="A72" s="22">
        <f>A71+1</f>
        <v/>
      </c>
      <c r="B72" s="39" t="inlineStr">
        <is>
          <t>Coupler HDPE Mechanical Joint ø 90 X 75</t>
        </is>
      </c>
      <c r="C72" s="123" t="inlineStr">
        <is>
          <t>PCS</t>
        </is>
      </c>
      <c r="D72" s="26">
        <f>'Week  (3)'!U72</f>
        <v/>
      </c>
      <c r="E72" s="125" t="n"/>
      <c r="F72" s="55" t="n"/>
      <c r="G72" s="52" t="n"/>
      <c r="H72" s="55" t="n"/>
      <c r="I72" s="71" t="n"/>
      <c r="J72" s="55" t="n"/>
      <c r="K72" s="18" t="n"/>
      <c r="L72" s="73" t="n"/>
      <c r="M72" s="73" t="n"/>
      <c r="N72" s="73" t="n"/>
      <c r="O72" s="19" t="n"/>
      <c r="P72" s="18" t="n"/>
      <c r="Q72" s="18" t="n"/>
      <c r="R72" s="73" t="n"/>
      <c r="S72" s="18" t="n"/>
      <c r="T72" s="18" t="n"/>
      <c r="U72" s="26">
        <f>D72+F72+-(H72+J72+L72+N72+P72+R72+T72)</f>
        <v/>
      </c>
      <c r="V72" t="inlineStr">
        <is>
          <t>VALVE AND PIPE</t>
        </is>
      </c>
    </row>
    <row r="73" ht="24" customHeight="1">
      <c r="A73" s="22">
        <f>A72+1</f>
        <v/>
      </c>
      <c r="B73" s="38" t="inlineStr">
        <is>
          <t>Coupler of Reducing  25 x 20</t>
        </is>
      </c>
      <c r="C73" s="123" t="inlineStr">
        <is>
          <t>PCS</t>
        </is>
      </c>
      <c r="D73" s="26">
        <f>'Week  (3)'!U73</f>
        <v/>
      </c>
      <c r="E73" s="124" t="n"/>
      <c r="F73" s="62" t="n"/>
      <c r="G73" s="25" t="n"/>
      <c r="H73" s="56" t="n"/>
      <c r="I73" s="19" t="n"/>
      <c r="J73" s="64" t="n"/>
      <c r="K73" s="18" t="n"/>
      <c r="L73" s="73" t="n"/>
      <c r="M73" s="73" t="n"/>
      <c r="N73" s="73" t="n"/>
      <c r="O73" s="19" t="n"/>
      <c r="P73" s="18" t="n"/>
      <c r="Q73" s="18" t="n"/>
      <c r="R73" s="73" t="n"/>
      <c r="S73" s="18" t="n"/>
      <c r="T73" s="18" t="n"/>
      <c r="U73" s="26">
        <f>D73+F73+-(H73+J73+L73+N73+P73+R73+T73)</f>
        <v/>
      </c>
      <c r="V73" t="inlineStr">
        <is>
          <t>VALVE AND PIPE</t>
        </is>
      </c>
    </row>
    <row r="74" ht="24" customHeight="1">
      <c r="A74" s="22">
        <f>A73+1</f>
        <v/>
      </c>
      <c r="B74" s="38" t="inlineStr">
        <is>
          <t>Coupler Straight 20 x 20</t>
        </is>
      </c>
      <c r="C74" s="123" t="inlineStr">
        <is>
          <t>PCS</t>
        </is>
      </c>
      <c r="D74" s="26">
        <f>'Week  (3)'!U74</f>
        <v/>
      </c>
      <c r="E74" s="125" t="n"/>
      <c r="F74" s="55" t="n"/>
      <c r="G74" s="52" t="n"/>
      <c r="H74" s="55" t="n"/>
      <c r="I74" s="71" t="n"/>
      <c r="J74" s="55" t="n"/>
      <c r="K74" s="18" t="n"/>
      <c r="L74" s="73" t="n"/>
      <c r="M74" s="73" t="n"/>
      <c r="N74" s="73" t="n"/>
      <c r="O74" s="19" t="n"/>
      <c r="P74" s="18" t="n"/>
      <c r="Q74" s="18" t="n"/>
      <c r="R74" s="73" t="n"/>
      <c r="S74" s="18" t="n"/>
      <c r="T74" s="18" t="n"/>
      <c r="U74" s="26">
        <f>D74+F74+-(H74+J74+L74+N74+P74+R74+T74)</f>
        <v/>
      </c>
      <c r="V74" t="inlineStr">
        <is>
          <t>VALVE AND PIPE</t>
        </is>
      </c>
    </row>
    <row r="75" ht="24" customHeight="1">
      <c r="A75" s="22">
        <f>A74+1</f>
        <v/>
      </c>
      <c r="B75" s="38" t="inlineStr">
        <is>
          <t xml:space="preserve">Coupler Straight 25 x 25 </t>
        </is>
      </c>
      <c r="C75" s="123" t="inlineStr">
        <is>
          <t>PCS</t>
        </is>
      </c>
      <c r="D75" s="26">
        <f>'Week  (3)'!U75</f>
        <v/>
      </c>
      <c r="E75" s="124" t="n"/>
      <c r="F75" s="62" t="n"/>
      <c r="G75" s="25" t="n"/>
      <c r="H75" s="56" t="n"/>
      <c r="I75" s="19" t="n"/>
      <c r="J75" s="64" t="n"/>
      <c r="K75" s="18" t="n"/>
      <c r="L75" s="73" t="n"/>
      <c r="M75" s="73" t="n"/>
      <c r="N75" s="73" t="n"/>
      <c r="O75" s="19" t="n"/>
      <c r="P75" s="18" t="n"/>
      <c r="Q75" s="18" t="n"/>
      <c r="R75" s="73" t="n"/>
      <c r="S75" s="18" t="n"/>
      <c r="T75" s="18" t="n"/>
      <c r="U75" s="26">
        <f>D75+F75+-(H75+J75+L75+N75+P75+R75+T75)</f>
        <v/>
      </c>
      <c r="V75" t="inlineStr">
        <is>
          <t>VALVE AND PIPE</t>
        </is>
      </c>
    </row>
    <row r="76" ht="15" customHeight="1">
      <c r="A76" s="22">
        <f>A75+1</f>
        <v/>
      </c>
      <c r="B76" s="38" t="inlineStr">
        <is>
          <t>Coupler Straight 32 x 32</t>
        </is>
      </c>
      <c r="C76" s="123" t="inlineStr">
        <is>
          <t>PCS</t>
        </is>
      </c>
      <c r="D76" s="26">
        <f>'Week  (3)'!U76</f>
        <v/>
      </c>
      <c r="E76" s="125" t="n"/>
      <c r="F76" s="55" t="n"/>
      <c r="G76" s="52" t="n"/>
      <c r="H76" s="55" t="n"/>
      <c r="I76" s="71" t="n"/>
      <c r="J76" s="55" t="n"/>
      <c r="K76" s="18" t="n"/>
      <c r="L76" s="73" t="n"/>
      <c r="M76" s="73" t="n"/>
      <c r="N76" s="73" t="n"/>
      <c r="O76" s="19" t="n"/>
      <c r="P76" s="18" t="n"/>
      <c r="Q76" s="18" t="n"/>
      <c r="R76" s="73" t="n"/>
      <c r="S76" s="18" t="n"/>
      <c r="T76" s="18" t="n"/>
      <c r="U76" s="26">
        <f>D76+F76+-(H76+J76+L76+N76+P76+R76+T76)</f>
        <v/>
      </c>
      <c r="V76" t="inlineStr">
        <is>
          <t>VALVE AND PIPE</t>
        </is>
      </c>
    </row>
    <row r="77" ht="15" customHeight="1">
      <c r="A77" s="22">
        <f>A76+1</f>
        <v/>
      </c>
      <c r="B77" s="122" t="inlineStr">
        <is>
          <t xml:space="preserve">Cylinder Lock, Muller </t>
        </is>
      </c>
      <c r="C77" s="123" t="inlineStr">
        <is>
          <t>PCS</t>
        </is>
      </c>
      <c r="D77" s="26">
        <f>'Week  (3)'!U77</f>
        <v/>
      </c>
      <c r="E77" s="124" t="n"/>
      <c r="F77" s="62" t="n"/>
      <c r="G77" s="25" t="n"/>
      <c r="H77" s="56" t="n"/>
      <c r="I77" s="19" t="n"/>
      <c r="J77" s="64" t="n"/>
      <c r="K77" s="68" t="n"/>
      <c r="L77" s="56" t="n"/>
      <c r="M77" s="73" t="n"/>
      <c r="N77" s="73" t="n"/>
      <c r="O77" s="19" t="n"/>
      <c r="P77" s="18" t="n"/>
      <c r="Q77" s="18" t="n"/>
      <c r="R77" s="73" t="n"/>
      <c r="S77" s="18" t="n"/>
      <c r="T77" s="18" t="n"/>
      <c r="U77" s="26">
        <f>D77+F77+-(H77+J77+L77+N77+P77+R77+T77)</f>
        <v/>
      </c>
      <c r="V77" t="inlineStr">
        <is>
          <t>CIVIL</t>
        </is>
      </c>
    </row>
    <row r="78" ht="24" customHeight="1">
      <c r="A78" s="22">
        <f>A77+1</f>
        <v/>
      </c>
      <c r="B78" s="122" t="inlineStr">
        <is>
          <t>Defrost Kulkas LG</t>
        </is>
      </c>
      <c r="C78" s="123" t="inlineStr">
        <is>
          <t>PCS</t>
        </is>
      </c>
      <c r="D78" s="26">
        <f>'Week  (3)'!U78</f>
        <v/>
      </c>
      <c r="E78" s="125" t="n"/>
      <c r="F78" s="55" t="n"/>
      <c r="G78" s="52" t="n"/>
      <c r="H78" s="55" t="n"/>
      <c r="I78" s="71" t="n"/>
      <c r="J78" s="55" t="n"/>
      <c r="K78" s="18" t="n"/>
      <c r="L78" s="73" t="n"/>
      <c r="M78" s="73" t="n"/>
      <c r="N78" s="73" t="n"/>
      <c r="O78" s="19" t="n"/>
      <c r="P78" s="18" t="n"/>
      <c r="Q78" s="18" t="n"/>
      <c r="R78" s="73" t="n"/>
      <c r="S78" s="18" t="n"/>
      <c r="T78" s="18" t="n"/>
      <c r="U78" s="26">
        <f>D78+F78+-(H78+J78+L78+N78+P78+R78+T78)</f>
        <v/>
      </c>
      <c r="V78" t="inlineStr">
        <is>
          <t>ELECTRICAL</t>
        </is>
      </c>
    </row>
    <row r="79" ht="24" customHeight="1">
      <c r="A79" s="22">
        <f>A78+1</f>
        <v/>
      </c>
      <c r="B79" s="122" t="inlineStr">
        <is>
          <t>Defrost Kulkas samsung / panasonic</t>
        </is>
      </c>
      <c r="C79" s="123" t="inlineStr">
        <is>
          <t>PCS</t>
        </is>
      </c>
      <c r="D79" s="26">
        <f>'Week  (3)'!U79</f>
        <v/>
      </c>
      <c r="E79" s="124" t="n"/>
      <c r="F79" s="62" t="n"/>
      <c r="G79" s="25" t="n"/>
      <c r="H79" s="56" t="n"/>
      <c r="I79" s="19" t="n"/>
      <c r="J79" s="64" t="n"/>
      <c r="K79" s="18" t="n"/>
      <c r="L79" s="73" t="n"/>
      <c r="M79" s="73" t="n"/>
      <c r="N79" s="73" t="n"/>
      <c r="O79" s="19" t="n"/>
      <c r="P79" s="18" t="n"/>
      <c r="Q79" s="18" t="n"/>
      <c r="R79" s="73" t="n"/>
      <c r="S79" s="18" t="n"/>
      <c r="T79" s="18" t="n"/>
      <c r="U79" s="26">
        <f>D79+F79+-(H79+J79+L79+N79+P79+R79+T79)</f>
        <v/>
      </c>
      <c r="V79" t="inlineStr">
        <is>
          <t>ELECTRICAL</t>
        </is>
      </c>
    </row>
    <row r="80" ht="24" customHeight="1">
      <c r="A80" s="22">
        <f>A79+1</f>
        <v/>
      </c>
      <c r="B80" s="122" t="inlineStr">
        <is>
          <t>Defrost Kulkas SANYO</t>
        </is>
      </c>
      <c r="C80" s="123" t="inlineStr">
        <is>
          <t>PCS</t>
        </is>
      </c>
      <c r="D80" s="26">
        <f>'Week  (3)'!U80</f>
        <v/>
      </c>
      <c r="E80" s="125" t="n"/>
      <c r="F80" s="55" t="n"/>
      <c r="G80" s="52" t="n"/>
      <c r="H80" s="55" t="n"/>
      <c r="I80" s="71" t="n"/>
      <c r="J80" s="55" t="n"/>
      <c r="K80" s="18" t="n"/>
      <c r="L80" s="73" t="n"/>
      <c r="M80" s="73" t="n"/>
      <c r="N80" s="73" t="n"/>
      <c r="O80" s="19" t="n"/>
      <c r="P80" s="18" t="n"/>
      <c r="Q80" s="18" t="n"/>
      <c r="R80" s="73" t="n"/>
      <c r="S80" s="18" t="n"/>
      <c r="T80" s="18" t="n"/>
      <c r="U80" s="26">
        <f>D80+F80+-(H80+J80+L80+N80+P80+R80+T80)</f>
        <v/>
      </c>
      <c r="V80" t="inlineStr">
        <is>
          <t>ELECTRICAL</t>
        </is>
      </c>
    </row>
    <row r="81" ht="39" customHeight="1">
      <c r="A81" s="22">
        <f>A80+1</f>
        <v/>
      </c>
      <c r="B81" s="79" t="inlineStr">
        <is>
          <t>Doble Neple Besi 1/2"</t>
        </is>
      </c>
      <c r="C81" s="40" t="inlineStr">
        <is>
          <t>Pcs</t>
        </is>
      </c>
      <c r="D81" s="26">
        <f>'Week  (3)'!U81</f>
        <v/>
      </c>
      <c r="E81" s="124" t="n"/>
      <c r="F81" s="62" t="n"/>
      <c r="G81" s="25" t="n"/>
      <c r="H81" s="56" t="n"/>
      <c r="I81" s="19" t="n"/>
      <c r="J81" s="64" t="n"/>
      <c r="K81" s="18" t="n"/>
      <c r="L81" s="73" t="n"/>
      <c r="M81" s="73" t="n"/>
      <c r="N81" s="73" t="n"/>
      <c r="O81" s="19" t="n"/>
      <c r="P81" s="18" t="n"/>
      <c r="Q81" s="18" t="n"/>
      <c r="R81" s="73" t="n"/>
      <c r="S81" s="18" t="n"/>
      <c r="T81" s="18" t="n"/>
      <c r="U81" s="26">
        <f>D81+F81+-(H81+J81+L81+N81+P81+R81+T81)</f>
        <v/>
      </c>
      <c r="V81" t="inlineStr">
        <is>
          <t>VALVE AND PIPE</t>
        </is>
      </c>
    </row>
    <row r="82" ht="29.25" customHeight="1">
      <c r="A82" s="22">
        <f>A81+1</f>
        <v/>
      </c>
      <c r="B82" s="38" t="inlineStr">
        <is>
          <t>Elbow Drat Dalam  20 x 1/2" hdpe</t>
        </is>
      </c>
      <c r="C82" s="123" t="inlineStr">
        <is>
          <t>PCS</t>
        </is>
      </c>
      <c r="D82" s="26">
        <f>'Week  (3)'!U82</f>
        <v/>
      </c>
      <c r="E82" s="125" t="n"/>
      <c r="F82" s="55" t="n"/>
      <c r="G82" s="52" t="n"/>
      <c r="H82" s="55" t="n"/>
      <c r="I82" s="71" t="n"/>
      <c r="J82" s="55" t="n"/>
      <c r="K82" s="18" t="n"/>
      <c r="L82" s="73" t="n"/>
      <c r="M82" s="73" t="n"/>
      <c r="N82" s="73" t="n"/>
      <c r="O82" s="19" t="n"/>
      <c r="P82" s="18" t="n"/>
      <c r="Q82" s="18" t="n"/>
      <c r="R82" s="73" t="n"/>
      <c r="S82" s="18" t="n"/>
      <c r="T82" s="18" t="n"/>
      <c r="U82" s="26">
        <f>D82+F82+-(H82+J82+L82+N82+P82+R82+T82)</f>
        <v/>
      </c>
      <c r="V82" t="inlineStr">
        <is>
          <t>VALVE AND PIPE</t>
        </is>
      </c>
    </row>
    <row r="83">
      <c r="A83" s="22">
        <f>A82+1</f>
        <v/>
      </c>
      <c r="B83" s="79" t="inlineStr">
        <is>
          <t>Elbow PVC AW  1"</t>
        </is>
      </c>
      <c r="C83" s="40" t="inlineStr">
        <is>
          <t>Pcs</t>
        </is>
      </c>
      <c r="D83" s="26">
        <f>'Week  (3)'!U83</f>
        <v/>
      </c>
      <c r="E83" s="124" t="n"/>
      <c r="F83" s="62" t="n"/>
      <c r="G83" s="25" t="n"/>
      <c r="H83" s="56" t="n"/>
      <c r="I83" s="19" t="n"/>
      <c r="J83" s="64" t="n"/>
      <c r="K83" s="18" t="n"/>
      <c r="L83" s="73" t="n"/>
      <c r="M83" s="73" t="n"/>
      <c r="N83" s="73" t="n"/>
      <c r="O83" s="19" t="n"/>
      <c r="P83" s="18" t="n"/>
      <c r="Q83" s="18" t="n"/>
      <c r="R83" s="73" t="n"/>
      <c r="S83" s="18" t="n"/>
      <c r="T83" s="18" t="n"/>
      <c r="U83" s="26">
        <f>D83+F83+-(H83+J83+L83+N83+P83+R83+T83)</f>
        <v/>
      </c>
      <c r="V83" t="inlineStr">
        <is>
          <t>VALVE AND PIPE</t>
        </is>
      </c>
    </row>
    <row r="84">
      <c r="A84" s="22">
        <f>A83+1</f>
        <v/>
      </c>
      <c r="B84" s="79" t="inlineStr">
        <is>
          <t>Elbow PVC AW  1/2"</t>
        </is>
      </c>
      <c r="C84" s="40" t="inlineStr">
        <is>
          <t>Pcs</t>
        </is>
      </c>
      <c r="D84" s="26">
        <f>'Week  (3)'!U84</f>
        <v/>
      </c>
      <c r="E84" s="125" t="n"/>
      <c r="F84" s="55" t="n"/>
      <c r="G84" s="52" t="n"/>
      <c r="H84" s="55" t="n"/>
      <c r="I84" s="71" t="n"/>
      <c r="J84" s="55" t="n"/>
      <c r="K84" s="18" t="n"/>
      <c r="L84" s="73" t="n"/>
      <c r="M84" s="73" t="n"/>
      <c r="N84" s="73" t="n"/>
      <c r="O84" s="19" t="n"/>
      <c r="P84" s="18" t="n"/>
      <c r="Q84" s="18" t="n"/>
      <c r="R84" s="73" t="n"/>
      <c r="S84" s="18" t="n"/>
      <c r="T84" s="18" t="n"/>
      <c r="U84" s="26">
        <f>D84+F84+-(H84+J84+L84+N84+P84+R84+T84)</f>
        <v/>
      </c>
      <c r="V84" t="inlineStr">
        <is>
          <t>VALVE AND PIPE</t>
        </is>
      </c>
    </row>
    <row r="85" ht="24" customFormat="1" customHeight="1" s="42">
      <c r="A85" s="22" t="n">
        <v>80</v>
      </c>
      <c r="B85" s="38" t="inlineStr">
        <is>
          <t>Elbow PVC AW 2"</t>
        </is>
      </c>
      <c r="C85" s="41" t="inlineStr">
        <is>
          <t>Pcs</t>
        </is>
      </c>
      <c r="D85" s="26">
        <f>'Week  (3)'!U85</f>
        <v/>
      </c>
      <c r="E85" s="124" t="n"/>
      <c r="F85" s="62" t="n"/>
      <c r="G85" s="25" t="n"/>
      <c r="H85" s="56" t="n"/>
      <c r="I85" s="19" t="n"/>
      <c r="J85" s="64" t="n"/>
      <c r="K85" s="18" t="n"/>
      <c r="L85" s="73" t="n"/>
      <c r="M85" s="73" t="n"/>
      <c r="N85" s="73" t="n"/>
      <c r="O85" s="19" t="n"/>
      <c r="P85" s="18" t="n"/>
      <c r="Q85" s="18" t="n"/>
      <c r="R85" s="73" t="n"/>
      <c r="S85" s="18" t="n"/>
      <c r="T85" s="18" t="n"/>
      <c r="U85" s="26">
        <f>D85+F85+-(H85+J85+L85+N85+P85+R85+T85)</f>
        <v/>
      </c>
      <c r="V85" t="inlineStr">
        <is>
          <t>VALVE AND PIPE</t>
        </is>
      </c>
    </row>
    <row r="86" ht="23.25" customHeight="1">
      <c r="A86" s="22">
        <f>A85+1</f>
        <v/>
      </c>
      <c r="B86" s="122" t="inlineStr">
        <is>
          <t>ELCB 2P, 25A SCHNEIDER</t>
        </is>
      </c>
      <c r="C86" s="123" t="inlineStr">
        <is>
          <t>PCS</t>
        </is>
      </c>
      <c r="D86" s="26">
        <f>'Week  (3)'!U86</f>
        <v/>
      </c>
      <c r="E86" s="125" t="n"/>
      <c r="F86" s="55" t="n"/>
      <c r="G86" s="52" t="n"/>
      <c r="H86" s="55" t="n"/>
      <c r="I86" s="71" t="n"/>
      <c r="J86" s="55" t="n"/>
      <c r="K86" s="18" t="n"/>
      <c r="L86" s="73" t="n"/>
      <c r="M86" s="73" t="n"/>
      <c r="N86" s="73" t="n"/>
      <c r="O86" s="19" t="n"/>
      <c r="P86" s="18" t="n"/>
      <c r="Q86" s="18" t="n"/>
      <c r="R86" s="73" t="n"/>
      <c r="S86" s="18" t="n"/>
      <c r="T86" s="18" t="n"/>
      <c r="U86" s="26">
        <f>D86+F86+-(H86+J86+L86+N86+P86+R86+T86)</f>
        <v/>
      </c>
      <c r="V86" t="inlineStr">
        <is>
          <t>ELECTRICAL</t>
        </is>
      </c>
    </row>
    <row r="87" ht="23.25" customHeight="1">
      <c r="A87" s="22">
        <f>A86+1</f>
        <v/>
      </c>
      <c r="B87" s="122" t="inlineStr">
        <is>
          <t>ELCB 2P, 30A SCHNEIDER</t>
        </is>
      </c>
      <c r="C87" s="123" t="inlineStr">
        <is>
          <t>PCS</t>
        </is>
      </c>
      <c r="D87" s="26">
        <f>'Week  (3)'!U87</f>
        <v/>
      </c>
      <c r="E87" s="124" t="n"/>
      <c r="F87" s="62" t="n"/>
      <c r="G87" s="25" t="n"/>
      <c r="H87" s="56" t="n"/>
      <c r="I87" s="19" t="n"/>
      <c r="J87" s="64" t="n"/>
      <c r="K87" s="18" t="n"/>
      <c r="L87" s="73" t="n"/>
      <c r="M87" s="73" t="n"/>
      <c r="N87" s="73" t="n"/>
      <c r="O87" s="19" t="n"/>
      <c r="P87" s="18" t="n"/>
      <c r="Q87" s="18" t="n"/>
      <c r="R87" s="73" t="n"/>
      <c r="S87" s="18" t="n"/>
      <c r="T87" s="18" t="n"/>
      <c r="U87" s="26">
        <f>D87+F87+-(H87+J87+L87+N87+P87+R87+T87)</f>
        <v/>
      </c>
      <c r="V87" t="inlineStr">
        <is>
          <t>ELECTRICAL</t>
        </is>
      </c>
    </row>
    <row r="88" ht="23.25" customHeight="1">
      <c r="A88" s="22">
        <f>A87+1</f>
        <v/>
      </c>
      <c r="B88" s="122" t="inlineStr">
        <is>
          <t>ELCB 2P, 40A SCHNEIDER</t>
        </is>
      </c>
      <c r="C88" s="123" t="inlineStr">
        <is>
          <t>PCS</t>
        </is>
      </c>
      <c r="D88" s="26">
        <f>'Week  (3)'!U88</f>
        <v/>
      </c>
      <c r="E88" s="125" t="n"/>
      <c r="F88" s="55" t="n"/>
      <c r="G88" s="52" t="n"/>
      <c r="H88" s="55" t="n"/>
      <c r="I88" s="71" t="n"/>
      <c r="J88" s="55" t="n"/>
      <c r="K88" s="18" t="n"/>
      <c r="L88" s="73" t="n"/>
      <c r="M88" s="73" t="n"/>
      <c r="N88" s="73" t="n"/>
      <c r="O88" s="19" t="n"/>
      <c r="P88" s="18" t="n"/>
      <c r="Q88" s="18" t="n"/>
      <c r="R88" s="73" t="n"/>
      <c r="S88" s="18" t="n"/>
      <c r="T88" s="18" t="n"/>
      <c r="U88" s="26">
        <f>D88+F88+-(H88+J88+L88+N88+P88+R88+T88)</f>
        <v/>
      </c>
      <c r="V88" t="inlineStr">
        <is>
          <t>ELECTRICAL</t>
        </is>
      </c>
    </row>
    <row r="89" ht="23.25" customHeight="1">
      <c r="A89" s="22">
        <f>A88+1</f>
        <v/>
      </c>
      <c r="B89" s="122" t="inlineStr">
        <is>
          <t>ELCB 2P, 63A SCHNEIDER</t>
        </is>
      </c>
      <c r="C89" s="123" t="inlineStr">
        <is>
          <t>PCS</t>
        </is>
      </c>
      <c r="D89" s="26">
        <f>'Week  (3)'!U89</f>
        <v/>
      </c>
      <c r="E89" s="124" t="n"/>
      <c r="F89" s="62" t="n"/>
      <c r="G89" s="25" t="n"/>
      <c r="H89" s="56" t="n"/>
      <c r="I89" s="19" t="n"/>
      <c r="J89" s="64" t="n"/>
      <c r="K89" s="18" t="n"/>
      <c r="L89" s="73" t="n"/>
      <c r="M89" s="73" t="n"/>
      <c r="N89" s="73" t="n"/>
      <c r="O89" s="19" t="n"/>
      <c r="P89" s="18" t="n"/>
      <c r="Q89" s="19" t="n"/>
      <c r="R89" s="73" t="n"/>
      <c r="S89" s="18" t="n"/>
      <c r="T89" s="18" t="n"/>
      <c r="U89" s="26">
        <f>D89+F89+-(H89+J89+L89+N89+P89+R89+T89)</f>
        <v/>
      </c>
      <c r="V89" t="inlineStr">
        <is>
          <t>ELECTRICAL</t>
        </is>
      </c>
    </row>
    <row r="90" ht="23.25" customHeight="1">
      <c r="A90" s="22">
        <f>A89+1</f>
        <v/>
      </c>
      <c r="B90" s="122" t="inlineStr">
        <is>
          <t>ELCB 4P, 25A SCHNEIDER</t>
        </is>
      </c>
      <c r="C90" s="123" t="inlineStr">
        <is>
          <t>PCS</t>
        </is>
      </c>
      <c r="D90" s="26">
        <f>'Week  (3)'!U90</f>
        <v/>
      </c>
      <c r="E90" s="125" t="n"/>
      <c r="F90" s="55" t="n"/>
      <c r="G90" s="52" t="n"/>
      <c r="H90" s="55" t="n"/>
      <c r="I90" s="71" t="n"/>
      <c r="J90" s="55" t="n"/>
      <c r="K90" s="18" t="n"/>
      <c r="L90" s="73" t="n"/>
      <c r="M90" s="73" t="n"/>
      <c r="N90" s="73" t="n"/>
      <c r="O90" s="19" t="n"/>
      <c r="P90" s="18" t="n"/>
      <c r="Q90" s="18" t="n"/>
      <c r="R90" s="73" t="n"/>
      <c r="S90" s="18" t="n"/>
      <c r="T90" s="18" t="n"/>
      <c r="U90" s="26">
        <f>D90+F90+-(H90+J90+L90+N90+P90+R90+T90)</f>
        <v/>
      </c>
      <c r="V90" t="inlineStr">
        <is>
          <t>ELECTRICAL</t>
        </is>
      </c>
    </row>
    <row r="91" ht="23.25" customHeight="1">
      <c r="A91" s="22">
        <f>A90+1</f>
        <v/>
      </c>
      <c r="B91" s="122" t="inlineStr">
        <is>
          <t>ELCB 4P, 40A SCHNEIDER</t>
        </is>
      </c>
      <c r="C91" s="123" t="inlineStr">
        <is>
          <t>PCS</t>
        </is>
      </c>
      <c r="D91" s="26">
        <f>'Week  (3)'!U91</f>
        <v/>
      </c>
      <c r="E91" s="124" t="n"/>
      <c r="F91" s="62" t="n"/>
      <c r="G91" s="25" t="n"/>
      <c r="H91" s="56" t="n"/>
      <c r="I91" s="19" t="n"/>
      <c r="J91" s="64" t="n"/>
      <c r="K91" s="18" t="n"/>
      <c r="L91" s="73" t="n"/>
      <c r="M91" s="73" t="n"/>
      <c r="N91" s="73" t="n"/>
      <c r="O91" s="19" t="n"/>
      <c r="P91" s="18" t="n"/>
      <c r="Q91" s="18" t="n"/>
      <c r="R91" s="73" t="n"/>
      <c r="S91" s="18" t="n"/>
      <c r="T91" s="18" t="n"/>
      <c r="U91" s="26">
        <f>D91+F91+-(H91+J91+L91+N91+P91+R91+T91)</f>
        <v/>
      </c>
      <c r="V91" t="inlineStr">
        <is>
          <t>ELECTRICAL</t>
        </is>
      </c>
    </row>
    <row r="92" ht="23.25" customHeight="1">
      <c r="A92" s="22">
        <f>A91+1</f>
        <v/>
      </c>
      <c r="B92" s="122" t="inlineStr">
        <is>
          <t>ELCB 4P, 63A SCHNEIDER</t>
        </is>
      </c>
      <c r="C92" s="123" t="inlineStr">
        <is>
          <t>PCS</t>
        </is>
      </c>
      <c r="D92" s="26">
        <f>'Week  (3)'!U92</f>
        <v/>
      </c>
      <c r="E92" s="125" t="n"/>
      <c r="F92" s="55" t="n"/>
      <c r="G92" s="52" t="n"/>
      <c r="H92" s="55" t="n"/>
      <c r="I92" s="71" t="n"/>
      <c r="J92" s="55" t="n"/>
      <c r="K92" s="18" t="n"/>
      <c r="L92" s="73" t="n"/>
      <c r="M92" s="73" t="n"/>
      <c r="N92" s="73" t="n"/>
      <c r="O92" s="19" t="n"/>
      <c r="P92" s="18" t="n"/>
      <c r="Q92" s="18" t="n"/>
      <c r="R92" s="73" t="n"/>
      <c r="S92" s="18" t="n"/>
      <c r="T92" s="18" t="n"/>
      <c r="U92" s="26">
        <f>D92+F92+-(H92+J92+L92+N92+P92+R92+T92)</f>
        <v/>
      </c>
      <c r="V92" t="inlineStr">
        <is>
          <t>ELECTRICAL</t>
        </is>
      </c>
    </row>
    <row r="93" ht="13.5" customHeight="1">
      <c r="A93" s="22">
        <f>A92+1</f>
        <v/>
      </c>
      <c r="B93" s="122" t="inlineStr">
        <is>
          <t>Emco Paint Biru No. 75</t>
        </is>
      </c>
      <c r="C93" s="123" t="inlineStr">
        <is>
          <t>Klg</t>
        </is>
      </c>
      <c r="D93" s="26">
        <f>'Week  (3)'!U93</f>
        <v/>
      </c>
      <c r="E93" s="124" t="n"/>
      <c r="F93" s="62" t="n"/>
      <c r="G93" s="25" t="n"/>
      <c r="H93" s="56" t="n"/>
      <c r="I93" s="19" t="n"/>
      <c r="J93" s="64" t="n"/>
      <c r="K93" s="18" t="n"/>
      <c r="L93" s="73" t="n"/>
      <c r="M93" s="73" t="n"/>
      <c r="N93" s="73" t="n"/>
      <c r="O93" s="19" t="n"/>
      <c r="P93" s="18" t="n"/>
      <c r="Q93" s="19" t="n"/>
      <c r="R93" s="18" t="n"/>
      <c r="S93" s="18" t="n"/>
      <c r="T93" s="18" t="n"/>
      <c r="U93" s="26">
        <f>D93+F93+-(H93+J93+L93+N93+P93+R93+T93)</f>
        <v/>
      </c>
      <c r="V93" t="inlineStr">
        <is>
          <t>CIVIL</t>
        </is>
      </c>
    </row>
    <row r="94" ht="27" customHeight="1">
      <c r="A94" s="22">
        <f>A93+1</f>
        <v/>
      </c>
      <c r="B94" s="122" t="inlineStr">
        <is>
          <t xml:space="preserve">Emco Paint, Black Color </t>
        </is>
      </c>
      <c r="C94" s="123" t="inlineStr">
        <is>
          <t>PCS</t>
        </is>
      </c>
      <c r="D94" s="26">
        <f>'Week  (3)'!U94</f>
        <v/>
      </c>
      <c r="E94" s="125" t="n"/>
      <c r="F94" s="55" t="n"/>
      <c r="G94" s="72" t="n"/>
      <c r="H94" s="55" t="n"/>
      <c r="I94" s="71" t="n"/>
      <c r="J94" s="55" t="n"/>
      <c r="K94" s="71" t="n"/>
      <c r="L94" s="55" t="n"/>
      <c r="M94" s="25" t="n"/>
      <c r="N94" s="73" t="n"/>
      <c r="O94" s="71" t="n"/>
      <c r="P94" s="18" t="n"/>
      <c r="Q94" s="18" t="n"/>
      <c r="R94" s="73" t="n"/>
      <c r="S94" s="18" t="n"/>
      <c r="T94" s="18" t="n"/>
      <c r="U94" s="26">
        <f>D94+F94+-(H94+J94+L94+N94+P94+R94+T94)</f>
        <v/>
      </c>
      <c r="V94" t="inlineStr">
        <is>
          <t>CIVIL</t>
        </is>
      </c>
    </row>
    <row r="95" ht="25.5" customHeight="1">
      <c r="A95" s="22">
        <f>A94+1</f>
        <v/>
      </c>
      <c r="B95" s="43" t="inlineStr">
        <is>
          <t>Emco Paint, Blue Color No. 102</t>
        </is>
      </c>
      <c r="C95" s="123" t="inlineStr">
        <is>
          <t>PCS</t>
        </is>
      </c>
      <c r="D95" s="26">
        <f>'Week  (3)'!U95</f>
        <v/>
      </c>
      <c r="E95" s="124" t="n"/>
      <c r="F95" s="62" t="n"/>
      <c r="G95" s="25" t="n"/>
      <c r="H95" s="69" t="n"/>
      <c r="I95" s="25" t="n"/>
      <c r="J95" s="69" t="n"/>
      <c r="K95" s="25" t="n"/>
      <c r="L95" s="69" t="n"/>
      <c r="M95" s="68" t="n"/>
      <c r="N95" s="73" t="n"/>
      <c r="O95" s="25" t="n"/>
      <c r="P95" s="73" t="n"/>
      <c r="Q95" s="18" t="n"/>
      <c r="R95" s="73" t="n"/>
      <c r="S95" s="18" t="n"/>
      <c r="T95" s="18" t="n"/>
      <c r="U95" s="26">
        <f>D95+F95+-(H95+J95+L95+N95+P95+R95+T95)</f>
        <v/>
      </c>
      <c r="V95" t="inlineStr">
        <is>
          <t>CIVIL</t>
        </is>
      </c>
    </row>
    <row r="96" ht="13.5" customHeight="1">
      <c r="A96" s="22">
        <f>A95+1</f>
        <v/>
      </c>
      <c r="B96" s="43" t="inlineStr">
        <is>
          <t>Emco Paint Coklat 83</t>
        </is>
      </c>
      <c r="C96" s="123" t="inlineStr">
        <is>
          <t>PCS</t>
        </is>
      </c>
      <c r="D96" s="26">
        <f>'Week  (3)'!U96</f>
        <v/>
      </c>
      <c r="E96" s="130" t="n"/>
      <c r="F96" s="55" t="n"/>
      <c r="G96" s="52" t="n"/>
      <c r="H96" s="55" t="n"/>
      <c r="I96" s="71" t="n"/>
      <c r="J96" s="55" t="n"/>
      <c r="K96" s="71" t="n"/>
      <c r="L96" s="55" t="n"/>
      <c r="M96" s="25" t="n"/>
      <c r="N96" s="73" t="n"/>
      <c r="O96" s="71" t="n"/>
      <c r="P96" s="18" t="n"/>
      <c r="Q96" s="18" t="n"/>
      <c r="R96" s="73" t="n"/>
      <c r="S96" s="18" t="n"/>
      <c r="T96" s="18" t="n"/>
      <c r="U96" s="26">
        <f>D96+F96+-(H96+J96+L96+N96+P96+R96+T96)</f>
        <v/>
      </c>
      <c r="V96" t="inlineStr">
        <is>
          <t>CIVIL</t>
        </is>
      </c>
    </row>
    <row r="97" ht="13.5" customHeight="1">
      <c r="A97" s="22">
        <f>A96+1</f>
        <v/>
      </c>
      <c r="B97" s="122" t="inlineStr">
        <is>
          <t>Emco Paint, Chili Red No. 132</t>
        </is>
      </c>
      <c r="C97" s="123" t="inlineStr">
        <is>
          <t>PCS</t>
        </is>
      </c>
      <c r="D97" s="26">
        <f>'Week  (3)'!U97</f>
        <v/>
      </c>
      <c r="E97" s="124" t="n"/>
      <c r="F97" s="62" t="n"/>
      <c r="G97" s="25" t="n"/>
      <c r="H97" s="56" t="n"/>
      <c r="I97" s="19" t="n"/>
      <c r="J97" s="64" t="n"/>
      <c r="K97" s="18" t="n"/>
      <c r="L97" s="73" t="n"/>
      <c r="M97" s="73" t="n"/>
      <c r="N97" s="73" t="n"/>
      <c r="O97" s="19" t="n"/>
      <c r="P97" s="18" t="n"/>
      <c r="Q97" s="18" t="n"/>
      <c r="R97" s="73" t="n"/>
      <c r="S97" s="18" t="n"/>
      <c r="T97" s="18" t="n"/>
      <c r="U97" s="26">
        <f>D97+F97+-(H97+J97+L97+N97+P97+R97+T97)</f>
        <v/>
      </c>
      <c r="V97" t="inlineStr">
        <is>
          <t>CIVIL</t>
        </is>
      </c>
    </row>
    <row r="98" ht="15" customHeight="1">
      <c r="A98" s="22">
        <f>A97+1</f>
        <v/>
      </c>
      <c r="B98" s="122" t="inlineStr">
        <is>
          <t>Emco Paint, Green Color No. 64</t>
        </is>
      </c>
      <c r="C98" s="123" t="inlineStr">
        <is>
          <t>PCS</t>
        </is>
      </c>
      <c r="D98" s="26">
        <f>'Week  (3)'!U98</f>
        <v/>
      </c>
      <c r="E98" s="125" t="n"/>
      <c r="F98" s="55" t="n"/>
      <c r="G98" s="52" t="n"/>
      <c r="H98" s="55" t="n"/>
      <c r="I98" s="71" t="n"/>
      <c r="J98" s="55" t="n"/>
      <c r="K98" s="18" t="n"/>
      <c r="L98" s="73" t="n"/>
      <c r="M98" s="73" t="n"/>
      <c r="N98" s="73" t="n"/>
      <c r="O98" s="19" t="n"/>
      <c r="P98" s="18" t="n"/>
      <c r="Q98" s="18" t="n"/>
      <c r="R98" s="73" t="n"/>
      <c r="S98" s="18" t="n"/>
      <c r="T98" s="18" t="n"/>
      <c r="U98" s="26">
        <f>D98+F98+-(H98+J98+L98+N98+P98+R98+T98)</f>
        <v/>
      </c>
      <c r="V98" t="inlineStr">
        <is>
          <t>CIVIL</t>
        </is>
      </c>
    </row>
    <row r="99" ht="30" customHeight="1">
      <c r="A99" s="22">
        <f>A98+1</f>
        <v/>
      </c>
      <c r="B99" s="122" t="inlineStr">
        <is>
          <t>Emco Paint, Traffic Red Color No. 78</t>
        </is>
      </c>
      <c r="C99" s="123" t="inlineStr">
        <is>
          <t>PCS</t>
        </is>
      </c>
      <c r="D99" s="26">
        <f>'Week  (3)'!U99</f>
        <v/>
      </c>
      <c r="E99" s="124" t="n"/>
      <c r="F99" s="62" t="n"/>
      <c r="G99" s="25" t="n"/>
      <c r="H99" s="56" t="n"/>
      <c r="I99" s="19" t="n"/>
      <c r="J99" s="64" t="n"/>
      <c r="K99" s="18" t="n"/>
      <c r="L99" s="73" t="n"/>
      <c r="M99" s="73" t="n"/>
      <c r="N99" s="73" t="n"/>
      <c r="O99" s="19" t="n"/>
      <c r="P99" s="18" t="n"/>
      <c r="Q99" s="18" t="n"/>
      <c r="R99" s="73" t="n"/>
      <c r="S99" s="18" t="n"/>
      <c r="T99" s="18" t="n"/>
      <c r="U99" s="26">
        <f>D99+F99+-(H99+J99+L99+N99+P99+R99+T99)</f>
        <v/>
      </c>
      <c r="V99" t="inlineStr">
        <is>
          <t>CIVIL</t>
        </is>
      </c>
    </row>
    <row r="100" ht="15" customHeight="1">
      <c r="A100" s="22">
        <f>A99+1</f>
        <v/>
      </c>
      <c r="B100" s="122" t="inlineStr">
        <is>
          <t>Emco Paint, White Color</t>
        </is>
      </c>
      <c r="C100" s="123" t="inlineStr">
        <is>
          <t>PCS</t>
        </is>
      </c>
      <c r="D100" s="26">
        <f>'Week  (3)'!U100</f>
        <v/>
      </c>
      <c r="E100" s="129" t="n"/>
      <c r="F100" s="55" t="n"/>
      <c r="G100" s="25" t="n"/>
      <c r="H100" s="69" t="n"/>
      <c r="I100" s="19" t="n"/>
      <c r="J100" s="69" t="n"/>
      <c r="K100" s="25" t="n"/>
      <c r="L100" s="69" t="n"/>
      <c r="M100" s="25" t="n"/>
      <c r="N100" s="73" t="n"/>
      <c r="O100" s="25" t="n"/>
      <c r="P100" s="73" t="n"/>
      <c r="Q100" s="72" t="n"/>
      <c r="R100" s="73" t="n"/>
      <c r="S100" s="18" t="n"/>
      <c r="T100" s="18" t="n"/>
      <c r="U100" s="26">
        <f>D100+F100+-(H100+J100+L100+N100+P100+R100+T100)</f>
        <v/>
      </c>
      <c r="V100" t="inlineStr">
        <is>
          <t>CIVIL</t>
        </is>
      </c>
    </row>
    <row r="101" ht="15" customHeight="1">
      <c r="A101" s="22">
        <f>A100+1</f>
        <v/>
      </c>
      <c r="B101" s="122" t="inlineStr">
        <is>
          <t>Emco Paint, Yellow Color No. 67</t>
        </is>
      </c>
      <c r="C101" s="123" t="inlineStr">
        <is>
          <t>PCS</t>
        </is>
      </c>
      <c r="D101" s="26">
        <f>'Week  (3)'!U101</f>
        <v/>
      </c>
      <c r="E101" s="129" t="n"/>
      <c r="F101" s="55" t="n"/>
      <c r="G101" s="72" t="n"/>
      <c r="H101" s="55" t="n"/>
      <c r="I101" s="71" t="n"/>
      <c r="J101" s="55" t="n"/>
      <c r="K101" s="18" t="n"/>
      <c r="L101" s="73" t="n"/>
      <c r="M101" s="73" t="n"/>
      <c r="N101" s="73" t="n"/>
      <c r="O101" s="19" t="n"/>
      <c r="P101" s="18" t="n"/>
      <c r="Q101" s="18" t="n"/>
      <c r="R101" s="73" t="n"/>
      <c r="S101" s="18" t="n"/>
      <c r="T101" s="18" t="n"/>
      <c r="U101" s="26">
        <f>D101+F101+-(H101+J101+L101+N101+P101+R101+T101)</f>
        <v/>
      </c>
      <c r="V101" t="inlineStr">
        <is>
          <t>CIVIL</t>
        </is>
      </c>
    </row>
    <row r="102">
      <c r="A102" s="22">
        <f>A101+1</f>
        <v/>
      </c>
      <c r="B102" s="79" t="inlineStr">
        <is>
          <t>Engsel Jendela 3 "</t>
        </is>
      </c>
      <c r="C102" s="40" t="inlineStr">
        <is>
          <t>Pcs</t>
        </is>
      </c>
      <c r="D102" s="26">
        <f>'Week  (3)'!U102</f>
        <v/>
      </c>
      <c r="E102" s="125" t="n"/>
      <c r="F102" s="55" t="n"/>
      <c r="G102" s="52" t="n"/>
      <c r="H102" s="55" t="n"/>
      <c r="I102" s="71" t="n"/>
      <c r="J102" s="55" t="n"/>
      <c r="K102" s="18" t="n"/>
      <c r="L102" s="73" t="n"/>
      <c r="M102" s="73" t="n"/>
      <c r="N102" s="73" t="n"/>
      <c r="O102" s="19" t="n"/>
      <c r="P102" s="18" t="n"/>
      <c r="Q102" s="18" t="n"/>
      <c r="R102" s="73" t="n"/>
      <c r="S102" s="18" t="n"/>
      <c r="T102" s="18" t="n"/>
      <c r="U102" s="26">
        <f>D102+F102+-(H102+J102+L102+N102+P102+R102+T102)</f>
        <v/>
      </c>
      <c r="V102" t="inlineStr">
        <is>
          <t>CIVIL</t>
        </is>
      </c>
    </row>
    <row r="103">
      <c r="A103" s="22">
        <f>A102+1</f>
        <v/>
      </c>
      <c r="B103" s="79" t="inlineStr">
        <is>
          <t>Engsel Pintu 4"</t>
        </is>
      </c>
      <c r="C103" s="40" t="inlineStr">
        <is>
          <t>Pcs</t>
        </is>
      </c>
      <c r="D103" s="26">
        <f>'Week  (3)'!U103</f>
        <v/>
      </c>
      <c r="E103" s="124" t="n"/>
      <c r="F103" s="62" t="n"/>
      <c r="G103" s="25" t="n"/>
      <c r="H103" s="56" t="n"/>
      <c r="I103" s="19" t="n"/>
      <c r="J103" s="64" t="n"/>
      <c r="K103" s="18" t="n"/>
      <c r="L103" s="73" t="n"/>
      <c r="M103" s="73" t="n"/>
      <c r="N103" s="73" t="n"/>
      <c r="O103" s="19" t="n"/>
      <c r="P103" s="18" t="n"/>
      <c r="Q103" s="18" t="n"/>
      <c r="R103" s="73" t="n"/>
      <c r="S103" s="18" t="n"/>
      <c r="T103" s="18" t="n"/>
      <c r="U103" s="26">
        <f>D103+F103+-(H103+J103+L103+N103+P103+R103+T103)</f>
        <v/>
      </c>
      <c r="V103" t="inlineStr">
        <is>
          <t>CIVIL</t>
        </is>
      </c>
    </row>
    <row r="104" ht="27" customHeight="1">
      <c r="A104" s="22">
        <f>A103+1</f>
        <v/>
      </c>
      <c r="B104" s="38" t="inlineStr">
        <is>
          <t>Engsel Sendok</t>
        </is>
      </c>
      <c r="C104" s="123" t="inlineStr">
        <is>
          <t>PCS</t>
        </is>
      </c>
      <c r="D104" s="26">
        <f>'Week  (3)'!U104</f>
        <v/>
      </c>
      <c r="E104" s="125" t="n"/>
      <c r="F104" s="55" t="n"/>
      <c r="G104" s="52" t="n"/>
      <c r="H104" s="55" t="n"/>
      <c r="I104" s="71" t="n"/>
      <c r="J104" s="55" t="n"/>
      <c r="K104" s="18" t="n"/>
      <c r="L104" s="73" t="n"/>
      <c r="M104" s="73" t="n"/>
      <c r="N104" s="73" t="n"/>
      <c r="O104" s="19" t="n"/>
      <c r="P104" s="18" t="n"/>
      <c r="Q104" s="18" t="n"/>
      <c r="R104" s="73" t="n"/>
      <c r="S104" s="18" t="n"/>
      <c r="T104" s="18" t="n"/>
      <c r="U104" s="26">
        <f>D104+F104+-(H104+J104+L104+N104+P104+R104+T104)</f>
        <v/>
      </c>
      <c r="V104" t="inlineStr">
        <is>
          <t>CIVIL</t>
        </is>
      </c>
    </row>
    <row r="105" ht="15" customFormat="1" customHeight="1" s="42">
      <c r="A105" s="22">
        <f>A104+1</f>
        <v/>
      </c>
      <c r="B105" s="38" t="inlineStr">
        <is>
          <t>Equal Elbow 20 x20</t>
        </is>
      </c>
      <c r="C105" s="123" t="inlineStr">
        <is>
          <t>PCS</t>
        </is>
      </c>
      <c r="D105" s="26">
        <f>'Week  (3)'!U105</f>
        <v/>
      </c>
      <c r="E105" s="124" t="n"/>
      <c r="F105" s="62" t="n"/>
      <c r="G105" s="25" t="n"/>
      <c r="H105" s="56" t="n"/>
      <c r="I105" s="19" t="n"/>
      <c r="J105" s="64" t="n"/>
      <c r="K105" s="18" t="n"/>
      <c r="L105" s="73" t="n"/>
      <c r="M105" s="73" t="n"/>
      <c r="N105" s="73" t="n"/>
      <c r="O105" s="19" t="n"/>
      <c r="P105" s="18" t="n"/>
      <c r="Q105" s="18" t="n"/>
      <c r="R105" s="73" t="n"/>
      <c r="S105" s="18" t="n"/>
      <c r="T105" s="18" t="n"/>
      <c r="U105" s="26">
        <f>D105+F105+-(H105+J105+L105+N105+P105+R105+T105)</f>
        <v/>
      </c>
      <c r="V105" t="inlineStr">
        <is>
          <t>VALVE AND PIPE</t>
        </is>
      </c>
    </row>
    <row r="106" ht="15" customHeight="1">
      <c r="A106" s="22">
        <f>A105+1</f>
        <v/>
      </c>
      <c r="B106" s="38" t="inlineStr">
        <is>
          <t>Equal Elbow 25 x 25</t>
        </is>
      </c>
      <c r="C106" s="123" t="inlineStr">
        <is>
          <t>PCS</t>
        </is>
      </c>
      <c r="D106" s="26">
        <f>'Week  (3)'!U106</f>
        <v/>
      </c>
      <c r="E106" s="125" t="n"/>
      <c r="F106" s="55" t="n"/>
      <c r="G106" s="52" t="n"/>
      <c r="H106" s="55" t="n"/>
      <c r="I106" s="71" t="n"/>
      <c r="J106" s="55" t="n"/>
      <c r="K106" s="18" t="n"/>
      <c r="L106" s="73" t="n"/>
      <c r="M106" s="73" t="n"/>
      <c r="N106" s="73" t="n"/>
      <c r="O106" s="19" t="n"/>
      <c r="P106" s="18" t="n"/>
      <c r="Q106" s="18" t="n"/>
      <c r="R106" s="73" t="n"/>
      <c r="S106" s="18" t="n"/>
      <c r="T106" s="18" t="n"/>
      <c r="U106" s="26">
        <f>D106+F106+-(H106+J106+L106+N106+P106+R106+T106)</f>
        <v/>
      </c>
      <c r="V106" t="inlineStr">
        <is>
          <t>VALVE AND PIPE</t>
        </is>
      </c>
    </row>
    <row r="107" ht="15" customHeight="1">
      <c r="A107" s="22">
        <f>A106+1</f>
        <v/>
      </c>
      <c r="B107" s="38" t="inlineStr">
        <is>
          <t>Equal Elbow 32 x 32</t>
        </is>
      </c>
      <c r="C107" s="123" t="inlineStr">
        <is>
          <t>PCS</t>
        </is>
      </c>
      <c r="D107" s="26">
        <f>'Week  (3)'!U107</f>
        <v/>
      </c>
      <c r="E107" s="124" t="n"/>
      <c r="F107" s="62" t="n"/>
      <c r="G107" s="25" t="n"/>
      <c r="H107" s="56" t="n"/>
      <c r="I107" s="19" t="n"/>
      <c r="J107" s="64" t="n"/>
      <c r="K107" s="18" t="n"/>
      <c r="L107" s="73" t="n"/>
      <c r="M107" s="73" t="n"/>
      <c r="N107" s="73" t="n"/>
      <c r="O107" s="19" t="n"/>
      <c r="P107" s="18" t="n"/>
      <c r="Q107" s="18" t="n"/>
      <c r="R107" s="73" t="n"/>
      <c r="S107" s="18" t="n"/>
      <c r="T107" s="18" t="n"/>
      <c r="U107" s="26">
        <f>D107+F107+-(H107+J107+L107+N107+P107+R107+T107)</f>
        <v/>
      </c>
      <c r="V107" t="inlineStr">
        <is>
          <t>VALVE AND PIPE</t>
        </is>
      </c>
    </row>
    <row r="108" ht="15" customHeight="1">
      <c r="A108" s="22">
        <f>A107+1</f>
        <v/>
      </c>
      <c r="B108" s="38" t="inlineStr">
        <is>
          <t>Equal Tee 32 x 20</t>
        </is>
      </c>
      <c r="C108" s="123" t="inlineStr">
        <is>
          <t>PCS</t>
        </is>
      </c>
      <c r="D108" s="26">
        <f>'Week  (3)'!U108</f>
        <v/>
      </c>
      <c r="E108" s="125" t="n"/>
      <c r="F108" s="55" t="n"/>
      <c r="G108" s="52" t="n"/>
      <c r="H108" s="55" t="n"/>
      <c r="I108" s="71" t="n"/>
      <c r="J108" s="55" t="n"/>
      <c r="K108" s="18" t="n"/>
      <c r="L108" s="73" t="n"/>
      <c r="M108" s="73" t="n"/>
      <c r="N108" s="73" t="n"/>
      <c r="O108" s="19" t="n"/>
      <c r="P108" s="18" t="n"/>
      <c r="Q108" s="18" t="n"/>
      <c r="R108" s="73" t="n"/>
      <c r="S108" s="18" t="n"/>
      <c r="T108" s="18" t="n"/>
      <c r="U108" s="26">
        <f>D108+F108+-(H108+J108+L108+N108+P108+R108+T108)</f>
        <v/>
      </c>
      <c r="V108" t="inlineStr">
        <is>
          <t>VALVE AND PIPE</t>
        </is>
      </c>
    </row>
    <row r="109" ht="15" customHeight="1">
      <c r="A109" s="22">
        <f>A108+1</f>
        <v/>
      </c>
      <c r="B109" s="38" t="inlineStr">
        <is>
          <t>Male thread adaptor 32 x 1"</t>
        </is>
      </c>
      <c r="C109" s="123" t="inlineStr">
        <is>
          <t>PCS</t>
        </is>
      </c>
      <c r="D109" s="26">
        <f>'Week  (3)'!U109</f>
        <v/>
      </c>
      <c r="E109" s="124" t="n"/>
      <c r="F109" s="62" t="n"/>
      <c r="G109" s="25" t="n"/>
      <c r="H109" s="56" t="n"/>
      <c r="I109" s="19" t="n"/>
      <c r="J109" s="64" t="n"/>
      <c r="K109" s="18" t="n"/>
      <c r="L109" s="73" t="n"/>
      <c r="M109" s="73" t="n"/>
      <c r="N109" s="73" t="n"/>
      <c r="O109" s="19" t="n"/>
      <c r="P109" s="18" t="n"/>
      <c r="Q109" s="18" t="n"/>
      <c r="R109" s="73" t="n"/>
      <c r="S109" s="18" t="n"/>
      <c r="T109" s="18" t="n"/>
      <c r="U109" s="26">
        <f>D109+F109+-(H109+J109+L109+N109+P109+R109+T109)</f>
        <v/>
      </c>
      <c r="V109" t="inlineStr">
        <is>
          <t>VALVE AND PIPE</t>
        </is>
      </c>
    </row>
    <row r="110" ht="27" customHeight="1">
      <c r="A110" s="22">
        <f>A109+1</f>
        <v/>
      </c>
      <c r="B110" s="122" t="inlineStr">
        <is>
          <t>FITING LAMPU</t>
        </is>
      </c>
      <c r="C110" s="123" t="inlineStr">
        <is>
          <t>PCS</t>
        </is>
      </c>
      <c r="D110" s="26">
        <f>'Week  (3)'!U110</f>
        <v/>
      </c>
      <c r="E110" s="125" t="n"/>
      <c r="F110" s="55" t="n"/>
      <c r="G110" s="52" t="n"/>
      <c r="H110" s="55" t="n"/>
      <c r="I110" s="71" t="n"/>
      <c r="J110" s="55" t="n"/>
      <c r="K110" s="18" t="inlineStr">
        <is>
          <t>Rechall</t>
        </is>
      </c>
      <c r="L110" s="73" t="n">
        <v>2</v>
      </c>
      <c r="M110" s="73" t="n"/>
      <c r="N110" s="73" t="n"/>
      <c r="O110" s="19" t="n"/>
      <c r="P110" s="18" t="n"/>
      <c r="Q110" s="73" t="n"/>
      <c r="R110" s="73" t="n"/>
      <c r="S110" s="18" t="n"/>
      <c r="T110" s="18" t="n"/>
      <c r="U110" s="26">
        <f>D110+F110+-(H110+J110+L110+N110+P110+R110+T110)</f>
        <v/>
      </c>
      <c r="V110" t="inlineStr">
        <is>
          <t>LAMP</t>
        </is>
      </c>
    </row>
    <row r="111" ht="25.5" customHeight="1">
      <c r="A111" s="22">
        <f>A110+1</f>
        <v/>
      </c>
      <c r="B111" s="51" t="inlineStr">
        <is>
          <t>Sensor Photo cell</t>
        </is>
      </c>
      <c r="C111" s="123" t="inlineStr">
        <is>
          <t>PCS</t>
        </is>
      </c>
      <c r="D111" s="26">
        <f>'Week  (3)'!U111</f>
        <v/>
      </c>
      <c r="E111" s="124" t="n"/>
      <c r="F111" s="62" t="n"/>
      <c r="G111" s="68" t="n"/>
      <c r="H111" s="56" t="n"/>
      <c r="I111" s="19" t="n"/>
      <c r="J111" s="64" t="n"/>
      <c r="K111" s="18" t="n"/>
      <c r="L111" s="73" t="n"/>
      <c r="M111" s="73" t="n"/>
      <c r="N111" s="73" t="n"/>
      <c r="O111" s="19" t="inlineStr">
        <is>
          <t>Lombok 2</t>
        </is>
      </c>
      <c r="P111" s="18" t="n">
        <v>1</v>
      </c>
      <c r="Q111" s="18" t="n"/>
      <c r="R111" s="73" t="n"/>
      <c r="S111" s="18" t="n"/>
      <c r="T111" s="18" t="n"/>
      <c r="U111" s="26">
        <f>D111+F111+-(H111+J111+L111+N111+P111+R111+T111)</f>
        <v/>
      </c>
      <c r="V111" t="inlineStr">
        <is>
          <t>LAMP</t>
        </is>
      </c>
    </row>
    <row r="112" ht="25.5" customHeight="1">
      <c r="A112" s="22">
        <f>A111+1</f>
        <v/>
      </c>
      <c r="B112" s="122" t="inlineStr">
        <is>
          <t>Filter Fleet Guard WF 2071 (Filter Udara)</t>
        </is>
      </c>
      <c r="C112" s="123" t="inlineStr">
        <is>
          <t>PCS</t>
        </is>
      </c>
      <c r="D112" s="26">
        <f>'Week  (3)'!U112</f>
        <v/>
      </c>
      <c r="E112" s="125" t="n"/>
      <c r="F112" s="55" t="n"/>
      <c r="G112" s="52" t="n"/>
      <c r="H112" s="55" t="n"/>
      <c r="I112" s="71" t="n"/>
      <c r="J112" s="55" t="n"/>
      <c r="K112" s="18" t="n"/>
      <c r="L112" s="73" t="n"/>
      <c r="M112" s="73" t="n"/>
      <c r="N112" s="73" t="n"/>
      <c r="O112" s="19" t="n"/>
      <c r="P112" s="18" t="n"/>
      <c r="Q112" s="18" t="n"/>
      <c r="R112" s="73" t="n"/>
      <c r="S112" s="18" t="n"/>
      <c r="T112" s="18" t="n"/>
      <c r="U112" s="26">
        <f>D112+F112+-(H112+J112+L112+N112+P112+R112+T112)</f>
        <v/>
      </c>
      <c r="V112" t="inlineStr">
        <is>
          <t>CONSUMABLE</t>
        </is>
      </c>
    </row>
    <row r="113" ht="42" customHeight="1">
      <c r="A113" s="22">
        <f>A112+1</f>
        <v/>
      </c>
      <c r="B113" s="122" t="inlineStr">
        <is>
          <t>Filter Fleet Guard FS 1212 (Filter Solar)</t>
        </is>
      </c>
      <c r="C113" s="123" t="inlineStr">
        <is>
          <t>PCS</t>
        </is>
      </c>
      <c r="D113" s="26">
        <f>'Week  (3)'!U113</f>
        <v/>
      </c>
      <c r="E113" s="124" t="n"/>
      <c r="F113" s="62" t="n"/>
      <c r="G113" s="25" t="n"/>
      <c r="H113" s="56" t="n"/>
      <c r="I113" s="19" t="n"/>
      <c r="J113" s="64" t="n"/>
      <c r="K113" s="18" t="n"/>
      <c r="L113" s="73" t="n"/>
      <c r="M113" s="73" t="n"/>
      <c r="N113" s="73" t="n"/>
      <c r="O113" s="19" t="n"/>
      <c r="P113" s="18" t="n"/>
      <c r="Q113" s="18" t="n"/>
      <c r="R113" s="73" t="n"/>
      <c r="S113" s="18" t="n"/>
      <c r="T113" s="18" t="n"/>
      <c r="U113" s="26">
        <f>D113+F113+-(H113+J113+L113+N113+P113+R113+T113)</f>
        <v/>
      </c>
      <c r="V113" t="inlineStr">
        <is>
          <t>CONSUMABLE</t>
        </is>
      </c>
    </row>
    <row r="114" ht="30" customHeight="1">
      <c r="A114" s="22">
        <f>A113+1</f>
        <v/>
      </c>
      <c r="B114" s="122" t="inlineStr">
        <is>
          <t>Filter Fleet Guard LF 3000 (Oil Filter )</t>
        </is>
      </c>
      <c r="C114" s="123" t="inlineStr">
        <is>
          <t>PCS</t>
        </is>
      </c>
      <c r="D114" s="26">
        <f>'Week  (3)'!U114</f>
        <v/>
      </c>
      <c r="E114" s="125" t="n"/>
      <c r="F114" s="55" t="n"/>
      <c r="G114" s="52" t="n"/>
      <c r="H114" s="55" t="n"/>
      <c r="I114" s="71" t="n"/>
      <c r="J114" s="55" t="n"/>
      <c r="K114" s="18" t="n"/>
      <c r="L114" s="73" t="n"/>
      <c r="M114" s="73" t="n"/>
      <c r="N114" s="73" t="n"/>
      <c r="O114" s="19" t="n"/>
      <c r="P114" s="18" t="n"/>
      <c r="Q114" s="18" t="n"/>
      <c r="R114" s="73" t="n"/>
      <c r="S114" s="18" t="n"/>
      <c r="T114" s="18" t="n"/>
      <c r="U114" s="26">
        <f>D114+F114+-(H114+J114+L114+N114+P114+R114+T114)</f>
        <v/>
      </c>
      <c r="V114" t="inlineStr">
        <is>
          <t>CONSUMABLE</t>
        </is>
      </c>
    </row>
    <row r="115" ht="27" customHeight="1">
      <c r="A115" s="22">
        <f>A114+1</f>
        <v/>
      </c>
      <c r="B115" s="122" t="inlineStr">
        <is>
          <t>Filter Fleet Guard WF 2076 (Filter Udara)</t>
        </is>
      </c>
      <c r="C115" s="123" t="inlineStr">
        <is>
          <t>PCS</t>
        </is>
      </c>
      <c r="D115" s="26">
        <f>'Week  (3)'!U115</f>
        <v/>
      </c>
      <c r="E115" s="124" t="n"/>
      <c r="F115" s="62" t="n"/>
      <c r="G115" s="25" t="n"/>
      <c r="H115" s="56" t="n"/>
      <c r="I115" s="19" t="n"/>
      <c r="J115" s="64" t="n"/>
      <c r="K115" s="18" t="n"/>
      <c r="L115" s="73" t="n"/>
      <c r="M115" s="73" t="n"/>
      <c r="N115" s="73" t="n"/>
      <c r="O115" s="19" t="n"/>
      <c r="P115" s="18" t="n"/>
      <c r="Q115" s="18" t="n"/>
      <c r="R115" s="73" t="n"/>
      <c r="S115" s="18" t="n"/>
      <c r="T115" s="18" t="n"/>
      <c r="U115" s="26">
        <f>D115+F115+-(H115+J115+L115+N115+P115+R115+T115)</f>
        <v/>
      </c>
      <c r="V115" t="inlineStr">
        <is>
          <t>CONSUMABLE</t>
        </is>
      </c>
    </row>
    <row r="116" ht="20.25" customHeight="1">
      <c r="A116" s="22">
        <f>A115+1</f>
        <v/>
      </c>
      <c r="B116" s="122" t="inlineStr">
        <is>
          <t>Flexible Hose  50 CM</t>
        </is>
      </c>
      <c r="C116" s="123" t="inlineStr">
        <is>
          <t>PCS</t>
        </is>
      </c>
      <c r="D116" s="26">
        <f>'Week  (3)'!U116</f>
        <v/>
      </c>
      <c r="E116" s="125" t="n"/>
      <c r="F116" s="55" t="n"/>
      <c r="G116" s="52" t="n"/>
      <c r="H116" s="55" t="n"/>
      <c r="I116" s="71" t="n"/>
      <c r="J116" s="55" t="n"/>
      <c r="K116" s="18" t="n"/>
      <c r="L116" s="73" t="n"/>
      <c r="M116" s="73" t="n"/>
      <c r="N116" s="73" t="n"/>
      <c r="O116" s="19" t="n"/>
      <c r="P116" s="18" t="n"/>
      <c r="Q116" s="18" t="n"/>
      <c r="R116" s="73" t="n"/>
      <c r="S116" s="18" t="n"/>
      <c r="T116" s="18" t="n"/>
      <c r="U116" s="26">
        <f>D116+F116+-(H116+J116+L116+N116+P116+R116+T116)</f>
        <v/>
      </c>
      <c r="V116" t="inlineStr">
        <is>
          <t>VALVE AND PIPE</t>
        </is>
      </c>
    </row>
    <row r="117" ht="27" customHeight="1">
      <c r="A117" s="22">
        <f>A116+1</f>
        <v/>
      </c>
      <c r="B117" s="122" t="inlineStr">
        <is>
          <t>Flexible Hose  60 CM STAINLESS</t>
        </is>
      </c>
      <c r="C117" s="123" t="inlineStr">
        <is>
          <t>PCS</t>
        </is>
      </c>
      <c r="D117" s="26">
        <f>'Week  (3)'!U117</f>
        <v/>
      </c>
      <c r="E117" s="124" t="n"/>
      <c r="F117" s="62" t="n"/>
      <c r="G117" s="25" t="n"/>
      <c r="H117" s="56" t="n"/>
      <c r="I117" s="19" t="n"/>
      <c r="J117" s="64" t="n"/>
      <c r="K117" s="18" t="n"/>
      <c r="L117" s="73" t="n"/>
      <c r="M117" s="73" t="n"/>
      <c r="N117" s="73" t="n"/>
      <c r="O117" s="19" t="n"/>
      <c r="P117" s="18" t="n"/>
      <c r="Q117" s="18" t="n"/>
      <c r="R117" s="73" t="n"/>
      <c r="S117" s="18" t="n"/>
      <c r="T117" s="18" t="n"/>
      <c r="U117" s="26">
        <f>D117+F117+-(H117+J117+L117+N117+P117+R117+T117)</f>
        <v/>
      </c>
      <c r="V117" t="inlineStr">
        <is>
          <t>VALVE AND PIPE</t>
        </is>
      </c>
    </row>
    <row r="118" ht="28.5" customHeight="1">
      <c r="A118" s="22">
        <f>A117+1</f>
        <v/>
      </c>
      <c r="B118" s="122" t="inlineStr">
        <is>
          <t>Flexible Hose 40 Cm</t>
        </is>
      </c>
      <c r="C118" s="123" t="inlineStr">
        <is>
          <t>PCS</t>
        </is>
      </c>
      <c r="D118" s="26">
        <f>'Week  (3)'!U118</f>
        <v/>
      </c>
      <c r="E118" s="125" t="n"/>
      <c r="F118" s="55" t="n"/>
      <c r="G118" s="52" t="n"/>
      <c r="H118" s="55" t="n"/>
      <c r="I118" s="71" t="n"/>
      <c r="J118" s="55" t="n"/>
      <c r="K118" s="18" t="n"/>
      <c r="L118" s="73" t="n"/>
      <c r="M118" s="73" t="n"/>
      <c r="N118" s="73" t="n"/>
      <c r="O118" s="19" t="n"/>
      <c r="P118" s="18" t="n"/>
      <c r="Q118" s="18" t="n"/>
      <c r="R118" s="73" t="n"/>
      <c r="S118" s="18" t="n"/>
      <c r="T118" s="18" t="n"/>
      <c r="U118" s="26">
        <f>D118+F118+-(H118+J118+L118+N118+P118+R118+T118)</f>
        <v/>
      </c>
      <c r="V118" t="inlineStr">
        <is>
          <t>VALVE AND PIPE</t>
        </is>
      </c>
    </row>
    <row r="119" ht="27" customHeight="1">
      <c r="A119" s="22">
        <f>A118+1</f>
        <v/>
      </c>
      <c r="B119" s="122" t="inlineStr">
        <is>
          <t>Flexible Hose of Washbasin, DUPON</t>
        </is>
      </c>
      <c r="C119" s="123" t="inlineStr">
        <is>
          <t>SET</t>
        </is>
      </c>
      <c r="D119" s="26">
        <f>'Week  (3)'!U119</f>
        <v/>
      </c>
      <c r="E119" s="124" t="n"/>
      <c r="F119" s="62" t="n"/>
      <c r="G119" s="25" t="n"/>
      <c r="H119" s="56" t="n"/>
      <c r="I119" s="19" t="n"/>
      <c r="J119" s="64" t="n"/>
      <c r="K119" s="18" t="n"/>
      <c r="L119" s="73" t="n"/>
      <c r="M119" s="73" t="n"/>
      <c r="N119" s="73" t="n"/>
      <c r="O119" s="19" t="n"/>
      <c r="P119" s="18" t="n"/>
      <c r="Q119" s="18" t="n"/>
      <c r="R119" s="73" t="n"/>
      <c r="S119" s="18" t="n"/>
      <c r="T119" s="18" t="n"/>
      <c r="U119" s="26">
        <f>D119+F119+-(H119+J119+L119+N119+P119+R119+T119)</f>
        <v/>
      </c>
      <c r="V119" t="inlineStr">
        <is>
          <t>VALVE AND PIPE</t>
        </is>
      </c>
    </row>
    <row r="120" ht="27" customHeight="1">
      <c r="A120" s="22">
        <f>A119+1</f>
        <v/>
      </c>
      <c r="B120" s="122" t="inlineStr">
        <is>
          <t>Flexible Hose of Washbasin, MOVE</t>
        </is>
      </c>
      <c r="C120" s="123" t="inlineStr">
        <is>
          <t>PCS</t>
        </is>
      </c>
      <c r="D120" s="26">
        <f>'Week  (3)'!U120</f>
        <v/>
      </c>
      <c r="E120" s="125" t="n"/>
      <c r="F120" s="55" t="n"/>
      <c r="G120" s="52" t="n"/>
      <c r="H120" s="55" t="n"/>
      <c r="I120" s="71" t="n"/>
      <c r="J120" s="55" t="n"/>
      <c r="K120" s="18" t="n"/>
      <c r="L120" s="73" t="n"/>
      <c r="M120" s="73" t="n"/>
      <c r="N120" s="73" t="n"/>
      <c r="O120" s="19" t="n"/>
      <c r="P120" s="18" t="n"/>
      <c r="Q120" s="18" t="n"/>
      <c r="R120" s="73" t="n"/>
      <c r="S120" s="18" t="n"/>
      <c r="T120" s="18" t="n"/>
      <c r="U120" s="26">
        <f>D120+F120+-(H120+J120+L120+N120+P120+R120+T120)</f>
        <v/>
      </c>
      <c r="V120" t="inlineStr">
        <is>
          <t>VALVE AND PIPE</t>
        </is>
      </c>
    </row>
    <row r="121" ht="32.25" customHeight="1">
      <c r="A121" s="22">
        <f>A120+1</f>
        <v/>
      </c>
      <c r="B121" s="122" t="inlineStr">
        <is>
          <t>Floating Valve of Closet ( Tombol Atas )</t>
        </is>
      </c>
      <c r="C121" s="123" t="inlineStr">
        <is>
          <t>PCS</t>
        </is>
      </c>
      <c r="D121" s="26">
        <f>'Week  (3)'!U121</f>
        <v/>
      </c>
      <c r="E121" s="124" t="n"/>
      <c r="F121" s="62" t="n"/>
      <c r="G121" s="25" t="n"/>
      <c r="H121" s="56" t="n"/>
      <c r="I121" s="19" t="n"/>
      <c r="J121" s="64" t="n"/>
      <c r="K121" s="18" t="n"/>
      <c r="L121" s="73" t="n"/>
      <c r="M121" s="73" t="n"/>
      <c r="N121" s="73" t="n"/>
      <c r="O121" s="19" t="n"/>
      <c r="P121" s="18" t="n"/>
      <c r="Q121" s="18" t="n"/>
      <c r="R121" s="73" t="n"/>
      <c r="S121" s="18" t="n"/>
      <c r="T121" s="18" t="n"/>
      <c r="U121" s="26">
        <f>D121+F121+-(H121+J121+L121+N121+P121+R121+T121)</f>
        <v/>
      </c>
      <c r="V121" t="inlineStr">
        <is>
          <t>SANITARY</t>
        </is>
      </c>
    </row>
    <row r="122" ht="27.75" customHeight="1">
      <c r="A122" s="22">
        <f>A121+1</f>
        <v/>
      </c>
      <c r="B122" s="122" t="inlineStr">
        <is>
          <t>Floating Valve of Closet ( Tombol Samping  )</t>
        </is>
      </c>
      <c r="C122" s="123" t="inlineStr">
        <is>
          <t>PCS</t>
        </is>
      </c>
      <c r="D122" s="26">
        <f>'Week  (3)'!U122</f>
        <v/>
      </c>
      <c r="E122" s="125" t="n"/>
      <c r="F122" s="55" t="n"/>
      <c r="G122" s="52" t="n"/>
      <c r="H122" s="55" t="n"/>
      <c r="I122" s="71" t="n"/>
      <c r="J122" s="55" t="n"/>
      <c r="K122" s="18" t="n"/>
      <c r="L122" s="73" t="n"/>
      <c r="M122" s="73" t="n"/>
      <c r="N122" s="73" t="n"/>
      <c r="O122" s="19" t="n"/>
      <c r="P122" s="18" t="n"/>
      <c r="Q122" s="18" t="n"/>
      <c r="R122" s="73" t="n"/>
      <c r="S122" s="18" t="n"/>
      <c r="T122" s="18" t="n"/>
      <c r="U122" s="26">
        <f>D122+F122+-(H122+J122+L122+N122+P122+R122+T122)</f>
        <v/>
      </c>
      <c r="V122" t="inlineStr">
        <is>
          <t>SANITARY</t>
        </is>
      </c>
    </row>
    <row r="123" ht="24" customHeight="1">
      <c r="A123" s="22">
        <f>A122+1</f>
        <v/>
      </c>
      <c r="B123" s="122" t="inlineStr">
        <is>
          <t>Floor Drain</t>
        </is>
      </c>
      <c r="C123" s="123" t="inlineStr">
        <is>
          <t>PCS</t>
        </is>
      </c>
      <c r="D123" s="26">
        <f>'Week  (3)'!U123</f>
        <v/>
      </c>
      <c r="E123" s="124" t="n"/>
      <c r="F123" s="62" t="n"/>
      <c r="G123" s="25" t="n"/>
      <c r="H123" s="56" t="n"/>
      <c r="I123" s="19" t="n"/>
      <c r="J123" s="64" t="n"/>
      <c r="K123" s="18" t="n"/>
      <c r="L123" s="73" t="n"/>
      <c r="M123" s="73" t="n"/>
      <c r="N123" s="73" t="n"/>
      <c r="O123" s="19" t="n"/>
      <c r="P123" s="18" t="n"/>
      <c r="Q123" s="18" t="n"/>
      <c r="R123" s="73" t="n"/>
      <c r="S123" s="18" t="n"/>
      <c r="T123" s="18" t="n"/>
      <c r="U123" s="26">
        <f>D123+F123+-(H123+J123+L123+N123+P123+R123+T123)</f>
        <v/>
      </c>
      <c r="V123" t="inlineStr">
        <is>
          <t>SANITARY</t>
        </is>
      </c>
    </row>
    <row r="124" ht="24" customHeight="1">
      <c r="A124" s="22">
        <f>A123+1</f>
        <v/>
      </c>
      <c r="B124" s="122" t="inlineStr">
        <is>
          <t>FREON R 22 DUPONT ( 13,62 Kg )</t>
        </is>
      </c>
      <c r="C124" s="123" t="inlineStr">
        <is>
          <t>BTL</t>
        </is>
      </c>
      <c r="D124" s="26">
        <f>'Week  (3)'!U124</f>
        <v/>
      </c>
      <c r="E124" s="125" t="n"/>
      <c r="F124" s="55" t="n"/>
      <c r="G124" s="52" t="n"/>
      <c r="H124" s="55" t="n"/>
      <c r="I124" s="71" t="n"/>
      <c r="J124" s="55" t="n"/>
      <c r="K124" s="18" t="n"/>
      <c r="L124" s="73" t="n"/>
      <c r="M124" s="73" t="n"/>
      <c r="N124" s="73" t="n"/>
      <c r="O124" s="19" t="n"/>
      <c r="P124" s="18" t="n"/>
      <c r="Q124" s="18" t="n"/>
      <c r="R124" s="73" t="n"/>
      <c r="S124" s="18" t="n"/>
      <c r="T124" s="18" t="n"/>
      <c r="U124" s="26">
        <f>D124+F124+-(H124+J124+L124+N124+P124+R124+T124)</f>
        <v/>
      </c>
      <c r="V124" t="inlineStr">
        <is>
          <t>AC</t>
        </is>
      </c>
    </row>
    <row r="125" ht="24" customHeight="1">
      <c r="A125" s="22">
        <f>A124+1</f>
        <v/>
      </c>
      <c r="B125" s="122" t="inlineStr">
        <is>
          <t xml:space="preserve">FREON R 32 </t>
        </is>
      </c>
      <c r="C125" s="123" t="inlineStr">
        <is>
          <t>BTL</t>
        </is>
      </c>
      <c r="D125" s="26">
        <f>'Week  (3)'!U125</f>
        <v/>
      </c>
      <c r="E125" s="124" t="n"/>
      <c r="F125" s="62" t="n"/>
      <c r="G125" s="25" t="n"/>
      <c r="H125" s="56" t="n"/>
      <c r="I125" s="19" t="n"/>
      <c r="J125" s="64" t="n"/>
      <c r="K125" s="18" t="n"/>
      <c r="L125" s="73" t="n"/>
      <c r="M125" s="73" t="n"/>
      <c r="N125" s="73" t="n"/>
      <c r="O125" s="19" t="n"/>
      <c r="P125" s="18" t="n"/>
      <c r="Q125" s="18" t="n"/>
      <c r="R125" s="73" t="n"/>
      <c r="S125" s="18" t="n"/>
      <c r="T125" s="18" t="n"/>
      <c r="U125" s="26">
        <f>D125+F125+-(H125+J125+L125+N125+P125+R125+T125)</f>
        <v/>
      </c>
      <c r="V125" t="inlineStr">
        <is>
          <t>AC</t>
        </is>
      </c>
    </row>
    <row r="126" ht="27" customHeight="1">
      <c r="A126" s="22">
        <f>A125+1</f>
        <v/>
      </c>
      <c r="B126" s="79" t="inlineStr">
        <is>
          <t>FLANGE PVC 2,5"</t>
        </is>
      </c>
      <c r="C126" s="29" t="inlineStr">
        <is>
          <t>Pcs</t>
        </is>
      </c>
      <c r="D126" s="26">
        <f>'Week  (3)'!U126</f>
        <v/>
      </c>
      <c r="E126" s="125" t="n"/>
      <c r="F126" s="55" t="n"/>
      <c r="G126" s="52" t="n"/>
      <c r="H126" s="55" t="n"/>
      <c r="I126" s="71" t="n"/>
      <c r="J126" s="55" t="n"/>
      <c r="K126" s="18" t="n"/>
      <c r="L126" s="73" t="n"/>
      <c r="M126" s="73" t="n"/>
      <c r="N126" s="73" t="n"/>
      <c r="O126" s="19" t="n"/>
      <c r="P126" s="18" t="n"/>
      <c r="Q126" s="18" t="n"/>
      <c r="R126" s="73" t="n"/>
      <c r="S126" s="18" t="n"/>
      <c r="T126" s="18" t="n"/>
      <c r="U126" s="26">
        <f>D126+F126+-(H126+J126+L126+N126+P126+R126+T126)</f>
        <v/>
      </c>
      <c r="V126" t="inlineStr">
        <is>
          <t>VALVE AND PIPE</t>
        </is>
      </c>
    </row>
    <row r="127" ht="27" customHeight="1">
      <c r="A127" s="22">
        <f>A126+1</f>
        <v/>
      </c>
      <c r="B127" s="79" t="inlineStr">
        <is>
          <t>FLANGE PVC 2"</t>
        </is>
      </c>
      <c r="C127" s="29" t="inlineStr">
        <is>
          <t>Pcs</t>
        </is>
      </c>
      <c r="D127" s="26">
        <f>'Week  (3)'!U127</f>
        <v/>
      </c>
      <c r="E127" s="124" t="n"/>
      <c r="F127" s="62" t="n"/>
      <c r="G127" s="25" t="n"/>
      <c r="H127" s="56" t="n"/>
      <c r="I127" s="19" t="n"/>
      <c r="J127" s="64" t="n"/>
      <c r="K127" s="18" t="n"/>
      <c r="L127" s="73" t="n"/>
      <c r="M127" s="73" t="n"/>
      <c r="N127" s="73" t="n"/>
      <c r="O127" s="19" t="n"/>
      <c r="P127" s="18" t="n"/>
      <c r="Q127" s="19" t="n"/>
      <c r="R127" s="73" t="n"/>
      <c r="S127" s="18" t="n"/>
      <c r="T127" s="18" t="n"/>
      <c r="U127" s="26">
        <f>D127+F127+-(H127+J127+L127+N127+P127+R127+T127)</f>
        <v/>
      </c>
      <c r="V127" t="inlineStr">
        <is>
          <t>VALVE AND PIPE</t>
        </is>
      </c>
    </row>
    <row r="128">
      <c r="A128" s="22">
        <f>A127+1</f>
        <v/>
      </c>
      <c r="B128" s="79" t="inlineStr">
        <is>
          <t xml:space="preserve">Grendel </t>
        </is>
      </c>
      <c r="C128" s="40" t="inlineStr">
        <is>
          <t>Pcs</t>
        </is>
      </c>
      <c r="D128" s="26">
        <f>'Week  (3)'!U128</f>
        <v/>
      </c>
      <c r="E128" s="125" t="n"/>
      <c r="F128" s="55" t="n"/>
      <c r="G128" s="52" t="n"/>
      <c r="H128" s="55" t="n"/>
      <c r="I128" s="71" t="n"/>
      <c r="J128" s="55" t="n"/>
      <c r="K128" s="19" t="n"/>
      <c r="L128" s="73" t="n"/>
      <c r="M128" s="73" t="n"/>
      <c r="N128" s="73" t="n"/>
      <c r="O128" s="19" t="n"/>
      <c r="P128" s="18" t="n"/>
      <c r="Q128" s="18" t="n"/>
      <c r="R128" s="73" t="n"/>
      <c r="S128" s="18" t="n"/>
      <c r="T128" s="18" t="n"/>
      <c r="U128" s="26">
        <f>D128+F128+-(H128+J128+L128+N128+P128+R128+T128)</f>
        <v/>
      </c>
      <c r="V128" t="inlineStr">
        <is>
          <t>CIVIL</t>
        </is>
      </c>
    </row>
    <row r="129" ht="27" customHeight="1">
      <c r="A129" s="22">
        <f>A128+1</f>
        <v/>
      </c>
      <c r="B129" s="122" t="inlineStr">
        <is>
          <t xml:space="preserve">Hand Shower </t>
        </is>
      </c>
      <c r="C129" s="123" t="inlineStr">
        <is>
          <t>PCS</t>
        </is>
      </c>
      <c r="D129" s="26">
        <f>'Week  (3)'!U129</f>
        <v/>
      </c>
      <c r="E129" s="124" t="n"/>
      <c r="F129" s="62" t="n"/>
      <c r="G129" s="68" t="n"/>
      <c r="H129" s="56" t="n"/>
      <c r="I129" s="19" t="n"/>
      <c r="J129" s="64" t="n"/>
      <c r="K129" s="19" t="n"/>
      <c r="L129" s="73" t="n"/>
      <c r="M129" s="73" t="n"/>
      <c r="N129" s="73" t="n"/>
      <c r="O129" s="19" t="n"/>
      <c r="P129" s="18" t="n"/>
      <c r="Q129" s="18" t="n"/>
      <c r="R129" s="73" t="n"/>
      <c r="S129" s="18" t="n"/>
      <c r="T129" s="18" t="n"/>
      <c r="U129" s="26">
        <f>D129+F129+-(H129+J129+L129+N129+P129+R129+T129)</f>
        <v/>
      </c>
      <c r="V129" t="inlineStr">
        <is>
          <t>SANITARY</t>
        </is>
      </c>
    </row>
    <row r="130" ht="27" customHeight="1">
      <c r="A130" s="22">
        <f>A129+1</f>
        <v/>
      </c>
      <c r="B130" s="122" t="inlineStr">
        <is>
          <t xml:space="preserve">HANDLE PINTU </t>
        </is>
      </c>
      <c r="C130" s="123" t="inlineStr">
        <is>
          <t>Set</t>
        </is>
      </c>
      <c r="D130" s="26">
        <f>'Week  (3)'!U130</f>
        <v/>
      </c>
      <c r="E130" s="124" t="n"/>
      <c r="F130" s="55" t="n"/>
      <c r="G130" s="52" t="n"/>
      <c r="H130" s="55" t="n"/>
      <c r="I130" s="71" t="n"/>
      <c r="J130" s="55" t="n"/>
      <c r="K130" s="18" t="n"/>
      <c r="L130" s="73" t="n"/>
      <c r="M130" s="73" t="n"/>
      <c r="N130" s="73" t="n"/>
      <c r="O130" s="19" t="n"/>
      <c r="P130" s="18" t="n"/>
      <c r="Q130" s="18" t="n"/>
      <c r="R130" s="73" t="n"/>
      <c r="S130" s="18" t="n"/>
      <c r="T130" s="18" t="n"/>
      <c r="U130" s="26">
        <f>D130+F130+-(H130+J130+L130+N130+P130+R130+T130)</f>
        <v/>
      </c>
      <c r="V130" t="inlineStr">
        <is>
          <t>CIVIL</t>
        </is>
      </c>
    </row>
    <row r="131" ht="27" customHeight="1">
      <c r="A131" s="22">
        <f>A130+1</f>
        <v/>
      </c>
      <c r="B131" s="122" t="inlineStr">
        <is>
          <t>Hose of Washing Machine Drain</t>
        </is>
      </c>
      <c r="C131" s="123" t="inlineStr">
        <is>
          <t>PCS</t>
        </is>
      </c>
      <c r="D131" s="26">
        <f>'Week  (3)'!U131</f>
        <v/>
      </c>
      <c r="E131" s="124" t="n"/>
      <c r="F131" s="62" t="n"/>
      <c r="G131" s="25" t="n"/>
      <c r="H131" s="56" t="n"/>
      <c r="I131" s="19" t="n"/>
      <c r="J131" s="64" t="n"/>
      <c r="K131" s="18" t="n"/>
      <c r="L131" s="73" t="n"/>
      <c r="M131" s="73" t="n"/>
      <c r="N131" s="73" t="n"/>
      <c r="O131" s="19" t="n"/>
      <c r="P131" s="18" t="n"/>
      <c r="Q131" s="18" t="n"/>
      <c r="R131" s="73" t="n"/>
      <c r="S131" s="18" t="n"/>
      <c r="T131" s="18" t="n"/>
      <c r="U131" s="26">
        <f>D131+F131+-(H131+J131+L131+N131+P131+R131+T131)</f>
        <v/>
      </c>
      <c r="V131" t="inlineStr">
        <is>
          <t>SANITARY</t>
        </is>
      </c>
    </row>
    <row r="132" ht="13.5" customHeight="1">
      <c r="A132" s="22">
        <f>A131+1</f>
        <v/>
      </c>
      <c r="B132" s="122" t="inlineStr">
        <is>
          <t>Ignition of Stove</t>
        </is>
      </c>
      <c r="C132" s="123" t="inlineStr">
        <is>
          <t>PCS</t>
        </is>
      </c>
      <c r="D132" s="26">
        <f>'Week  (3)'!U132</f>
        <v/>
      </c>
      <c r="E132" s="125" t="n"/>
      <c r="F132" s="55" t="n"/>
      <c r="G132" s="52" t="n"/>
      <c r="H132" s="55" t="n"/>
      <c r="I132" s="71" t="n"/>
      <c r="J132" s="55" t="n"/>
      <c r="K132" s="18" t="n"/>
      <c r="L132" s="73" t="n"/>
      <c r="M132" s="73" t="n"/>
      <c r="N132" s="73" t="n"/>
      <c r="O132" s="19" t="n"/>
      <c r="P132" s="18" t="n"/>
      <c r="Q132" s="18" t="n"/>
      <c r="R132" s="73" t="n"/>
      <c r="S132" s="18" t="n"/>
      <c r="T132" s="18" t="n"/>
      <c r="U132" s="26">
        <f>D132+F132+-(H132+J132+L132+N132+P132+R132+T132)</f>
        <v/>
      </c>
      <c r="V132" t="inlineStr">
        <is>
          <t>SPAREPART</t>
        </is>
      </c>
    </row>
    <row r="133" ht="15" customHeight="1">
      <c r="A133" s="22">
        <f>A132+1</f>
        <v/>
      </c>
      <c r="B133" s="122" t="inlineStr">
        <is>
          <t xml:space="preserve">Jati Plywood </t>
        </is>
      </c>
      <c r="C133" s="123" t="inlineStr">
        <is>
          <t>PCS</t>
        </is>
      </c>
      <c r="D133" s="26">
        <f>'Week  (3)'!U133</f>
        <v/>
      </c>
      <c r="E133" s="124" t="n"/>
      <c r="F133" s="62" t="n"/>
      <c r="G133" s="25" t="n"/>
      <c r="H133" s="56" t="n"/>
      <c r="I133" s="19" t="n"/>
      <c r="J133" s="64" t="n"/>
      <c r="K133" s="18" t="n"/>
      <c r="L133" s="73" t="n"/>
      <c r="M133" s="73" t="n"/>
      <c r="N133" s="73" t="n"/>
      <c r="O133" s="19" t="n"/>
      <c r="P133" s="18" t="n"/>
      <c r="Q133" s="18" t="n"/>
      <c r="R133" s="73" t="n"/>
      <c r="S133" s="18" t="n"/>
      <c r="T133" s="18" t="n"/>
      <c r="U133" s="26">
        <f>D133+F133+-(H133+J133+L133+N133+P133+R133+T133)</f>
        <v/>
      </c>
      <c r="V133" t="inlineStr">
        <is>
          <t>CIVIL</t>
        </is>
      </c>
    </row>
    <row r="134" ht="24" customHeight="1">
      <c r="A134" s="22">
        <f>A133+1</f>
        <v/>
      </c>
      <c r="B134" s="79" t="inlineStr">
        <is>
          <t>Kabel NYY 4 x 2,5</t>
        </is>
      </c>
      <c r="C134" s="29" t="inlineStr">
        <is>
          <t>Meter</t>
        </is>
      </c>
      <c r="D134" s="26">
        <f>'Week  (3)'!U134</f>
        <v/>
      </c>
      <c r="E134" s="125" t="n"/>
      <c r="F134" s="55" t="n"/>
      <c r="G134" s="52" t="n"/>
      <c r="H134" s="55" t="n"/>
      <c r="I134" s="71" t="n"/>
      <c r="J134" s="55" t="n"/>
      <c r="K134" s="18" t="n"/>
      <c r="L134" s="73" t="n"/>
      <c r="M134" s="73" t="n"/>
      <c r="N134" s="73" t="n"/>
      <c r="O134" s="19" t="n"/>
      <c r="P134" s="18" t="n"/>
      <c r="Q134" s="18" t="n"/>
      <c r="R134" s="73" t="n"/>
      <c r="S134" s="18" t="n"/>
      <c r="T134" s="18" t="n"/>
      <c r="U134" s="26">
        <f>D134+F134+-(H134+J134+L134+N134+P134+R134+T134)</f>
        <v/>
      </c>
      <c r="V134" t="inlineStr">
        <is>
          <t>ELECTRICAL</t>
        </is>
      </c>
    </row>
    <row r="135" ht="24" customHeight="1">
      <c r="A135" s="22">
        <f>A134+1</f>
        <v/>
      </c>
      <c r="B135" s="79" t="inlineStr">
        <is>
          <t>Kabel NYYHY 4 x 2,5</t>
        </is>
      </c>
      <c r="C135" s="29" t="inlineStr">
        <is>
          <t>Meter</t>
        </is>
      </c>
      <c r="D135" s="26">
        <f>'Week  (3)'!U135</f>
        <v/>
      </c>
      <c r="E135" s="124" t="n"/>
      <c r="F135" s="62" t="n"/>
      <c r="G135" s="25" t="n"/>
      <c r="H135" s="56" t="n"/>
      <c r="I135" s="19" t="n"/>
      <c r="J135" s="64" t="n"/>
      <c r="K135" s="18" t="n"/>
      <c r="L135" s="73" t="n"/>
      <c r="M135" s="73" t="n"/>
      <c r="N135" s="73" t="n"/>
      <c r="O135" s="19" t="n"/>
      <c r="P135" s="18" t="n"/>
      <c r="Q135" s="18" t="n"/>
      <c r="R135" s="73" t="n"/>
      <c r="S135" s="18" t="n"/>
      <c r="T135" s="18" t="n"/>
      <c r="U135" s="26">
        <f>D135+F135+-(H135+J135+L135+N135+P135+R135+T135)</f>
        <v/>
      </c>
      <c r="V135" t="inlineStr">
        <is>
          <t>ELECTRICAL</t>
        </is>
      </c>
    </row>
    <row r="136" ht="24" customHeight="1">
      <c r="A136" s="22">
        <f>A135+1</f>
        <v/>
      </c>
      <c r="B136" s="79" t="inlineStr">
        <is>
          <t>Kabel NYY 3 x 2,5</t>
        </is>
      </c>
      <c r="C136" s="29" t="inlineStr">
        <is>
          <t>Meter</t>
        </is>
      </c>
      <c r="D136" s="26">
        <f>'Week  (3)'!U136</f>
        <v/>
      </c>
      <c r="E136" s="125" t="n"/>
      <c r="F136" s="55" t="n"/>
      <c r="G136" s="52" t="n"/>
      <c r="H136" s="55" t="n"/>
      <c r="I136" s="71" t="n"/>
      <c r="J136" s="55" t="n"/>
      <c r="K136" s="18" t="n"/>
      <c r="L136" s="73" t="n"/>
      <c r="M136" s="73" t="n"/>
      <c r="N136" s="73" t="n"/>
      <c r="O136" s="19" t="n"/>
      <c r="P136" s="18" t="n"/>
      <c r="Q136" s="18" t="n"/>
      <c r="R136" s="73" t="n"/>
      <c r="S136" s="18" t="n"/>
      <c r="T136" s="18" t="n"/>
      <c r="U136" s="26">
        <f>D136+F136+-(H136+J136+L136+N136+P136+R136+T136)</f>
        <v/>
      </c>
      <c r="V136" t="inlineStr">
        <is>
          <t>ELECTRICAL</t>
        </is>
      </c>
    </row>
    <row r="137" ht="24" customHeight="1">
      <c r="A137" s="22">
        <f>A136+1</f>
        <v/>
      </c>
      <c r="B137" s="79" t="inlineStr">
        <is>
          <t>Kabel NYM 3 x 2,5</t>
        </is>
      </c>
      <c r="C137" s="29" t="inlineStr">
        <is>
          <t>Meter</t>
        </is>
      </c>
      <c r="D137" s="26">
        <f>'Week  (3)'!U137</f>
        <v/>
      </c>
      <c r="E137" s="124" t="n"/>
      <c r="F137" s="62" t="n"/>
      <c r="G137" s="25" t="n"/>
      <c r="H137" s="56" t="n"/>
      <c r="I137" s="25" t="n"/>
      <c r="J137" s="56" t="n"/>
      <c r="K137" s="25" t="n"/>
      <c r="L137" s="73" t="n"/>
      <c r="M137" s="73" t="n"/>
      <c r="N137" s="73" t="n"/>
      <c r="O137" s="19" t="n"/>
      <c r="P137" s="18" t="n"/>
      <c r="Q137" s="18" t="n"/>
      <c r="R137" s="73" t="n"/>
      <c r="S137" s="18" t="n"/>
      <c r="T137" s="18" t="n"/>
      <c r="U137" s="26">
        <f>D137+F137+-(H137+J137+L137+N137+P137+R137+T137)</f>
        <v/>
      </c>
      <c r="V137" t="inlineStr">
        <is>
          <t>ELECTRICAL</t>
        </is>
      </c>
    </row>
    <row r="138" ht="24" customHeight="1">
      <c r="A138" s="22">
        <f>A137+1</f>
        <v/>
      </c>
      <c r="B138" s="79" t="inlineStr">
        <is>
          <t>Kabel NYM 3 x 1,5</t>
        </is>
      </c>
      <c r="C138" s="29" t="inlineStr">
        <is>
          <t>Meter</t>
        </is>
      </c>
      <c r="D138" s="26">
        <f>'Week  (3)'!U138</f>
        <v/>
      </c>
      <c r="E138" s="124" t="n"/>
      <c r="F138" s="62" t="n"/>
      <c r="G138" s="25" t="n"/>
      <c r="H138" s="56" t="n"/>
      <c r="I138" s="25" t="n"/>
      <c r="J138" s="56" t="n"/>
      <c r="K138" s="19" t="n"/>
      <c r="L138" s="73" t="n"/>
      <c r="M138" s="73" t="n"/>
      <c r="N138" s="73" t="n"/>
      <c r="O138" s="19" t="inlineStr">
        <is>
          <t>Lombok 2</t>
        </is>
      </c>
      <c r="P138" s="18" t="n">
        <v>7</v>
      </c>
      <c r="Q138" s="18" t="n"/>
      <c r="R138" s="73" t="n"/>
      <c r="S138" s="18" t="n"/>
      <c r="T138" s="18" t="n"/>
      <c r="U138" s="26">
        <f>D138+F138+-(H138+J138+L138+N138+P138+R138+T138)</f>
        <v/>
      </c>
      <c r="V138" t="inlineStr">
        <is>
          <t>ELECTRICAL</t>
        </is>
      </c>
    </row>
    <row r="139" ht="24" customHeight="1">
      <c r="A139" s="22">
        <f>A138+1</f>
        <v/>
      </c>
      <c r="B139" s="79" t="inlineStr">
        <is>
          <t>Kawat Seling Calfit</t>
        </is>
      </c>
      <c r="C139" s="29" t="inlineStr">
        <is>
          <t>M</t>
        </is>
      </c>
      <c r="D139" s="26">
        <f>'Week  (3)'!U139</f>
        <v/>
      </c>
      <c r="E139" s="125" t="n"/>
      <c r="F139" s="55" t="n"/>
      <c r="G139" s="52" t="n"/>
      <c r="H139" s="55" t="n"/>
      <c r="I139" s="71" t="n"/>
      <c r="J139" s="55" t="n"/>
      <c r="K139" s="18" t="n"/>
      <c r="L139" s="73" t="n"/>
      <c r="M139" s="73" t="n"/>
      <c r="N139" s="73" t="n"/>
      <c r="O139" s="19" t="n"/>
      <c r="P139" s="18" t="n"/>
      <c r="Q139" s="18" t="n"/>
      <c r="R139" s="73" t="n"/>
      <c r="S139" s="18" t="n"/>
      <c r="T139" s="18" t="n"/>
      <c r="U139" s="26">
        <f>D139+F139+-(H139+J139+L139+N139+P139+R139+T139)</f>
        <v/>
      </c>
      <c r="V139" t="inlineStr">
        <is>
          <t>CONSUMABLE</t>
        </is>
      </c>
    </row>
    <row r="140" ht="27" customHeight="1">
      <c r="A140" s="22">
        <f>A139+1</f>
        <v/>
      </c>
      <c r="B140" s="122" t="inlineStr">
        <is>
          <t>Kayu 3 x 20 x 4</t>
        </is>
      </c>
      <c r="C140" s="123" t="inlineStr">
        <is>
          <t>Batang</t>
        </is>
      </c>
      <c r="D140" s="26">
        <f>'Week  (3)'!U140</f>
        <v/>
      </c>
      <c r="E140" s="124" t="n"/>
      <c r="F140" s="62" t="n"/>
      <c r="G140" s="25" t="n"/>
      <c r="H140" s="56" t="n"/>
      <c r="I140" s="19" t="n"/>
      <c r="J140" s="64" t="n"/>
      <c r="K140" s="18" t="n"/>
      <c r="L140" s="73" t="n"/>
      <c r="M140" s="73" t="n"/>
      <c r="N140" s="73" t="n"/>
      <c r="O140" s="19" t="n"/>
      <c r="P140" s="18" t="n"/>
      <c r="Q140" s="18" t="n"/>
      <c r="R140" s="73" t="n"/>
      <c r="S140" s="18" t="n"/>
      <c r="T140" s="18" t="n"/>
      <c r="U140" s="26">
        <f>D140+F140+-(H140+J140+L140+N140+P140+R140+T140)</f>
        <v/>
      </c>
      <c r="V140" t="inlineStr">
        <is>
          <t>CIVIL</t>
        </is>
      </c>
    </row>
    <row r="141" ht="25.5" customHeight="1">
      <c r="A141" s="22">
        <f>A140+1</f>
        <v/>
      </c>
      <c r="B141" s="122" t="inlineStr">
        <is>
          <t>Kayu 6 x 12 x 4</t>
        </is>
      </c>
      <c r="C141" s="123" t="inlineStr">
        <is>
          <t>Batang</t>
        </is>
      </c>
      <c r="D141" s="26">
        <f>'Week  (3)'!U141</f>
        <v/>
      </c>
      <c r="E141" s="125" t="n"/>
      <c r="F141" s="55" t="n"/>
      <c r="G141" s="52" t="n"/>
      <c r="H141" s="55" t="n"/>
      <c r="I141" s="71" t="n"/>
      <c r="J141" s="55" t="n"/>
      <c r="K141" s="18" t="n"/>
      <c r="L141" s="73" t="n"/>
      <c r="M141" s="73" t="n"/>
      <c r="N141" s="73" t="n"/>
      <c r="O141" s="19" t="n"/>
      <c r="P141" s="18" t="n"/>
      <c r="Q141" s="18" t="n"/>
      <c r="R141" s="73" t="n"/>
      <c r="S141" s="18" t="n"/>
      <c r="T141" s="18" t="n"/>
      <c r="U141" s="26">
        <f>D141+F141+-(H141+J141+L141+N141+P141+R141+T141)</f>
        <v/>
      </c>
      <c r="V141" t="inlineStr">
        <is>
          <t>CIVIL</t>
        </is>
      </c>
    </row>
    <row r="142" ht="27" customHeight="1">
      <c r="A142" s="22">
        <f>A141+1</f>
        <v/>
      </c>
      <c r="B142" s="122" t="inlineStr">
        <is>
          <t>Kayu 6 x 15 x 4</t>
        </is>
      </c>
      <c r="C142" s="123" t="inlineStr">
        <is>
          <t>Batang</t>
        </is>
      </c>
      <c r="D142" s="26">
        <f>'Week  (3)'!U142</f>
        <v/>
      </c>
      <c r="E142" s="124" t="n"/>
      <c r="F142" s="62" t="n"/>
      <c r="G142" s="25" t="n"/>
      <c r="H142" s="56" t="n"/>
      <c r="I142" s="19" t="n"/>
      <c r="J142" s="64" t="n"/>
      <c r="K142" s="18" t="n"/>
      <c r="L142" s="73" t="n"/>
      <c r="M142" s="73" t="n"/>
      <c r="N142" s="73" t="n"/>
      <c r="O142" s="19" t="n"/>
      <c r="P142" s="18" t="n"/>
      <c r="Q142" s="18" t="n"/>
      <c r="R142" s="73" t="n"/>
      <c r="S142" s="18" t="n"/>
      <c r="T142" s="18" t="n"/>
      <c r="U142" s="26">
        <f>D142+F142+-(H142+J142+L142+N142+P142+R142+T142)</f>
        <v/>
      </c>
      <c r="V142" t="inlineStr">
        <is>
          <t>CIVIL</t>
        </is>
      </c>
    </row>
    <row r="143" ht="13.5" customHeight="1">
      <c r="A143" s="22">
        <f>A142+1</f>
        <v/>
      </c>
      <c r="B143" s="122" t="inlineStr">
        <is>
          <t>Kayu 8 x 12 x 4</t>
        </is>
      </c>
      <c r="C143" s="123" t="inlineStr">
        <is>
          <t>Batang</t>
        </is>
      </c>
      <c r="D143" s="26">
        <f>'Week  (3)'!U143</f>
        <v/>
      </c>
      <c r="E143" s="125" t="n"/>
      <c r="F143" s="55" t="n"/>
      <c r="G143" s="52" t="n"/>
      <c r="H143" s="55" t="n"/>
      <c r="I143" s="71" t="n"/>
      <c r="J143" s="55" t="n"/>
      <c r="K143" s="18" t="n"/>
      <c r="L143" s="73" t="n"/>
      <c r="M143" s="73" t="n"/>
      <c r="N143" s="73" t="n"/>
      <c r="O143" s="19" t="n"/>
      <c r="P143" s="18" t="n"/>
      <c r="Q143" s="18" t="n"/>
      <c r="R143" s="73" t="n"/>
      <c r="S143" s="18" t="n"/>
      <c r="T143" s="18" t="n"/>
      <c r="U143" s="26">
        <f>D143+F143+-(H143+J143+L143+N143+P143+R143+T143)</f>
        <v/>
      </c>
      <c r="V143" t="inlineStr">
        <is>
          <t>CIVIL</t>
        </is>
      </c>
    </row>
    <row r="144" ht="27.75" customHeight="1">
      <c r="A144" s="22">
        <f>A143+1</f>
        <v/>
      </c>
      <c r="B144" s="79" t="inlineStr">
        <is>
          <t>Klem Selang LPG</t>
        </is>
      </c>
      <c r="C144" s="40" t="inlineStr">
        <is>
          <t>Pcs</t>
        </is>
      </c>
      <c r="D144" s="26">
        <f>'Week  (3)'!U144</f>
        <v/>
      </c>
      <c r="E144" s="124" t="n"/>
      <c r="F144" s="62" t="n"/>
      <c r="G144" s="25" t="n"/>
      <c r="H144" s="56" t="n"/>
      <c r="I144" s="19" t="n"/>
      <c r="J144" s="64" t="n"/>
      <c r="K144" s="18" t="n"/>
      <c r="L144" s="73" t="n"/>
      <c r="M144" s="73" t="n"/>
      <c r="N144" s="73" t="n"/>
      <c r="O144" s="19" t="n"/>
      <c r="P144" s="18" t="n"/>
      <c r="Q144" s="18" t="n"/>
      <c r="R144" s="73" t="n"/>
      <c r="S144" s="18" t="n"/>
      <c r="T144" s="18" t="n"/>
      <c r="U144" s="26">
        <f>D144+F144+-(H144+J144+L144+N144+P144+R144+T144)</f>
        <v/>
      </c>
      <c r="V144" t="inlineStr">
        <is>
          <t>CONSUMABLE</t>
        </is>
      </c>
    </row>
    <row r="145" ht="26.25" customHeight="1">
      <c r="A145" s="22">
        <f>A144+1</f>
        <v/>
      </c>
      <c r="B145" s="79" t="inlineStr">
        <is>
          <t>Klem Seling Calfit</t>
        </is>
      </c>
      <c r="C145" s="29" t="inlineStr">
        <is>
          <t>Pcs</t>
        </is>
      </c>
      <c r="D145" s="26">
        <f>'Week  (3)'!U145</f>
        <v/>
      </c>
      <c r="E145" s="125" t="n"/>
      <c r="F145" s="55" t="n"/>
      <c r="G145" s="52" t="n"/>
      <c r="H145" s="55" t="n"/>
      <c r="I145" s="71" t="n"/>
      <c r="J145" s="55" t="n"/>
      <c r="K145" s="18" t="n"/>
      <c r="L145" s="73" t="n"/>
      <c r="M145" s="73" t="n"/>
      <c r="N145" s="73" t="n"/>
      <c r="O145" s="19" t="n"/>
      <c r="P145" s="18" t="n"/>
      <c r="Q145" s="18" t="n"/>
      <c r="R145" s="73" t="n"/>
      <c r="S145" s="18" t="n"/>
      <c r="T145" s="18" t="n"/>
      <c r="U145" s="26">
        <f>D145+F145+-(H145+J145+L145+N145+P145+R145+T145)</f>
        <v/>
      </c>
      <c r="V145" t="inlineStr">
        <is>
          <t>CONSUMABLE</t>
        </is>
      </c>
    </row>
    <row r="146" ht="26.25" customHeight="1">
      <c r="A146" s="22">
        <f>A145+1</f>
        <v/>
      </c>
      <c r="B146" s="27" t="inlineStr">
        <is>
          <t>Kuas 3"</t>
        </is>
      </c>
      <c r="C146" s="123" t="inlineStr">
        <is>
          <t>PCS</t>
        </is>
      </c>
      <c r="D146" s="26">
        <f>'Week  (3)'!U146</f>
        <v/>
      </c>
      <c r="E146" s="124" t="n"/>
      <c r="F146" s="62" t="n"/>
      <c r="G146" s="25" t="n"/>
      <c r="H146" s="56" t="n"/>
      <c r="I146" s="19" t="n"/>
      <c r="J146" s="64" t="n"/>
      <c r="K146" s="18" t="n"/>
      <c r="L146" s="73" t="n"/>
      <c r="M146" s="73" t="n"/>
      <c r="N146" s="73" t="n"/>
      <c r="O146" s="19" t="n"/>
      <c r="P146" s="18" t="n"/>
      <c r="Q146" s="18" t="n"/>
      <c r="R146" s="73" t="n"/>
      <c r="S146" s="18" t="n"/>
      <c r="T146" s="18" t="n"/>
      <c r="U146" s="26">
        <f>D146+F146+-(H146+J146+L146+N146+P146+R146+T146)</f>
        <v/>
      </c>
      <c r="V146" t="inlineStr">
        <is>
          <t>CONSUMABLE</t>
        </is>
      </c>
    </row>
    <row r="147" ht="15" customHeight="1">
      <c r="A147" s="22">
        <f>A146+1</f>
        <v/>
      </c>
      <c r="B147" s="27" t="inlineStr">
        <is>
          <t>Kuas 2"</t>
        </is>
      </c>
      <c r="C147" s="123" t="inlineStr">
        <is>
          <t>PCS</t>
        </is>
      </c>
      <c r="D147" s="26">
        <f>'Week  (3)'!U147</f>
        <v/>
      </c>
      <c r="E147" s="124" t="n"/>
      <c r="F147" s="55" t="n"/>
      <c r="G147" s="52" t="n"/>
      <c r="H147" s="55" t="n"/>
      <c r="I147" s="19" t="n"/>
      <c r="J147" s="55" t="n"/>
      <c r="K147" s="18" t="n"/>
      <c r="L147" s="73" t="n"/>
      <c r="M147" s="73" t="n"/>
      <c r="N147" s="73" t="n"/>
      <c r="O147" s="19" t="n"/>
      <c r="P147" s="18" t="n"/>
      <c r="Q147" s="18" t="n"/>
      <c r="R147" s="73" t="n"/>
      <c r="S147" s="18" t="n"/>
      <c r="T147" s="18" t="n"/>
      <c r="U147" s="26">
        <f>D147+F147+-(H147+J147+L147+N147+P147+R147+T147)</f>
        <v/>
      </c>
      <c r="V147" t="inlineStr">
        <is>
          <t>CONSUMABLE</t>
        </is>
      </c>
    </row>
    <row r="148" ht="15" customHeight="1">
      <c r="A148" s="22">
        <f>A147+1</f>
        <v/>
      </c>
      <c r="B148" s="78" t="inlineStr">
        <is>
          <t xml:space="preserve">Pipa AC Inverter 1 PK </t>
        </is>
      </c>
      <c r="C148" s="123" t="inlineStr">
        <is>
          <t>PCS</t>
        </is>
      </c>
      <c r="D148" s="26">
        <f>'Week  (3)'!U148</f>
        <v/>
      </c>
      <c r="E148" s="124" t="n"/>
      <c r="F148" s="55" t="n"/>
      <c r="G148" s="52" t="n"/>
      <c r="H148" s="55" t="n"/>
      <c r="I148" s="52" t="n"/>
      <c r="J148" s="55" t="n"/>
      <c r="K148" s="52" t="n"/>
      <c r="L148" s="55" t="n"/>
      <c r="M148" s="73" t="n"/>
      <c r="N148" s="73" t="n"/>
      <c r="O148" s="19" t="n"/>
      <c r="P148" s="18" t="n"/>
      <c r="Q148" s="19" t="n"/>
      <c r="R148" s="18" t="n"/>
      <c r="S148" s="18" t="n"/>
      <c r="T148" s="18" t="n"/>
      <c r="U148" s="26">
        <f>D148+F148+-(H148+J148+L148+N148+P148+R148+T148)</f>
        <v/>
      </c>
      <c r="V148" t="inlineStr">
        <is>
          <t>AC</t>
        </is>
      </c>
    </row>
    <row r="149" ht="15" customHeight="1">
      <c r="A149" s="22">
        <f>A148+1</f>
        <v/>
      </c>
      <c r="B149" s="78" t="inlineStr">
        <is>
          <t xml:space="preserve">Pipa AC Inverter 1,5 PK </t>
        </is>
      </c>
      <c r="C149" s="123" t="inlineStr">
        <is>
          <t>PCS</t>
        </is>
      </c>
      <c r="D149" s="26">
        <f>'Week  (3)'!U149</f>
        <v/>
      </c>
      <c r="E149" s="124" t="n"/>
      <c r="F149" s="55" t="n"/>
      <c r="G149" s="52" t="n"/>
      <c r="H149" s="55" t="n"/>
      <c r="I149" s="71" t="n"/>
      <c r="J149" s="55" t="n"/>
      <c r="K149" s="52" t="n"/>
      <c r="L149" s="55" t="n"/>
      <c r="M149" s="73" t="n"/>
      <c r="N149" s="73" t="n"/>
      <c r="O149" s="19" t="n"/>
      <c r="P149" s="18" t="n"/>
      <c r="Q149" s="18" t="n"/>
      <c r="R149" s="73" t="n"/>
      <c r="S149" s="18" t="n"/>
      <c r="T149" s="18" t="n"/>
      <c r="U149" s="26">
        <f>D149+F149+-(H149+J149+L149+N149+P149+R149+T149)</f>
        <v/>
      </c>
      <c r="V149" t="inlineStr">
        <is>
          <t>AC</t>
        </is>
      </c>
    </row>
    <row r="150" ht="27" customHeight="1">
      <c r="A150" s="22">
        <f>A149+1</f>
        <v/>
      </c>
      <c r="B150" s="79" t="inlineStr">
        <is>
          <t>LAMPU LED PHILIPS 6 WATT KUNING</t>
        </is>
      </c>
      <c r="C150" s="123" t="inlineStr">
        <is>
          <t>PCS</t>
        </is>
      </c>
      <c r="D150" s="26">
        <f>'Week  (3)'!U150</f>
        <v/>
      </c>
      <c r="E150" s="124" t="n"/>
      <c r="F150" s="62" t="n"/>
      <c r="G150" s="25" t="n"/>
      <c r="H150" s="56" t="n"/>
      <c r="I150" s="19" t="n"/>
      <c r="J150" s="64" t="n"/>
      <c r="K150" s="18" t="n"/>
      <c r="L150" s="73" t="n"/>
      <c r="M150" s="73" t="n"/>
      <c r="N150" s="73" t="n"/>
      <c r="O150" s="19" t="n"/>
      <c r="P150" s="18" t="n"/>
      <c r="Q150" s="18" t="n"/>
      <c r="R150" s="73" t="n"/>
      <c r="S150" s="18" t="n"/>
      <c r="T150" s="18" t="n"/>
      <c r="U150" s="26">
        <f>D150+F150+-(H150+J150+L150+N150+P150+R150+T150)</f>
        <v/>
      </c>
      <c r="V150" t="inlineStr">
        <is>
          <t>LAMP</t>
        </is>
      </c>
    </row>
    <row r="151" ht="15" customHeight="1">
      <c r="A151" s="22">
        <f>A150+1</f>
        <v/>
      </c>
      <c r="B151" s="44" t="inlineStr">
        <is>
          <t>Lampu HPLN Philips 250  Watt</t>
        </is>
      </c>
      <c r="C151" s="123" t="inlineStr">
        <is>
          <t>PCS</t>
        </is>
      </c>
      <c r="D151" s="26">
        <f>'Week  (3)'!U151</f>
        <v/>
      </c>
      <c r="E151" s="125" t="n"/>
      <c r="F151" s="55" t="n"/>
      <c r="G151" s="52" t="n"/>
      <c r="H151" s="55" t="n"/>
      <c r="I151" s="71" t="n"/>
      <c r="J151" s="55" t="n"/>
      <c r="K151" s="18" t="n"/>
      <c r="L151" s="73" t="n"/>
      <c r="M151" s="73" t="n"/>
      <c r="N151" s="73" t="n"/>
      <c r="O151" s="19" t="n"/>
      <c r="P151" s="18" t="n"/>
      <c r="Q151" s="18" t="n"/>
      <c r="R151" s="73" t="n"/>
      <c r="S151" s="18" t="n"/>
      <c r="T151" s="18" t="n"/>
      <c r="U151" s="26">
        <f>D151+F151+-(H151+J151+L151+N151+P151+R151+T151)</f>
        <v/>
      </c>
      <c r="V151" t="inlineStr">
        <is>
          <t>LAMP</t>
        </is>
      </c>
    </row>
    <row r="152" ht="25.5" customHeight="1">
      <c r="A152" s="22">
        <f>A151+1</f>
        <v/>
      </c>
      <c r="B152" s="44" t="inlineStr">
        <is>
          <t>LED  DRIVER POWER 56 WATT 50/60 HZ</t>
        </is>
      </c>
      <c r="C152" s="123" t="inlineStr">
        <is>
          <t>PCS</t>
        </is>
      </c>
      <c r="D152" s="26">
        <f>'Week  (3)'!U152</f>
        <v/>
      </c>
      <c r="E152" s="124" t="n"/>
      <c r="F152" s="62" t="n"/>
      <c r="G152" s="25" t="n"/>
      <c r="H152" s="56" t="n"/>
      <c r="I152" s="19" t="n"/>
      <c r="J152" s="64" t="n"/>
      <c r="K152" s="18" t="n"/>
      <c r="L152" s="73" t="n"/>
      <c r="M152" s="73" t="n"/>
      <c r="N152" s="73" t="n"/>
      <c r="O152" s="19" t="n"/>
      <c r="P152" s="18" t="n"/>
      <c r="Q152" s="18" t="n"/>
      <c r="R152" s="73" t="n"/>
      <c r="S152" s="18" t="n"/>
      <c r="T152" s="18" t="n"/>
      <c r="U152" s="26">
        <f>D152+F152+-(H152+J152+L152+N152+P152+R152+T152)</f>
        <v/>
      </c>
      <c r="V152" t="inlineStr">
        <is>
          <t>LAMP</t>
        </is>
      </c>
    </row>
    <row r="153" ht="14.25" customHeight="1">
      <c r="A153" s="22">
        <f>A152+1</f>
        <v/>
      </c>
      <c r="B153" s="79" t="inlineStr">
        <is>
          <t xml:space="preserve">LAMPU LED PHILIPS 10 WATT </t>
        </is>
      </c>
      <c r="C153" s="29" t="inlineStr">
        <is>
          <t>Pcs</t>
        </is>
      </c>
      <c r="D153" s="26">
        <f>'Week  (3)'!U153</f>
        <v/>
      </c>
      <c r="E153" s="125" t="n"/>
      <c r="F153" s="55" t="n"/>
      <c r="G153" s="72" t="n"/>
      <c r="H153" s="55" t="n"/>
      <c r="I153" s="71" t="n"/>
      <c r="J153" s="55" t="n"/>
      <c r="K153" s="18" t="n"/>
      <c r="L153" s="73" t="n"/>
      <c r="M153" s="73" t="n"/>
      <c r="N153" s="73" t="n"/>
      <c r="O153" s="19" t="n"/>
      <c r="P153" s="18" t="n"/>
      <c r="Q153" s="19" t="n"/>
      <c r="R153" s="73" t="n"/>
      <c r="S153" s="18" t="inlineStr">
        <is>
          <t>Lombok 24</t>
        </is>
      </c>
      <c r="T153" s="18" t="n">
        <v>1</v>
      </c>
      <c r="U153" s="26">
        <f>D153+F153+-(H153+J153+L153+N153+P153+R153+T153)</f>
        <v/>
      </c>
      <c r="V153" t="inlineStr">
        <is>
          <t>LAMP</t>
        </is>
      </c>
    </row>
    <row r="154" ht="14.25" customHeight="1">
      <c r="A154" s="22">
        <f>A153+1</f>
        <v/>
      </c>
      <c r="B154" s="79" t="inlineStr">
        <is>
          <t xml:space="preserve">LAMPU LED PHILIPS  8 WATT </t>
        </is>
      </c>
      <c r="C154" s="29" t="inlineStr">
        <is>
          <t>Pcs</t>
        </is>
      </c>
      <c r="D154" s="26">
        <f>'Week  (3)'!U154</f>
        <v/>
      </c>
      <c r="E154" s="124" t="n"/>
      <c r="F154" s="62" t="n"/>
      <c r="G154" s="25" t="n"/>
      <c r="H154" s="56" t="n"/>
      <c r="I154" s="19" t="n"/>
      <c r="J154" s="64" t="n"/>
      <c r="K154" s="18" t="n"/>
      <c r="L154" s="73" t="n"/>
      <c r="M154" s="73" t="n"/>
      <c r="N154" s="73" t="n"/>
      <c r="O154" s="19" t="n"/>
      <c r="P154" s="18" t="n"/>
      <c r="Q154" s="18" t="n"/>
      <c r="R154" s="73" t="n"/>
      <c r="S154" s="18" t="n"/>
      <c r="T154" s="18" t="n"/>
      <c r="U154" s="26">
        <f>D154+F154+-(H154+J154+L154+N154+P154+R154+T154)</f>
        <v/>
      </c>
      <c r="V154" t="inlineStr">
        <is>
          <t>LAMP</t>
        </is>
      </c>
    </row>
    <row r="155" ht="14.25" customHeight="1">
      <c r="A155" s="22">
        <f>A154+1</f>
        <v/>
      </c>
      <c r="B155" s="79" t="inlineStr">
        <is>
          <t>LAMPU LED PHILIPS 14,5 WATT</t>
        </is>
      </c>
      <c r="C155" s="29" t="inlineStr">
        <is>
          <t>Pcs</t>
        </is>
      </c>
      <c r="D155" s="26">
        <f>'Week  (3)'!U155</f>
        <v/>
      </c>
      <c r="E155" s="125" t="n"/>
      <c r="F155" s="55" t="n"/>
      <c r="G155" s="52" t="n"/>
      <c r="H155" s="55" t="n"/>
      <c r="I155" s="71" t="n"/>
      <c r="J155" s="55" t="n"/>
      <c r="K155" s="71" t="n"/>
      <c r="L155" s="55" t="n"/>
      <c r="M155" s="73" t="n"/>
      <c r="N155" s="73" t="n"/>
      <c r="O155" s="19" t="n"/>
      <c r="P155" s="18" t="n"/>
      <c r="Q155" s="19" t="n"/>
      <c r="R155" s="73" t="n"/>
      <c r="S155" s="18" t="n"/>
      <c r="T155" s="18" t="n"/>
      <c r="U155" s="26">
        <f>D155+F155+-(H155+J155+L155+N155+P155+R155+T155)</f>
        <v/>
      </c>
      <c r="V155" t="inlineStr">
        <is>
          <t>LAMP</t>
        </is>
      </c>
    </row>
    <row r="156" ht="38.25" customHeight="1">
      <c r="A156" s="22">
        <f>A155+1</f>
        <v/>
      </c>
      <c r="B156" s="79" t="inlineStr">
        <is>
          <t>LAMPU LED PHILIPS 6 WATT</t>
        </is>
      </c>
      <c r="C156" s="29" t="inlineStr">
        <is>
          <t>Pcs</t>
        </is>
      </c>
      <c r="D156" s="26">
        <f>'Week  (3)'!U156</f>
        <v/>
      </c>
      <c r="E156" s="129" t="n">
        <v>46017</v>
      </c>
      <c r="F156" s="62" t="n">
        <v>16</v>
      </c>
      <c r="G156" s="68" t="n"/>
      <c r="H156" s="56" t="n"/>
      <c r="I156" s="19" t="n"/>
      <c r="J156" s="64" t="n"/>
      <c r="K156" s="73" t="inlineStr">
        <is>
          <t xml:space="preserve">Rechall =1, Lombok 15 =2, Lombok 6 =1, </t>
        </is>
      </c>
      <c r="L156" s="73">
        <f>1+2+1</f>
        <v/>
      </c>
      <c r="M156" s="73" t="inlineStr">
        <is>
          <t>Sumatera 5=1, Madura 25=1</t>
        </is>
      </c>
      <c r="N156" s="73">
        <f>1+1</f>
        <v/>
      </c>
      <c r="O156" s="19" t="inlineStr">
        <is>
          <t>Jawa 4</t>
        </is>
      </c>
      <c r="P156" s="18" t="n">
        <v>1</v>
      </c>
      <c r="Q156" s="19" t="n"/>
      <c r="R156" s="73" t="n"/>
      <c r="S156" s="19" t="inlineStr">
        <is>
          <t>Jawa 6</t>
        </is>
      </c>
      <c r="T156" s="18" t="n">
        <v>4</v>
      </c>
      <c r="U156" s="26">
        <f>D156+F156+-(H156+J156+L156+N156+P156+R156+T156)</f>
        <v/>
      </c>
      <c r="V156" t="inlineStr">
        <is>
          <t>LAMP</t>
        </is>
      </c>
    </row>
    <row r="157" ht="25.5" customHeight="1">
      <c r="A157" s="22">
        <f>A156+1</f>
        <v/>
      </c>
      <c r="B157" s="44" t="inlineStr">
        <is>
          <t>Lampu REFLEKTOR TOKI RF220V 500W</t>
        </is>
      </c>
      <c r="C157" s="123" t="inlineStr">
        <is>
          <t>PCS</t>
        </is>
      </c>
      <c r="D157" s="26">
        <f>'Week  (3)'!U157</f>
        <v/>
      </c>
      <c r="E157" s="125" t="n"/>
      <c r="F157" s="55" t="n"/>
      <c r="G157" s="52" t="n"/>
      <c r="H157" s="55" t="n"/>
      <c r="I157" s="71" t="n"/>
      <c r="J157" s="55" t="n"/>
      <c r="K157" s="18" t="n"/>
      <c r="L157" s="73" t="n"/>
      <c r="M157" s="73" t="n"/>
      <c r="N157" s="73" t="n"/>
      <c r="O157" s="19" t="n"/>
      <c r="P157" s="18" t="n"/>
      <c r="Q157" s="18" t="n"/>
      <c r="R157" s="73" t="n"/>
      <c r="S157" s="18" t="n"/>
      <c r="T157" s="18" t="n"/>
      <c r="U157" s="26">
        <f>D157+F157+-(H157+J157+L157+N157+P157+R157+T157)</f>
        <v/>
      </c>
      <c r="V157" t="inlineStr">
        <is>
          <t>LAMP</t>
        </is>
      </c>
    </row>
    <row r="158" ht="15" customHeight="1">
      <c r="A158" s="22">
        <f>A157+1</f>
        <v/>
      </c>
      <c r="B158" s="122" t="inlineStr">
        <is>
          <t>Lem Fox</t>
        </is>
      </c>
      <c r="C158" s="123" t="inlineStr">
        <is>
          <t>Pcs</t>
        </is>
      </c>
      <c r="D158" s="26">
        <f>'Week  (3)'!U158</f>
        <v/>
      </c>
      <c r="E158" s="124" t="n"/>
      <c r="F158" s="62" t="n"/>
      <c r="G158" s="25" t="n"/>
      <c r="H158" s="56" t="n"/>
      <c r="I158" s="19" t="n"/>
      <c r="J158" s="64" t="n"/>
      <c r="K158" s="73" t="n"/>
      <c r="L158" s="73" t="n"/>
      <c r="M158" s="73" t="n"/>
      <c r="N158" s="73" t="n"/>
      <c r="O158" s="19" t="n"/>
      <c r="P158" s="18" t="n"/>
      <c r="Q158" s="18" t="n"/>
      <c r="R158" s="73" t="n"/>
      <c r="S158" s="18" t="n"/>
      <c r="T158" s="18" t="n"/>
      <c r="U158" s="26">
        <f>D158+F158+-(H158+J158+L158+N158+P158+R158+T158)</f>
        <v/>
      </c>
      <c r="V158" t="inlineStr">
        <is>
          <t>CIVIL</t>
        </is>
      </c>
    </row>
    <row r="159" ht="15" customHeight="1">
      <c r="A159" s="22">
        <f>A158+1</f>
        <v/>
      </c>
      <c r="B159" s="122" t="inlineStr">
        <is>
          <t>Level Switch, RADAR</t>
        </is>
      </c>
      <c r="C159" s="123" t="inlineStr">
        <is>
          <t>PCS</t>
        </is>
      </c>
      <c r="D159" s="26">
        <f>'Week  (3)'!U159</f>
        <v/>
      </c>
      <c r="E159" s="125" t="n"/>
      <c r="F159" s="55" t="n"/>
      <c r="G159" s="52" t="n"/>
      <c r="H159" s="55" t="n"/>
      <c r="I159" s="71" t="n"/>
      <c r="J159" s="55" t="n"/>
      <c r="K159" s="18" t="n"/>
      <c r="L159" s="73" t="n"/>
      <c r="M159" s="73" t="n"/>
      <c r="N159" s="73" t="n"/>
      <c r="O159" s="19" t="n"/>
      <c r="P159" s="18" t="n"/>
      <c r="Q159" s="18" t="n"/>
      <c r="R159" s="73" t="n"/>
      <c r="S159" s="18" t="n"/>
      <c r="T159" s="18" t="n"/>
      <c r="U159" s="26">
        <f>D159+F159+-(H159+J159+L159+N159+P159+R159+T159)</f>
        <v/>
      </c>
      <c r="V159" t="inlineStr">
        <is>
          <t>SANITARY</t>
        </is>
      </c>
    </row>
    <row r="160" ht="15" customHeight="1">
      <c r="A160" s="22">
        <f>A159+1</f>
        <v/>
      </c>
      <c r="B160" s="122" t="inlineStr">
        <is>
          <t>FLOAT SWITCH</t>
        </is>
      </c>
      <c r="C160" s="123" t="inlineStr">
        <is>
          <t>PCS</t>
        </is>
      </c>
      <c r="D160" s="26">
        <f>'Week  (3)'!U160</f>
        <v/>
      </c>
      <c r="E160" s="124" t="n"/>
      <c r="F160" s="62" t="n"/>
      <c r="G160" s="25" t="n"/>
      <c r="H160" s="56" t="n"/>
      <c r="I160" s="19" t="n"/>
      <c r="J160" s="64" t="n"/>
      <c r="K160" s="18" t="n"/>
      <c r="L160" s="73" t="n"/>
      <c r="M160" s="73" t="n"/>
      <c r="N160" s="73" t="n"/>
      <c r="O160" s="19" t="n"/>
      <c r="P160" s="18" t="n"/>
      <c r="Q160" s="18" t="n"/>
      <c r="R160" s="73" t="n"/>
      <c r="S160" s="18" t="n"/>
      <c r="T160" s="18" t="n"/>
      <c r="U160" s="26">
        <f>D160+F160+-(H160+J160+L160+N160+P160+R160+T160)</f>
        <v/>
      </c>
      <c r="V160" t="inlineStr">
        <is>
          <t>SANITARY</t>
        </is>
      </c>
    </row>
    <row r="161" ht="15" customHeight="1">
      <c r="A161" s="22">
        <f>A160+1</f>
        <v/>
      </c>
      <c r="B161" s="122" t="inlineStr">
        <is>
          <t>Lock 808</t>
        </is>
      </c>
      <c r="C161" s="123" t="inlineStr">
        <is>
          <t>PCS</t>
        </is>
      </c>
      <c r="D161" s="26">
        <f>'Week  (3)'!U161</f>
        <v/>
      </c>
      <c r="E161" s="125" t="n"/>
      <c r="F161" s="55" t="n"/>
      <c r="G161" s="52" t="n"/>
      <c r="H161" s="55" t="n"/>
      <c r="I161" s="71" t="n"/>
      <c r="J161" s="55" t="n"/>
      <c r="K161" s="18" t="n"/>
      <c r="L161" s="73" t="n"/>
      <c r="M161" s="73" t="n"/>
      <c r="N161" s="73" t="n"/>
      <c r="O161" s="19" t="n"/>
      <c r="P161" s="18" t="n"/>
      <c r="Q161" s="18" t="n"/>
      <c r="R161" s="73" t="n"/>
      <c r="S161" s="18" t="n"/>
      <c r="T161" s="18" t="n"/>
      <c r="U161" s="26">
        <f>D161+F161+-(H161+J161+L161+N161+P161+R161+T161)</f>
        <v/>
      </c>
      <c r="V161" t="inlineStr">
        <is>
          <t>CIVIL</t>
        </is>
      </c>
    </row>
    <row r="162" ht="15" customHeight="1">
      <c r="A162" s="22">
        <f>A161+1</f>
        <v/>
      </c>
      <c r="B162" s="122" t="inlineStr">
        <is>
          <t>Pad Lock (Gembok )</t>
        </is>
      </c>
      <c r="C162" s="123" t="inlineStr">
        <is>
          <t>PCS</t>
        </is>
      </c>
      <c r="D162" s="26">
        <f>'Week  (3)'!U162</f>
        <v/>
      </c>
      <c r="E162" s="124" t="n"/>
      <c r="F162" s="62" t="n"/>
      <c r="G162" s="25" t="n"/>
      <c r="H162" s="56" t="n"/>
      <c r="I162" s="19" t="n"/>
      <c r="J162" s="64" t="n"/>
      <c r="K162" s="18" t="n"/>
      <c r="L162" s="73" t="n"/>
      <c r="M162" s="73" t="n"/>
      <c r="N162" s="73" t="n"/>
      <c r="O162" s="19" t="n"/>
      <c r="P162" s="18" t="n"/>
      <c r="Q162" s="18" t="n"/>
      <c r="R162" s="73" t="n"/>
      <c r="S162" s="18" t="n"/>
      <c r="T162" s="18" t="n"/>
      <c r="U162" s="26">
        <f>D162+F162+-(H162+J162+L162+N162+P162+R162+T162)</f>
        <v/>
      </c>
      <c r="V162" t="inlineStr">
        <is>
          <t>CIVIL</t>
        </is>
      </c>
    </row>
    <row r="163" ht="14.25" customHeight="1">
      <c r="A163" s="22">
        <f>A162+1</f>
        <v/>
      </c>
      <c r="B163" s="79" t="inlineStr">
        <is>
          <t>Magneto Stove 4 Burner</t>
        </is>
      </c>
      <c r="C163" s="29" t="inlineStr">
        <is>
          <t>Pcs</t>
        </is>
      </c>
      <c r="D163" s="26">
        <f>'Week  (3)'!U163</f>
        <v/>
      </c>
      <c r="E163" s="125" t="n"/>
      <c r="F163" s="55" t="n"/>
      <c r="G163" s="52" t="n"/>
      <c r="H163" s="55" t="n"/>
      <c r="I163" s="71" t="n"/>
      <c r="J163" s="55" t="n"/>
      <c r="K163" s="18" t="n"/>
      <c r="L163" s="73" t="n"/>
      <c r="M163" s="73" t="n"/>
      <c r="N163" s="73" t="n"/>
      <c r="O163" s="19" t="n"/>
      <c r="P163" s="18" t="n"/>
      <c r="Q163" s="18" t="n"/>
      <c r="R163" s="73" t="n"/>
      <c r="S163" s="18" t="n"/>
      <c r="T163" s="18" t="n"/>
      <c r="U163" s="26">
        <f>D163+F163+-(H163+J163+L163+N163+P163+R163+T163)</f>
        <v/>
      </c>
      <c r="V163" t="inlineStr">
        <is>
          <t>CONSUMABLE</t>
        </is>
      </c>
    </row>
    <row r="164" ht="14.25" customHeight="1">
      <c r="A164" s="22">
        <f>A163+1</f>
        <v/>
      </c>
      <c r="B164" s="79" t="inlineStr">
        <is>
          <t>Magneto Stove 6 Burner</t>
        </is>
      </c>
      <c r="C164" s="29" t="inlineStr">
        <is>
          <t>Pcs</t>
        </is>
      </c>
      <c r="D164" s="26">
        <f>'Week  (3)'!U164</f>
        <v/>
      </c>
      <c r="E164" s="124" t="n"/>
      <c r="F164" s="62" t="n"/>
      <c r="G164" s="25" t="n"/>
      <c r="H164" s="56" t="n"/>
      <c r="I164" s="19" t="n"/>
      <c r="J164" s="64" t="n"/>
      <c r="K164" s="18" t="n"/>
      <c r="L164" s="73" t="n"/>
      <c r="M164" s="73" t="n"/>
      <c r="N164" s="73" t="n"/>
      <c r="O164" s="19" t="n"/>
      <c r="P164" s="18" t="n"/>
      <c r="Q164" s="18" t="n"/>
      <c r="R164" s="73" t="n"/>
      <c r="S164" s="18" t="n"/>
      <c r="T164" s="18" t="n"/>
      <c r="U164" s="26">
        <f>D164+F164+-(H164+J164+L164+N164+P164+R164+T164)</f>
        <v/>
      </c>
      <c r="V164" t="inlineStr">
        <is>
          <t>CONSUMABLE</t>
        </is>
      </c>
    </row>
    <row r="165" ht="15" customHeight="1">
      <c r="A165" s="22">
        <f>A164+1</f>
        <v/>
      </c>
      <c r="B165" s="122" t="inlineStr">
        <is>
          <t>MCB 10 A - 1 Phase, Schneider</t>
        </is>
      </c>
      <c r="C165" s="123" t="inlineStr">
        <is>
          <t>PCS</t>
        </is>
      </c>
      <c r="D165" s="26">
        <f>'Week  (3)'!U165</f>
        <v/>
      </c>
      <c r="E165" s="125" t="n"/>
      <c r="F165" s="55" t="n"/>
      <c r="G165" s="52" t="n"/>
      <c r="H165" s="55" t="n"/>
      <c r="I165" s="71" t="n"/>
      <c r="J165" s="55" t="n"/>
      <c r="K165" s="18" t="n"/>
      <c r="L165" s="73" t="n"/>
      <c r="M165" s="73" t="n"/>
      <c r="N165" s="73" t="n"/>
      <c r="O165" s="19" t="n"/>
      <c r="P165" s="18" t="n"/>
      <c r="Q165" s="18" t="n"/>
      <c r="R165" s="73" t="n"/>
      <c r="S165" s="18" t="n"/>
      <c r="T165" s="18" t="n"/>
      <c r="U165" s="26">
        <f>D165+F165+-(H165+J165+L165+N165+P165+R165+T165)</f>
        <v/>
      </c>
      <c r="V165" t="inlineStr">
        <is>
          <t>ELECTRICAL</t>
        </is>
      </c>
    </row>
    <row r="166" ht="26.25" customHeight="1">
      <c r="A166" s="22">
        <f>A165+1</f>
        <v/>
      </c>
      <c r="B166" s="122" t="inlineStr">
        <is>
          <t>MCB 16 A - 1 Phase, Schneider</t>
        </is>
      </c>
      <c r="C166" s="123" t="inlineStr">
        <is>
          <t>PCS</t>
        </is>
      </c>
      <c r="D166" s="26">
        <f>'Week  (3)'!U166</f>
        <v/>
      </c>
      <c r="E166" s="124" t="n"/>
      <c r="F166" s="62" t="n"/>
      <c r="G166" s="25" t="n"/>
      <c r="H166" s="56" t="n"/>
      <c r="I166" s="19" t="n"/>
      <c r="J166" s="64" t="n"/>
      <c r="K166" s="18" t="n"/>
      <c r="L166" s="73" t="n"/>
      <c r="M166" s="73" t="n"/>
      <c r="N166" s="73" t="n"/>
      <c r="O166" s="19" t="n"/>
      <c r="P166" s="18" t="n"/>
      <c r="Q166" s="18" t="n"/>
      <c r="R166" s="73" t="n"/>
      <c r="S166" s="18" t="n"/>
      <c r="T166" s="18" t="n"/>
      <c r="U166" s="26">
        <f>D166+F166+-(H166+J166+L166+N166+P166+R166+T166)</f>
        <v/>
      </c>
      <c r="V166" t="inlineStr">
        <is>
          <t>ELECTRICAL</t>
        </is>
      </c>
    </row>
    <row r="167" ht="15" customHeight="1">
      <c r="A167" s="22">
        <f>A166+1</f>
        <v/>
      </c>
      <c r="B167" s="122" t="inlineStr">
        <is>
          <t>MCB 16 A - 3 phase</t>
        </is>
      </c>
      <c r="C167" s="123" t="inlineStr">
        <is>
          <t>PCS</t>
        </is>
      </c>
      <c r="D167" s="26">
        <f>'Week  (3)'!U167</f>
        <v/>
      </c>
      <c r="E167" s="125" t="n"/>
      <c r="F167" s="55" t="n"/>
      <c r="G167" s="52" t="n"/>
      <c r="H167" s="55" t="n"/>
      <c r="I167" s="71" t="n"/>
      <c r="J167" s="55" t="n"/>
      <c r="K167" s="18" t="n"/>
      <c r="L167" s="73" t="n"/>
      <c r="M167" s="73" t="n"/>
      <c r="N167" s="73" t="n"/>
      <c r="O167" s="19" t="n"/>
      <c r="P167" s="18" t="n"/>
      <c r="Q167" s="18" t="n"/>
      <c r="R167" s="73" t="n"/>
      <c r="S167" s="18" t="n"/>
      <c r="T167" s="18" t="n"/>
      <c r="U167" s="26">
        <f>D167+F167+-(H167+J167+L167+N167+P167+R167+T167)</f>
        <v/>
      </c>
      <c r="V167" t="inlineStr">
        <is>
          <t>ELECTRICAL</t>
        </is>
      </c>
    </row>
    <row r="168" ht="15" customHeight="1">
      <c r="A168" s="22">
        <f>A167+1</f>
        <v/>
      </c>
      <c r="B168" s="122" t="inlineStr">
        <is>
          <t>MCB 20 A - 1 phase</t>
        </is>
      </c>
      <c r="C168" s="123" t="inlineStr">
        <is>
          <t>PCS</t>
        </is>
      </c>
      <c r="D168" s="26">
        <f>'Week  (3)'!U168</f>
        <v/>
      </c>
      <c r="E168" s="124" t="n"/>
      <c r="F168" s="62" t="n"/>
      <c r="G168" s="25" t="n"/>
      <c r="H168" s="56" t="n"/>
      <c r="I168" s="19" t="n"/>
      <c r="J168" s="64" t="n"/>
      <c r="K168" s="18" t="n"/>
      <c r="L168" s="73" t="n"/>
      <c r="M168" s="73" t="n"/>
      <c r="N168" s="73" t="n"/>
      <c r="O168" s="19" t="n"/>
      <c r="P168" s="18" t="n"/>
      <c r="Q168" s="18" t="n"/>
      <c r="R168" s="73" t="n"/>
      <c r="S168" s="18" t="n"/>
      <c r="T168" s="18" t="n"/>
      <c r="U168" s="26">
        <f>D168+F168+-(H168+J168+L168+N168+P168+R168+T168)</f>
        <v/>
      </c>
      <c r="V168" t="inlineStr">
        <is>
          <t>ELECTRICAL</t>
        </is>
      </c>
    </row>
    <row r="169" ht="15" customHeight="1">
      <c r="A169" s="22">
        <f>A168+1</f>
        <v/>
      </c>
      <c r="B169" s="122" t="inlineStr">
        <is>
          <t>MCB 20 A - 3 phase</t>
        </is>
      </c>
      <c r="C169" s="123" t="inlineStr">
        <is>
          <t>PCS</t>
        </is>
      </c>
      <c r="D169" s="26">
        <f>'Week  (3)'!U169</f>
        <v/>
      </c>
      <c r="E169" s="125" t="n"/>
      <c r="F169" s="55" t="n"/>
      <c r="G169" s="52" t="n"/>
      <c r="H169" s="55" t="n"/>
      <c r="I169" s="71" t="n"/>
      <c r="J169" s="55" t="n"/>
      <c r="K169" s="18" t="n"/>
      <c r="L169" s="73" t="n"/>
      <c r="M169" s="73" t="n"/>
      <c r="N169" s="73" t="n"/>
      <c r="O169" s="19" t="n"/>
      <c r="P169" s="18" t="n"/>
      <c r="Q169" s="18" t="n"/>
      <c r="R169" s="73" t="n"/>
      <c r="S169" s="18" t="n"/>
      <c r="T169" s="18" t="n"/>
      <c r="U169" s="26">
        <f>D169+F169+-(H169+J169+L169+N169+P169+R169+T169)</f>
        <v/>
      </c>
      <c r="V169" t="inlineStr">
        <is>
          <t>ELECTRICAL</t>
        </is>
      </c>
    </row>
    <row r="170" ht="15" customHeight="1">
      <c r="A170" s="22">
        <f>A169+1</f>
        <v/>
      </c>
      <c r="B170" s="122" t="inlineStr">
        <is>
          <t>MCB 32 A - 1 phase</t>
        </is>
      </c>
      <c r="C170" s="123" t="inlineStr">
        <is>
          <t>PCS</t>
        </is>
      </c>
      <c r="D170" s="26">
        <f>'Week  (3)'!U170</f>
        <v/>
      </c>
      <c r="E170" s="124" t="n"/>
      <c r="F170" s="62" t="n"/>
      <c r="G170" s="25" t="n"/>
      <c r="H170" s="56" t="n"/>
      <c r="I170" s="19" t="n"/>
      <c r="J170" s="64" t="n"/>
      <c r="K170" s="18" t="n"/>
      <c r="L170" s="73" t="n"/>
      <c r="M170" s="73" t="n"/>
      <c r="N170" s="73" t="n"/>
      <c r="O170" s="19" t="n"/>
      <c r="P170" s="18" t="n"/>
      <c r="Q170" s="18" t="n"/>
      <c r="R170" s="73" t="n"/>
      <c r="S170" s="18" t="n"/>
      <c r="T170" s="18" t="n"/>
      <c r="U170" s="26">
        <f>D170+F170+-(H170+J170+L170+N170+P170+R170+T170)</f>
        <v/>
      </c>
      <c r="V170" t="inlineStr">
        <is>
          <t>ELECTRICAL</t>
        </is>
      </c>
    </row>
    <row r="171" ht="15" customHeight="1">
      <c r="A171" s="22">
        <f>A170+1</f>
        <v/>
      </c>
      <c r="B171" s="122" t="inlineStr">
        <is>
          <t>MCB 63 A - 1 Phase, Schneider</t>
        </is>
      </c>
      <c r="C171" s="123" t="inlineStr">
        <is>
          <t>PCS</t>
        </is>
      </c>
      <c r="D171" s="26">
        <f>'Week  (3)'!U171</f>
        <v/>
      </c>
      <c r="E171" s="125" t="n"/>
      <c r="F171" s="55" t="n"/>
      <c r="G171" s="52" t="n"/>
      <c r="H171" s="55" t="n"/>
      <c r="I171" s="71" t="n"/>
      <c r="J171" s="55" t="n"/>
      <c r="K171" s="18" t="n"/>
      <c r="L171" s="73" t="n"/>
      <c r="M171" s="73" t="n"/>
      <c r="N171" s="73" t="n"/>
      <c r="O171" s="19" t="n"/>
      <c r="P171" s="18" t="n"/>
      <c r="Q171" s="18" t="n"/>
      <c r="R171" s="73" t="n"/>
      <c r="S171" s="18" t="n"/>
      <c r="T171" s="18" t="n"/>
      <c r="U171" s="26">
        <f>D171+F171+-(H171+J171+L171+N171+P171+R171+T171)</f>
        <v/>
      </c>
      <c r="V171" t="inlineStr">
        <is>
          <t>ELECTRICAL</t>
        </is>
      </c>
    </row>
    <row r="172" ht="15" customHeight="1">
      <c r="A172" s="22">
        <f>A171+1</f>
        <v/>
      </c>
      <c r="B172" s="122" t="inlineStr">
        <is>
          <t>MCB 32 A - 3 phase</t>
        </is>
      </c>
      <c r="C172" s="123" t="inlineStr">
        <is>
          <t>PCS</t>
        </is>
      </c>
      <c r="D172" s="26">
        <f>'Week  (3)'!U172</f>
        <v/>
      </c>
      <c r="E172" s="124" t="n"/>
      <c r="F172" s="62" t="n"/>
      <c r="G172" s="25" t="n"/>
      <c r="H172" s="56" t="n"/>
      <c r="I172" s="19" t="n"/>
      <c r="J172" s="64" t="n"/>
      <c r="K172" s="18" t="n"/>
      <c r="L172" s="73" t="n"/>
      <c r="M172" s="73" t="n"/>
      <c r="N172" s="73" t="n"/>
      <c r="O172" s="19" t="n"/>
      <c r="P172" s="18" t="n"/>
      <c r="Q172" s="18" t="n"/>
      <c r="R172" s="73" t="n"/>
      <c r="S172" s="18" t="n"/>
      <c r="T172" s="18" t="n"/>
      <c r="U172" s="26">
        <f>D172+F172+-(H172+J172+L172+N172+P172+R172+T172)</f>
        <v/>
      </c>
      <c r="V172" t="inlineStr">
        <is>
          <t>ELECTRICAL</t>
        </is>
      </c>
    </row>
    <row r="173" ht="15" customHeight="1">
      <c r="A173" s="22">
        <f>A172+1</f>
        <v/>
      </c>
      <c r="B173" s="122" t="inlineStr">
        <is>
          <t>MCB 50 A - 1 phase</t>
        </is>
      </c>
      <c r="C173" s="123" t="inlineStr">
        <is>
          <t>PCS</t>
        </is>
      </c>
      <c r="D173" s="26">
        <f>'Week  (3)'!U173</f>
        <v/>
      </c>
      <c r="E173" s="125" t="n"/>
      <c r="F173" s="55" t="n"/>
      <c r="G173" s="52" t="n"/>
      <c r="H173" s="55" t="n"/>
      <c r="I173" s="71" t="n"/>
      <c r="J173" s="55" t="n"/>
      <c r="K173" s="18" t="n"/>
      <c r="L173" s="73" t="n"/>
      <c r="M173" s="73" t="n"/>
      <c r="N173" s="73" t="n"/>
      <c r="O173" s="19" t="n"/>
      <c r="P173" s="18" t="n"/>
      <c r="Q173" s="19" t="n"/>
      <c r="R173" s="73" t="n"/>
      <c r="S173" s="18" t="n"/>
      <c r="T173" s="18" t="n"/>
      <c r="U173" s="26">
        <f>D173+F173+-(H173+J173+L173+N173+P173+R173+T173)</f>
        <v/>
      </c>
      <c r="V173" t="inlineStr">
        <is>
          <t>ELECTRICAL</t>
        </is>
      </c>
    </row>
    <row r="174" ht="15" customHeight="1">
      <c r="A174" s="22">
        <f>A173+1</f>
        <v/>
      </c>
      <c r="B174" s="122" t="inlineStr">
        <is>
          <t>MCB 6 A - 1 Phase, Schneider</t>
        </is>
      </c>
      <c r="C174" s="123" t="inlineStr">
        <is>
          <t>PCS</t>
        </is>
      </c>
      <c r="D174" s="26">
        <f>'Week  (3)'!U174</f>
        <v/>
      </c>
      <c r="E174" s="124" t="n"/>
      <c r="F174" s="62" t="n"/>
      <c r="G174" s="25" t="n"/>
      <c r="H174" s="56" t="n"/>
      <c r="I174" s="19" t="n"/>
      <c r="J174" s="64" t="n"/>
      <c r="K174" s="18" t="n"/>
      <c r="L174" s="73" t="n"/>
      <c r="M174" s="73" t="n"/>
      <c r="N174" s="73" t="n"/>
      <c r="O174" s="73" t="n"/>
      <c r="P174" s="73" t="n"/>
      <c r="Q174" s="18" t="n"/>
      <c r="R174" s="73" t="n"/>
      <c r="S174" s="18" t="n"/>
      <c r="T174" s="18" t="n"/>
      <c r="U174" s="26">
        <f>D174+F174+-(H174+J174+L174+N174+P174+R174+T174)</f>
        <v/>
      </c>
      <c r="V174" t="inlineStr">
        <is>
          <t>ELECTRICAL</t>
        </is>
      </c>
    </row>
    <row r="175" ht="15" customHeight="1">
      <c r="A175" s="22">
        <f>A174+1</f>
        <v/>
      </c>
      <c r="B175" s="122" t="inlineStr">
        <is>
          <t>MCB 63 A - 3 Phase, Schneider</t>
        </is>
      </c>
      <c r="C175" s="123" t="inlineStr">
        <is>
          <t>PCS</t>
        </is>
      </c>
      <c r="D175" s="26">
        <f>'Week  (3)'!U175</f>
        <v/>
      </c>
      <c r="E175" s="125" t="n"/>
      <c r="F175" s="55" t="n"/>
      <c r="G175" s="52" t="n"/>
      <c r="H175" s="55" t="n"/>
      <c r="I175" s="71" t="n"/>
      <c r="J175" s="55" t="n"/>
      <c r="K175" s="18" t="n"/>
      <c r="L175" s="73" t="n"/>
      <c r="M175" s="73" t="n"/>
      <c r="N175" s="73" t="n"/>
      <c r="O175" s="19" t="n"/>
      <c r="P175" s="18" t="n"/>
      <c r="Q175" s="18" t="n"/>
      <c r="R175" s="73" t="n"/>
      <c r="S175" s="18" t="n"/>
      <c r="T175" s="18" t="n"/>
      <c r="U175" s="26">
        <f>D175+F175+-(H175+J175+L175+N175+P175+R175+T175)</f>
        <v/>
      </c>
      <c r="V175" t="inlineStr">
        <is>
          <t>ELECTRICAL</t>
        </is>
      </c>
    </row>
    <row r="176" ht="15" customHeight="1">
      <c r="A176" s="22">
        <f>A175+1</f>
        <v/>
      </c>
      <c r="B176" s="122" t="inlineStr">
        <is>
          <t>MCCB 60 A EZC 1000BSchneider</t>
        </is>
      </c>
      <c r="C176" s="123" t="inlineStr">
        <is>
          <t>PCS</t>
        </is>
      </c>
      <c r="D176" s="26">
        <f>'Week  (3)'!U176</f>
        <v/>
      </c>
      <c r="E176" s="124" t="n"/>
      <c r="F176" s="62" t="n"/>
      <c r="G176" s="25" t="n"/>
      <c r="H176" s="56" t="n"/>
      <c r="I176" s="19" t="n"/>
      <c r="J176" s="64" t="n"/>
      <c r="K176" s="18" t="n"/>
      <c r="L176" s="73" t="n"/>
      <c r="M176" s="73" t="n"/>
      <c r="N176" s="73" t="n"/>
      <c r="O176" s="19" t="n"/>
      <c r="P176" s="18" t="n"/>
      <c r="Q176" s="18" t="n"/>
      <c r="R176" s="73" t="n"/>
      <c r="S176" s="18" t="n"/>
      <c r="T176" s="18" t="n"/>
      <c r="U176" s="26">
        <f>D176+F176+-(H176+J176+L176+N176+P176+R176+T176)</f>
        <v/>
      </c>
      <c r="V176" t="inlineStr">
        <is>
          <t>ELECTRICAL</t>
        </is>
      </c>
    </row>
    <row r="177" ht="15" customHeight="1">
      <c r="A177" s="22">
        <f>A176+1</f>
        <v/>
      </c>
      <c r="B177" s="122" t="inlineStr">
        <is>
          <t>Mechanical seal 560-20</t>
        </is>
      </c>
      <c r="C177" s="123" t="inlineStr">
        <is>
          <t>PCS</t>
        </is>
      </c>
      <c r="D177" s="26">
        <f>'Week  (3)'!U177</f>
        <v/>
      </c>
      <c r="E177" s="125" t="n"/>
      <c r="F177" s="55" t="n"/>
      <c r="G177" s="52" t="n"/>
      <c r="H177" s="55" t="n"/>
      <c r="I177" s="71" t="n"/>
      <c r="J177" s="55" t="n"/>
      <c r="K177" s="18" t="n"/>
      <c r="L177" s="73" t="n"/>
      <c r="M177" s="73" t="n"/>
      <c r="N177" s="73" t="n"/>
      <c r="O177" s="19" t="n"/>
      <c r="P177" s="18" t="n"/>
      <c r="Q177" s="18" t="n"/>
      <c r="R177" s="73" t="n"/>
      <c r="S177" s="18" t="n"/>
      <c r="T177" s="18" t="n"/>
      <c r="U177" s="26">
        <f>D177+F177+-(H177+J177+L177+N177+P177+R177+T177)</f>
        <v/>
      </c>
      <c r="V177" t="inlineStr">
        <is>
          <t>MECHANICAL</t>
        </is>
      </c>
    </row>
    <row r="178" ht="30" customHeight="1">
      <c r="A178" s="22">
        <f>A177+1</f>
        <v/>
      </c>
      <c r="B178" s="122" t="inlineStr">
        <is>
          <t>Modul Indoor AC 1,5 PK Panasonic</t>
        </is>
      </c>
      <c r="C178" s="123" t="inlineStr">
        <is>
          <t>PCS</t>
        </is>
      </c>
      <c r="D178" s="26">
        <f>'Week  (3)'!U178</f>
        <v/>
      </c>
      <c r="E178" s="124" t="n"/>
      <c r="F178" s="62" t="n"/>
      <c r="G178" s="25" t="n"/>
      <c r="H178" s="56" t="n"/>
      <c r="I178" s="19" t="n"/>
      <c r="J178" s="64" t="n"/>
      <c r="K178" s="18" t="n"/>
      <c r="L178" s="73" t="n"/>
      <c r="M178" s="73" t="n"/>
      <c r="N178" s="73" t="n"/>
      <c r="O178" s="19" t="n"/>
      <c r="P178" s="18" t="n"/>
      <c r="Q178" s="18" t="n"/>
      <c r="R178" s="73" t="n"/>
      <c r="S178" s="18" t="n"/>
      <c r="T178" s="18" t="n"/>
      <c r="U178" s="26">
        <f>D178+F178+-(H178+J178+L178+N178+P178+R178+T178)</f>
        <v/>
      </c>
      <c r="V178" t="inlineStr">
        <is>
          <t>AC</t>
        </is>
      </c>
    </row>
    <row r="179" ht="15" customHeight="1">
      <c r="A179" s="22">
        <f>A178+1</f>
        <v/>
      </c>
      <c r="B179" s="122" t="inlineStr">
        <is>
          <t>Mowilek  503</t>
        </is>
      </c>
      <c r="C179" s="123" t="inlineStr">
        <is>
          <t>KG</t>
        </is>
      </c>
      <c r="D179" s="26">
        <f>'Week  (3)'!U179</f>
        <v/>
      </c>
      <c r="E179" s="125" t="n"/>
      <c r="F179" s="55" t="n"/>
      <c r="G179" s="52" t="n"/>
      <c r="H179" s="55" t="n"/>
      <c r="I179" s="71" t="n"/>
      <c r="J179" s="55" t="n"/>
      <c r="K179" s="18" t="n"/>
      <c r="L179" s="73" t="n"/>
      <c r="M179" s="73" t="n"/>
      <c r="N179" s="73" t="n"/>
      <c r="O179" s="19" t="n"/>
      <c r="P179" s="18" t="n"/>
      <c r="Q179" s="18" t="n"/>
      <c r="R179" s="73" t="n"/>
      <c r="S179" s="18" t="n"/>
      <c r="T179" s="18" t="n"/>
      <c r="U179" s="26">
        <f>D179+F179+-(H179+J179+L179+N179+P179+R179+T179)</f>
        <v/>
      </c>
      <c r="V179" t="inlineStr">
        <is>
          <t>CIVIL</t>
        </is>
      </c>
    </row>
    <row r="180" ht="15" customHeight="1">
      <c r="A180" s="22">
        <f>A179+1</f>
        <v/>
      </c>
      <c r="B180" s="122" t="inlineStr">
        <is>
          <t>NO DROP</t>
        </is>
      </c>
      <c r="C180" s="123" t="inlineStr">
        <is>
          <t>KG</t>
        </is>
      </c>
      <c r="D180" s="26">
        <f>'Week  (3)'!U180</f>
        <v/>
      </c>
      <c r="E180" s="124" t="n"/>
      <c r="F180" s="62" t="n"/>
      <c r="G180" s="68" t="n"/>
      <c r="H180" s="69" t="n"/>
      <c r="I180" s="19" t="n"/>
      <c r="J180" s="64" t="n"/>
      <c r="K180" s="18" t="n"/>
      <c r="L180" s="73" t="n"/>
      <c r="M180" s="73" t="n"/>
      <c r="N180" s="73" t="n"/>
      <c r="O180" s="19" t="n"/>
      <c r="P180" s="18" t="n"/>
      <c r="Q180" s="18" t="n"/>
      <c r="R180" s="73" t="n"/>
      <c r="S180" s="18" t="n"/>
      <c r="T180" s="18" t="n"/>
      <c r="U180" s="26">
        <f>D180+F180+-(H180+J180+L180+N180+P180+R180+T180)</f>
        <v/>
      </c>
      <c r="V180" t="inlineStr">
        <is>
          <t>CIVIL</t>
        </is>
      </c>
    </row>
    <row r="181" ht="15" customHeight="1">
      <c r="A181" s="22">
        <f>A180+1</f>
        <v/>
      </c>
      <c r="B181" s="122" t="inlineStr">
        <is>
          <t>NO DROP KASSA</t>
        </is>
      </c>
      <c r="C181" s="123" t="inlineStr">
        <is>
          <t>PCS</t>
        </is>
      </c>
      <c r="D181" s="26">
        <f>'Week  (3)'!U181</f>
        <v/>
      </c>
      <c r="E181" s="125" t="n"/>
      <c r="F181" s="55" t="n"/>
      <c r="G181" s="68" t="n"/>
      <c r="H181" s="56" t="n"/>
      <c r="I181" s="19" t="n"/>
      <c r="J181" s="55" t="n"/>
      <c r="K181" s="18" t="n"/>
      <c r="L181" s="73" t="n"/>
      <c r="M181" s="73" t="n"/>
      <c r="N181" s="73" t="n"/>
      <c r="O181" s="19" t="n"/>
      <c r="P181" s="18" t="n"/>
      <c r="Q181" s="18" t="n"/>
      <c r="R181" s="73" t="n"/>
      <c r="S181" s="18" t="n"/>
      <c r="T181" s="18" t="n"/>
      <c r="U181" s="26">
        <f>D181+F181+-(H181+J181+L181+N181+P181+R181+T181)</f>
        <v/>
      </c>
      <c r="V181" t="inlineStr">
        <is>
          <t>CIVIL</t>
        </is>
      </c>
    </row>
    <row r="182" ht="30" customHeight="1">
      <c r="A182" s="22">
        <f>A181+1</f>
        <v/>
      </c>
      <c r="B182" s="122" t="inlineStr">
        <is>
          <t>OIL COMPRESSOR SUNISO, 4 TR</t>
        </is>
      </c>
      <c r="C182" s="123" t="inlineStr">
        <is>
          <t>GLN</t>
        </is>
      </c>
      <c r="D182" s="26">
        <f>'Week  (3)'!U182</f>
        <v/>
      </c>
      <c r="E182" s="124" t="n"/>
      <c r="F182" s="62" t="n"/>
      <c r="G182" s="25" t="n"/>
      <c r="H182" s="56" t="n"/>
      <c r="I182" s="19" t="n"/>
      <c r="J182" s="64" t="n"/>
      <c r="K182" s="18" t="n"/>
      <c r="L182" s="73" t="n"/>
      <c r="M182" s="73" t="n"/>
      <c r="N182" s="73" t="n"/>
      <c r="O182" s="19" t="n"/>
      <c r="P182" s="18" t="n"/>
      <c r="Q182" s="18" t="n"/>
      <c r="R182" s="73" t="n"/>
      <c r="S182" s="18" t="n"/>
      <c r="T182" s="18" t="n"/>
      <c r="U182" s="26">
        <f>D182+F182+-(H182+J182+L182+N182+P182+R182+T182)</f>
        <v/>
      </c>
      <c r="V182" t="inlineStr">
        <is>
          <t>OIL &amp; GAS</t>
        </is>
      </c>
    </row>
    <row r="183" ht="15" customHeight="1">
      <c r="A183" s="22">
        <f>A182+1</f>
        <v/>
      </c>
      <c r="B183" s="122" t="inlineStr">
        <is>
          <t>OIL MEDITRAN SX , 4 LTR</t>
        </is>
      </c>
      <c r="C183" s="123" t="inlineStr">
        <is>
          <t>GLN</t>
        </is>
      </c>
      <c r="D183" s="26">
        <f>'Week  (3)'!U183</f>
        <v/>
      </c>
      <c r="E183" s="125" t="n"/>
      <c r="F183" s="55" t="n"/>
      <c r="G183" s="52" t="n"/>
      <c r="H183" s="55" t="n"/>
      <c r="I183" s="71" t="n"/>
      <c r="J183" s="55" t="n"/>
      <c r="K183" s="18" t="n"/>
      <c r="L183" s="73" t="n"/>
      <c r="M183" s="73" t="n"/>
      <c r="N183" s="73" t="n"/>
      <c r="O183" s="19" t="n"/>
      <c r="P183" s="18" t="n"/>
      <c r="Q183" s="18" t="n"/>
      <c r="R183" s="73" t="n"/>
      <c r="S183" s="18" t="n"/>
      <c r="T183" s="18" t="n"/>
      <c r="U183" s="26">
        <f>D183+F183+-(H183+J183+L183+N183+P183+R183+T183)</f>
        <v/>
      </c>
      <c r="V183" t="inlineStr">
        <is>
          <t>OIL &amp; GAS</t>
        </is>
      </c>
    </row>
    <row r="184" ht="30" customHeight="1">
      <c r="A184" s="22">
        <f>A183+1</f>
        <v/>
      </c>
      <c r="B184" s="122" t="inlineStr">
        <is>
          <t>Over Load Relay  LRD 08, SCHNEIDER 4 A</t>
        </is>
      </c>
      <c r="C184" s="123" t="inlineStr">
        <is>
          <t>PCS</t>
        </is>
      </c>
      <c r="D184" s="26">
        <f>'Week  (3)'!U184</f>
        <v/>
      </c>
      <c r="E184" s="124" t="n"/>
      <c r="F184" s="62" t="n"/>
      <c r="G184" s="25" t="n"/>
      <c r="H184" s="56" t="n"/>
      <c r="I184" s="19" t="n"/>
      <c r="J184" s="64" t="n"/>
      <c r="K184" s="18" t="n"/>
      <c r="L184" s="73" t="n"/>
      <c r="M184" s="73" t="n"/>
      <c r="N184" s="73" t="n"/>
      <c r="O184" s="19" t="n"/>
      <c r="P184" s="18" t="n"/>
      <c r="Q184" s="18" t="n"/>
      <c r="R184" s="73" t="n"/>
      <c r="S184" s="18" t="n"/>
      <c r="T184" s="18" t="n"/>
      <c r="U184" s="26">
        <f>D184+F184+-(H184+J184+L184+N184+P184+R184+T184)</f>
        <v/>
      </c>
      <c r="V184" t="inlineStr">
        <is>
          <t>ELECTRICAL</t>
        </is>
      </c>
    </row>
    <row r="185" ht="30" customHeight="1">
      <c r="A185" s="22">
        <f>A184+1</f>
        <v/>
      </c>
      <c r="B185" s="122" t="inlineStr">
        <is>
          <t>Over Load  Relay LRD 10, SCHNEIDER 6 A</t>
        </is>
      </c>
      <c r="C185" s="123" t="inlineStr">
        <is>
          <t>PCS</t>
        </is>
      </c>
      <c r="D185" s="26">
        <f>'Week  (3)'!U185</f>
        <v/>
      </c>
      <c r="E185" s="125" t="n"/>
      <c r="F185" s="55" t="n"/>
      <c r="G185" s="52" t="n"/>
      <c r="H185" s="55" t="n"/>
      <c r="I185" s="71" t="n"/>
      <c r="J185" s="55" t="n"/>
      <c r="K185" s="18" t="n"/>
      <c r="L185" s="73" t="n"/>
      <c r="M185" s="73" t="n"/>
      <c r="N185" s="73" t="n"/>
      <c r="O185" s="19" t="n"/>
      <c r="P185" s="18" t="n"/>
      <c r="Q185" s="18" t="n"/>
      <c r="R185" s="73" t="n"/>
      <c r="S185" s="18" t="n"/>
      <c r="T185" s="18" t="n"/>
      <c r="U185" s="26">
        <f>D185+F185+-(H185+J185+L185+N185+P185+R185+T185)</f>
        <v/>
      </c>
      <c r="V185" t="inlineStr">
        <is>
          <t>ELECTRICAL</t>
        </is>
      </c>
    </row>
    <row r="186" ht="30" customHeight="1">
      <c r="A186" s="22">
        <f>A185+1</f>
        <v/>
      </c>
      <c r="B186" s="122" t="inlineStr">
        <is>
          <t>Over Load  Relay LRD 12 , SCHNEIDER 8 A</t>
        </is>
      </c>
      <c r="C186" s="123" t="inlineStr">
        <is>
          <t>PCS</t>
        </is>
      </c>
      <c r="D186" s="26">
        <f>'Week  (3)'!U186</f>
        <v/>
      </c>
      <c r="E186" s="124" t="n"/>
      <c r="F186" s="62" t="n"/>
      <c r="G186" s="25" t="n"/>
      <c r="H186" s="56" t="n"/>
      <c r="I186" s="19" t="n"/>
      <c r="J186" s="64" t="n"/>
      <c r="K186" s="18" t="n"/>
      <c r="L186" s="73" t="n"/>
      <c r="M186" s="73" t="n"/>
      <c r="N186" s="73" t="n"/>
      <c r="O186" s="19" t="n"/>
      <c r="P186" s="18" t="n"/>
      <c r="Q186" s="18" t="n"/>
      <c r="R186" s="73" t="n"/>
      <c r="S186" s="18" t="n"/>
      <c r="T186" s="18" t="n"/>
      <c r="U186" s="26">
        <f>D186+F186+-(H186+J186+L186+N186+P186+R186+T186)</f>
        <v/>
      </c>
      <c r="V186" t="inlineStr">
        <is>
          <t>ELECTRICAL</t>
        </is>
      </c>
    </row>
    <row r="187" ht="30" customHeight="1">
      <c r="A187" s="22">
        <f>A186+1</f>
        <v/>
      </c>
      <c r="B187" s="122" t="inlineStr">
        <is>
          <t>Over Load  Relay LRD 14, SCHNEIDER 10 A</t>
        </is>
      </c>
      <c r="C187" s="123" t="inlineStr">
        <is>
          <t>PCS</t>
        </is>
      </c>
      <c r="D187" s="26">
        <f>'Week  (3)'!U187</f>
        <v/>
      </c>
      <c r="E187" s="125" t="n"/>
      <c r="F187" s="55" t="n"/>
      <c r="G187" s="52" t="n"/>
      <c r="H187" s="55" t="n"/>
      <c r="I187" s="71" t="n"/>
      <c r="J187" s="55" t="n"/>
      <c r="K187" s="18" t="n"/>
      <c r="L187" s="73" t="n"/>
      <c r="M187" s="73" t="n"/>
      <c r="N187" s="73" t="n"/>
      <c r="O187" s="19" t="n"/>
      <c r="P187" s="18" t="n"/>
      <c r="Q187" s="18" t="n"/>
      <c r="R187" s="73" t="n"/>
      <c r="S187" s="18" t="n"/>
      <c r="T187" s="18" t="n"/>
      <c r="U187" s="26">
        <f>D187+F187+-(H187+J187+L187+N187+P187+R187+T187)</f>
        <v/>
      </c>
      <c r="V187" t="inlineStr">
        <is>
          <t>ELECTRICAL</t>
        </is>
      </c>
    </row>
    <row r="188" ht="30" customHeight="1">
      <c r="A188" s="22">
        <f>A187+1</f>
        <v/>
      </c>
      <c r="B188" s="122" t="inlineStr">
        <is>
          <t>Over Load  Relay LRD 16, SCHNEIDER 13</t>
        </is>
      </c>
      <c r="C188" s="123" t="inlineStr">
        <is>
          <t>PCS</t>
        </is>
      </c>
      <c r="D188" s="26">
        <f>'Week  (3)'!U188</f>
        <v/>
      </c>
      <c r="E188" s="124" t="n"/>
      <c r="F188" s="62" t="n"/>
      <c r="G188" s="25" t="n"/>
      <c r="H188" s="56" t="n"/>
      <c r="I188" s="19" t="n"/>
      <c r="J188" s="64" t="n"/>
      <c r="K188" s="18" t="n"/>
      <c r="L188" s="73" t="n"/>
      <c r="M188" s="73" t="n"/>
      <c r="N188" s="73" t="n"/>
      <c r="O188" s="19" t="n"/>
      <c r="P188" s="18" t="n"/>
      <c r="Q188" s="18" t="n"/>
      <c r="R188" s="73" t="n"/>
      <c r="S188" s="18" t="n"/>
      <c r="T188" s="18" t="n"/>
      <c r="U188" s="26">
        <f>D188+F188+-(H188+J188+L188+N188+P188+R188+T188)</f>
        <v/>
      </c>
      <c r="V188" t="inlineStr">
        <is>
          <t>ELECTRICAL</t>
        </is>
      </c>
    </row>
    <row r="189" ht="30" customHeight="1">
      <c r="A189" s="22">
        <f>A188+1</f>
        <v/>
      </c>
      <c r="B189" s="122" t="inlineStr">
        <is>
          <t>Over Load  Relay LRD 21, SCHNEIDER 18 A</t>
        </is>
      </c>
      <c r="C189" s="123" t="inlineStr">
        <is>
          <t>PCS</t>
        </is>
      </c>
      <c r="D189" s="26">
        <f>'Week  (3)'!U189</f>
        <v/>
      </c>
      <c r="E189" s="125" t="n"/>
      <c r="F189" s="55" t="n"/>
      <c r="G189" s="52" t="n"/>
      <c r="H189" s="55" t="n"/>
      <c r="I189" s="71" t="n"/>
      <c r="J189" s="55" t="n"/>
      <c r="K189" s="18" t="n"/>
      <c r="L189" s="73" t="n"/>
      <c r="M189" s="73" t="n"/>
      <c r="N189" s="73" t="n"/>
      <c r="O189" s="19" t="n"/>
      <c r="P189" s="18" t="n"/>
      <c r="Q189" s="18" t="n"/>
      <c r="R189" s="73" t="n"/>
      <c r="S189" s="18" t="n"/>
      <c r="T189" s="18" t="n"/>
      <c r="U189" s="26">
        <f>D189+F189+-(H189+J189+L189+N189+P189+R189+T189)</f>
        <v/>
      </c>
      <c r="V189" t="inlineStr">
        <is>
          <t>ELECTRICAL</t>
        </is>
      </c>
    </row>
    <row r="190" ht="30" customHeight="1">
      <c r="A190" s="22">
        <f>A189+1</f>
        <v/>
      </c>
      <c r="B190" s="122" t="inlineStr">
        <is>
          <t>Over Load  Relay LRD 22, SCHNEIDER 24 A</t>
        </is>
      </c>
      <c r="C190" s="123" t="inlineStr">
        <is>
          <t>PCS</t>
        </is>
      </c>
      <c r="D190" s="26">
        <f>'Week  (3)'!U190</f>
        <v/>
      </c>
      <c r="E190" s="124" t="n"/>
      <c r="F190" s="62" t="n"/>
      <c r="G190" s="25" t="n"/>
      <c r="H190" s="56" t="n"/>
      <c r="I190" s="19" t="n"/>
      <c r="J190" s="64" t="n"/>
      <c r="K190" s="18" t="n"/>
      <c r="L190" s="73" t="n"/>
      <c r="M190" s="73" t="n"/>
      <c r="N190" s="73" t="n"/>
      <c r="O190" s="19" t="n"/>
      <c r="P190" s="18" t="n"/>
      <c r="Q190" s="19" t="n"/>
      <c r="R190" s="18" t="n"/>
      <c r="S190" s="18" t="n"/>
      <c r="T190" s="18" t="n"/>
      <c r="U190" s="26">
        <f>D190+F190+-(H190+J190+L190+N190+P190+R190+T190)</f>
        <v/>
      </c>
      <c r="V190" t="inlineStr">
        <is>
          <t>ELECTRICAL</t>
        </is>
      </c>
    </row>
    <row r="191" ht="30" customHeight="1">
      <c r="A191" s="22">
        <f>A190+1</f>
        <v/>
      </c>
      <c r="B191" s="122" t="inlineStr">
        <is>
          <t>Over Load  Relay LRD 32, SCHNEIDER 32 A</t>
        </is>
      </c>
      <c r="C191" s="123" t="inlineStr">
        <is>
          <t>PCS</t>
        </is>
      </c>
      <c r="D191" s="26">
        <f>'Week  (3)'!U191</f>
        <v/>
      </c>
      <c r="E191" s="125" t="n"/>
      <c r="F191" s="55" t="n"/>
      <c r="G191" s="52" t="n"/>
      <c r="H191" s="55" t="n"/>
      <c r="I191" s="71" t="n"/>
      <c r="J191" s="55" t="n"/>
      <c r="K191" s="18" t="n"/>
      <c r="L191" s="73" t="n"/>
      <c r="M191" s="73" t="n"/>
      <c r="N191" s="73" t="n"/>
      <c r="O191" s="19" t="n"/>
      <c r="P191" s="18" t="n"/>
      <c r="Q191" s="18" t="n"/>
      <c r="R191" s="73" t="n"/>
      <c r="S191" s="18" t="n"/>
      <c r="T191" s="18" t="n"/>
      <c r="U191" s="26">
        <f>D191+F191+-(H191+J191+L191+N191+P191+R191+T191)</f>
        <v/>
      </c>
      <c r="V191" t="inlineStr">
        <is>
          <t>ELECTRICAL</t>
        </is>
      </c>
    </row>
    <row r="192" ht="30" customHeight="1">
      <c r="A192" s="22">
        <f>A191+1</f>
        <v/>
      </c>
      <c r="B192" s="122" t="inlineStr">
        <is>
          <t>Overload of Water Dispencer 1/5 PK</t>
        </is>
      </c>
      <c r="C192" s="123" t="inlineStr">
        <is>
          <t>PCS</t>
        </is>
      </c>
      <c r="D192" s="26">
        <f>'Week  (3)'!U192</f>
        <v/>
      </c>
      <c r="E192" s="124" t="n"/>
      <c r="F192" s="62" t="n"/>
      <c r="G192" s="25" t="n"/>
      <c r="H192" s="56" t="n"/>
      <c r="I192" s="19" t="n"/>
      <c r="J192" s="64" t="n"/>
      <c r="K192" s="18" t="n"/>
      <c r="L192" s="73" t="n"/>
      <c r="M192" s="73" t="n"/>
      <c r="N192" s="73" t="n"/>
      <c r="O192" s="19" t="n"/>
      <c r="P192" s="18" t="n"/>
      <c r="Q192" s="18" t="n"/>
      <c r="R192" s="73" t="n"/>
      <c r="S192" s="18" t="n"/>
      <c r="T192" s="18" t="n"/>
      <c r="U192" s="26">
        <f>D192+F192+-(H192+J192+L192+N192+P192+R192+T192)</f>
        <v/>
      </c>
      <c r="V192" t="inlineStr">
        <is>
          <t>ELECTRICAL</t>
        </is>
      </c>
    </row>
    <row r="193" ht="15" customHeight="1">
      <c r="A193" s="22">
        <f>A192+1</f>
        <v/>
      </c>
      <c r="B193" s="122" t="inlineStr">
        <is>
          <t xml:space="preserve">Overload Refrigerator </t>
        </is>
      </c>
      <c r="C193" s="123" t="inlineStr">
        <is>
          <t>PCS</t>
        </is>
      </c>
      <c r="D193" s="26">
        <f>'Week  (3)'!U193</f>
        <v/>
      </c>
      <c r="E193" s="125" t="n"/>
      <c r="F193" s="55" t="n"/>
      <c r="G193" s="52" t="n"/>
      <c r="H193" s="55" t="n"/>
      <c r="I193" s="71" t="n"/>
      <c r="J193" s="55" t="n"/>
      <c r="K193" s="18" t="n"/>
      <c r="L193" s="73" t="n"/>
      <c r="M193" s="73" t="n"/>
      <c r="N193" s="73" t="n"/>
      <c r="O193" s="19" t="n"/>
      <c r="P193" s="18" t="n"/>
      <c r="Q193" s="18" t="n"/>
      <c r="R193" s="73" t="n"/>
      <c r="S193" s="18" t="n"/>
      <c r="T193" s="18" t="n"/>
      <c r="U193" s="26">
        <f>D193+F193+-(H193+J193+L193+N193+P193+R193+T193)</f>
        <v/>
      </c>
      <c r="V193" t="inlineStr">
        <is>
          <t>ELECTRICAL</t>
        </is>
      </c>
    </row>
    <row r="194" ht="15" customHeight="1">
      <c r="A194" s="22">
        <f>A193+1</f>
        <v/>
      </c>
      <c r="B194" s="122" t="inlineStr">
        <is>
          <t>PAKAN LAS RD 460 2,0</t>
        </is>
      </c>
      <c r="C194" s="123" t="inlineStr">
        <is>
          <t>KG</t>
        </is>
      </c>
      <c r="D194" s="26">
        <f>'Week  (3)'!U194</f>
        <v/>
      </c>
      <c r="E194" s="124" t="n"/>
      <c r="F194" s="62" t="n"/>
      <c r="G194" s="25" t="n"/>
      <c r="H194" s="69" t="n"/>
      <c r="I194" s="19" t="n"/>
      <c r="J194" s="73" t="n"/>
      <c r="K194" s="19" t="n"/>
      <c r="L194" s="73" t="n"/>
      <c r="M194" s="73" t="n"/>
      <c r="N194" s="73" t="n"/>
      <c r="O194" s="19" t="n"/>
      <c r="P194" s="73" t="n"/>
      <c r="Q194" s="73" t="n"/>
      <c r="R194" s="73" t="n"/>
      <c r="S194" s="18" t="n"/>
      <c r="T194" s="18" t="n"/>
      <c r="U194" s="26">
        <f>D194+F194+-(H194+J194+L194+N194+P194+R194+T194)</f>
        <v/>
      </c>
      <c r="V194" t="inlineStr">
        <is>
          <t>CONSUMABLE</t>
        </is>
      </c>
    </row>
    <row r="195" ht="15" customHeight="1">
      <c r="A195" s="22">
        <f>A194+1</f>
        <v/>
      </c>
      <c r="B195" s="122" t="inlineStr">
        <is>
          <t>PRESSURE GAUGE WIKA 10</t>
        </is>
      </c>
      <c r="C195" s="123" t="inlineStr">
        <is>
          <t>PCS</t>
        </is>
      </c>
      <c r="D195" s="26">
        <f>'Week  (3)'!U195</f>
        <v/>
      </c>
      <c r="E195" s="125" t="n"/>
      <c r="F195" s="55" t="n"/>
      <c r="G195" s="52" t="n"/>
      <c r="H195" s="55" t="n"/>
      <c r="I195" s="71" t="n"/>
      <c r="J195" s="55" t="n"/>
      <c r="K195" s="18" t="n"/>
      <c r="L195" s="73" t="n"/>
      <c r="M195" s="73" t="n"/>
      <c r="N195" s="73" t="n"/>
      <c r="O195" s="19" t="n"/>
      <c r="P195" s="18" t="n"/>
      <c r="Q195" s="18" t="n"/>
      <c r="R195" s="73" t="n"/>
      <c r="S195" s="18" t="n"/>
      <c r="T195" s="18" t="n"/>
      <c r="U195" s="26">
        <f>D195+F195+-(H195+J195+L195+N195+P195+R195+T195)</f>
        <v/>
      </c>
      <c r="V195" t="inlineStr">
        <is>
          <t>VALVE AND PIPE</t>
        </is>
      </c>
    </row>
    <row r="196" ht="30" customHeight="1">
      <c r="A196" s="22">
        <f>A195+1</f>
        <v/>
      </c>
      <c r="B196" s="122" t="inlineStr">
        <is>
          <t>Pee Pipe DUPON 4160 NC ( Syphon Kitchen sink )</t>
        </is>
      </c>
      <c r="C196" s="123" t="inlineStr">
        <is>
          <t>SET</t>
        </is>
      </c>
      <c r="D196" s="26">
        <f>'Week  (3)'!U196</f>
        <v/>
      </c>
      <c r="E196" s="124" t="n"/>
      <c r="F196" s="62" t="n"/>
      <c r="G196" s="25" t="n"/>
      <c r="H196" s="56" t="n"/>
      <c r="I196" s="19" t="n"/>
      <c r="J196" s="64" t="n"/>
      <c r="K196" s="18" t="n"/>
      <c r="L196" s="73" t="n"/>
      <c r="M196" s="73" t="n"/>
      <c r="N196" s="73" t="n"/>
      <c r="O196" s="19" t="n"/>
      <c r="P196" s="18" t="n"/>
      <c r="Q196" s="18" t="n"/>
      <c r="R196" s="73" t="n"/>
      <c r="S196" s="18" t="inlineStr">
        <is>
          <t>Madura 21</t>
        </is>
      </c>
      <c r="T196" s="18" t="n">
        <v>1</v>
      </c>
      <c r="U196" s="26">
        <f>D196+F196+-(H196+J196+L196+N196+P196+R196+T196)</f>
        <v/>
      </c>
      <c r="V196" t="inlineStr">
        <is>
          <t>SANITARY</t>
        </is>
      </c>
    </row>
    <row r="197" ht="15" customHeight="1">
      <c r="A197" s="22">
        <f>A196+1</f>
        <v/>
      </c>
      <c r="B197" s="122" t="inlineStr">
        <is>
          <t xml:space="preserve">PESAWAT TELEPHONE </t>
        </is>
      </c>
      <c r="C197" s="123" t="inlineStr">
        <is>
          <t>SET</t>
        </is>
      </c>
      <c r="D197" s="26">
        <f>'Week  (3)'!U197</f>
        <v/>
      </c>
      <c r="E197" s="125" t="n"/>
      <c r="F197" s="55" t="n"/>
      <c r="G197" s="52" t="n"/>
      <c r="H197" s="55" t="n"/>
      <c r="I197" s="71" t="n"/>
      <c r="J197" s="55" t="n"/>
      <c r="K197" s="18" t="n"/>
      <c r="L197" s="73" t="n"/>
      <c r="M197" s="73" t="n"/>
      <c r="N197" s="73" t="n"/>
      <c r="O197" s="19" t="n"/>
      <c r="P197" s="18" t="n"/>
      <c r="Q197" s="18" t="n"/>
      <c r="R197" s="73" t="n"/>
      <c r="S197" s="18" t="n"/>
      <c r="T197" s="18" t="n"/>
      <c r="U197" s="26">
        <f>D197+F197+-(H197+J197+L197+N197+P197+R197+T197)</f>
        <v/>
      </c>
      <c r="V197" t="inlineStr">
        <is>
          <t>CONSUMABLE</t>
        </is>
      </c>
    </row>
    <row r="198">
      <c r="A198" s="22">
        <f>A197+1</f>
        <v/>
      </c>
      <c r="B198" s="79" t="inlineStr">
        <is>
          <t>Plug Besi 1/2"</t>
        </is>
      </c>
      <c r="C198" s="40" t="inlineStr">
        <is>
          <t>Pcs</t>
        </is>
      </c>
      <c r="D198" s="26">
        <f>'Week  (3)'!U198</f>
        <v/>
      </c>
      <c r="E198" s="124" t="n"/>
      <c r="F198" s="62" t="n"/>
      <c r="G198" s="25" t="n"/>
      <c r="H198" s="56" t="n"/>
      <c r="I198" s="19" t="n"/>
      <c r="J198" s="64" t="n"/>
      <c r="K198" s="18" t="n"/>
      <c r="L198" s="73" t="n"/>
      <c r="M198" s="73" t="n"/>
      <c r="N198" s="73" t="n"/>
      <c r="O198" s="19" t="n"/>
      <c r="P198" s="18" t="n"/>
      <c r="Q198" s="18" t="n"/>
      <c r="R198" s="73" t="n"/>
      <c r="S198" s="18" t="n"/>
      <c r="T198" s="18" t="n"/>
      <c r="U198" s="26">
        <f>D198+F198+-(H198+J198+L198+N198+P198+R198+T198)</f>
        <v/>
      </c>
      <c r="V198" t="inlineStr">
        <is>
          <t>VALVE AND PIPE</t>
        </is>
      </c>
    </row>
    <row r="199" ht="15" customHeight="1">
      <c r="A199" s="22">
        <f>A198+1</f>
        <v/>
      </c>
      <c r="B199" s="122" t="inlineStr">
        <is>
          <t>Plywood Meranti 6mm</t>
        </is>
      </c>
      <c r="C199" s="123" t="inlineStr">
        <is>
          <t xml:space="preserve">Lbr </t>
        </is>
      </c>
      <c r="D199" s="26">
        <f>'Week  (3)'!U199</f>
        <v/>
      </c>
      <c r="E199" s="125" t="n"/>
      <c r="F199" s="55" t="n"/>
      <c r="G199" s="52" t="n"/>
      <c r="H199" s="74" t="n"/>
      <c r="I199" s="71" t="n"/>
      <c r="J199" s="55" t="n"/>
      <c r="K199" s="19" t="n"/>
      <c r="L199" s="73" t="n"/>
      <c r="M199" s="73" t="n"/>
      <c r="N199" s="73" t="n"/>
      <c r="O199" s="19" t="inlineStr">
        <is>
          <t>Timor 2</t>
        </is>
      </c>
      <c r="P199" s="18" t="n">
        <v>1</v>
      </c>
      <c r="Q199" s="18" t="n"/>
      <c r="R199" s="73" t="n"/>
      <c r="S199" s="18" t="n"/>
      <c r="T199" s="18" t="n"/>
      <c r="U199" s="26">
        <f>D199+F199+-(H199+J199+L199+N199+P199+R199+T199)</f>
        <v/>
      </c>
      <c r="V199" t="inlineStr">
        <is>
          <t>CIVIL</t>
        </is>
      </c>
    </row>
    <row r="200" ht="15" customHeight="1">
      <c r="A200" s="22">
        <f>A199+1</f>
        <v/>
      </c>
      <c r="B200" s="122" t="inlineStr">
        <is>
          <t>Plywood Meranti 20 mm</t>
        </is>
      </c>
      <c r="C200" s="123" t="inlineStr">
        <is>
          <t xml:space="preserve">Lbr </t>
        </is>
      </c>
      <c r="D200" s="26">
        <f>'Week  (3)'!U200</f>
        <v/>
      </c>
      <c r="E200" s="124" t="n"/>
      <c r="F200" s="62" t="n"/>
      <c r="G200" s="25" t="n"/>
      <c r="H200" s="66" t="n"/>
      <c r="I200" s="19" t="n"/>
      <c r="J200" s="64" t="n"/>
      <c r="K200" s="18" t="n"/>
      <c r="L200" s="73" t="n"/>
      <c r="M200" s="73" t="n"/>
      <c r="N200" s="73" t="n"/>
      <c r="O200" s="19" t="n"/>
      <c r="P200" s="18" t="n"/>
      <c r="Q200" s="18" t="n"/>
      <c r="R200" s="73" t="n"/>
      <c r="S200" s="18" t="n"/>
      <c r="T200" s="18" t="n"/>
      <c r="U200" s="26">
        <f>D200+F200+-(H200+J200+L200+N200+P200+R200+T200)</f>
        <v/>
      </c>
      <c r="V200" t="inlineStr">
        <is>
          <t>CIVIL</t>
        </is>
      </c>
    </row>
    <row r="201" ht="15" customHeight="1">
      <c r="A201" s="22">
        <f>A200+1</f>
        <v/>
      </c>
      <c r="B201" s="122" t="inlineStr">
        <is>
          <t>PIPA PVC 2"</t>
        </is>
      </c>
      <c r="C201" s="123" t="inlineStr">
        <is>
          <t>PCS</t>
        </is>
      </c>
      <c r="D201" s="26">
        <f>'Week  (3)'!U201</f>
        <v/>
      </c>
      <c r="E201" s="125" t="n"/>
      <c r="F201" s="55" t="n"/>
      <c r="G201" s="52" t="n"/>
      <c r="H201" s="55" t="n"/>
      <c r="I201" s="71" t="n"/>
      <c r="J201" s="55" t="n"/>
      <c r="K201" s="18" t="n"/>
      <c r="L201" s="73" t="n"/>
      <c r="M201" s="73" t="n"/>
      <c r="N201" s="73" t="n"/>
      <c r="O201" s="19" t="n"/>
      <c r="P201" s="18" t="n"/>
      <c r="Q201" s="18" t="n"/>
      <c r="R201" s="73" t="n"/>
      <c r="S201" s="18" t="n"/>
      <c r="T201" s="18" t="n"/>
      <c r="U201" s="26">
        <f>D201+F201+-(H201+J201+L201+N201+P201+R201+T201)</f>
        <v/>
      </c>
      <c r="V201" t="inlineStr">
        <is>
          <t>VALVE AND PIPE</t>
        </is>
      </c>
    </row>
    <row r="202" ht="15" customHeight="1">
      <c r="A202" s="22">
        <f>A201+1</f>
        <v/>
      </c>
      <c r="B202" s="122" t="inlineStr">
        <is>
          <t>PIPA PVC 1"</t>
        </is>
      </c>
      <c r="C202" s="123" t="inlineStr">
        <is>
          <t>PCS</t>
        </is>
      </c>
      <c r="D202" s="26">
        <f>'Week  (3)'!U202</f>
        <v/>
      </c>
      <c r="E202" s="124" t="n"/>
      <c r="F202" s="62" t="n"/>
      <c r="G202" s="25" t="n"/>
      <c r="H202" s="56" t="n"/>
      <c r="I202" s="19" t="n"/>
      <c r="J202" s="64" t="n"/>
      <c r="K202" s="18" t="n"/>
      <c r="L202" s="73" t="n"/>
      <c r="M202" s="73" t="n"/>
      <c r="N202" s="73" t="n"/>
      <c r="O202" s="19" t="n"/>
      <c r="P202" s="18" t="n"/>
      <c r="Q202" s="18" t="n"/>
      <c r="R202" s="73" t="n"/>
      <c r="S202" s="18" t="n"/>
      <c r="T202" s="18" t="n"/>
      <c r="U202" s="26">
        <f>D202+F202+-(H202+J202+L202+N202+P202+R202+T202)</f>
        <v/>
      </c>
      <c r="V202" t="inlineStr">
        <is>
          <t>VALVE AND PIPE</t>
        </is>
      </c>
    </row>
    <row r="203" ht="15" customHeight="1">
      <c r="A203" s="22">
        <f>A202+1</f>
        <v/>
      </c>
      <c r="B203" s="122" t="inlineStr">
        <is>
          <t>PIPA PVC 3/4"</t>
        </is>
      </c>
      <c r="C203" s="123" t="inlineStr">
        <is>
          <t>PCS</t>
        </is>
      </c>
      <c r="D203" s="26">
        <f>'Week  (3)'!U203</f>
        <v/>
      </c>
      <c r="E203" s="125" t="n"/>
      <c r="F203" s="55" t="n"/>
      <c r="G203" s="52" t="n"/>
      <c r="H203" s="55" t="n"/>
      <c r="I203" s="71" t="n"/>
      <c r="J203" s="55" t="n"/>
      <c r="K203" s="18" t="n"/>
      <c r="L203" s="73" t="n"/>
      <c r="M203" s="73" t="n"/>
      <c r="N203" s="73" t="n"/>
      <c r="O203" s="19" t="n"/>
      <c r="P203" s="18" t="n"/>
      <c r="Q203" s="18" t="n"/>
      <c r="R203" s="73" t="n"/>
      <c r="S203" s="18" t="n"/>
      <c r="T203" s="18" t="n"/>
      <c r="U203" s="26">
        <f>D203+F203+-(H203+J203+L203+N203+P203+R203+T203)</f>
        <v/>
      </c>
      <c r="V203" t="inlineStr">
        <is>
          <t>VALVE AND PIPE</t>
        </is>
      </c>
    </row>
    <row r="204" ht="15" customHeight="1">
      <c r="A204" s="22">
        <f>A203+1</f>
        <v/>
      </c>
      <c r="B204" s="122" t="inlineStr">
        <is>
          <t>PIPA PVC 1/2"</t>
        </is>
      </c>
      <c r="C204" s="123" t="inlineStr">
        <is>
          <t>PCS</t>
        </is>
      </c>
      <c r="D204" s="26">
        <f>'Week  (3)'!U204</f>
        <v/>
      </c>
      <c r="E204" s="124" t="n"/>
      <c r="F204" s="62" t="n"/>
      <c r="G204" s="25" t="n"/>
      <c r="H204" s="56" t="n"/>
      <c r="I204" s="18" t="n"/>
      <c r="J204" s="64" t="n"/>
      <c r="K204" s="18" t="n"/>
      <c r="L204" s="64" t="n"/>
      <c r="M204" s="73" t="n"/>
      <c r="N204" s="73" t="n"/>
      <c r="O204" s="19" t="n"/>
      <c r="P204" s="18" t="n"/>
      <c r="Q204" s="18" t="n"/>
      <c r="R204" s="73" t="n"/>
      <c r="S204" s="18" t="n"/>
      <c r="T204" s="18" t="n"/>
      <c r="U204" s="26">
        <f>D204+F204+-(H204+J204+L204+N204+P204+R204+T204)</f>
        <v/>
      </c>
      <c r="V204" t="inlineStr">
        <is>
          <t>VALVE AND PIPE</t>
        </is>
      </c>
    </row>
    <row r="205" ht="30" customHeight="1">
      <c r="A205" s="22">
        <f>A204+1</f>
        <v/>
      </c>
      <c r="B205" s="122" t="inlineStr">
        <is>
          <t>Push Drainage ( Avur Wash Basin )</t>
        </is>
      </c>
      <c r="C205" s="123" t="inlineStr">
        <is>
          <t>PCS</t>
        </is>
      </c>
      <c r="D205" s="26">
        <f>'Week  (3)'!U205</f>
        <v/>
      </c>
      <c r="E205" s="125" t="n"/>
      <c r="F205" s="55" t="n"/>
      <c r="G205" s="52" t="n"/>
      <c r="H205" s="55" t="n"/>
      <c r="I205" s="71" t="n"/>
      <c r="J205" s="55" t="n"/>
      <c r="K205" s="18" t="n"/>
      <c r="L205" s="73" t="n"/>
      <c r="M205" s="73" t="n"/>
      <c r="N205" s="73" t="n"/>
      <c r="O205" s="19" t="n"/>
      <c r="P205" s="18" t="n"/>
      <c r="Q205" s="18" t="n"/>
      <c r="R205" s="73" t="n"/>
      <c r="S205" s="18" t="n"/>
      <c r="T205" s="18" t="n"/>
      <c r="U205" s="26">
        <f>D205+F205+-(H205+J205+L205+N205+P205+R205+T205)</f>
        <v/>
      </c>
      <c r="V205" t="inlineStr">
        <is>
          <t>SANITARY</t>
        </is>
      </c>
    </row>
    <row r="206" ht="15" customHeight="1">
      <c r="A206" s="22">
        <f>A205+1</f>
        <v/>
      </c>
      <c r="B206" s="122" t="inlineStr">
        <is>
          <t>Regulator LPG</t>
        </is>
      </c>
      <c r="C206" s="123" t="inlineStr">
        <is>
          <t>PCS</t>
        </is>
      </c>
      <c r="D206" s="26">
        <f>'Week  (3)'!U206</f>
        <v/>
      </c>
      <c r="E206" s="124" t="n"/>
      <c r="F206" s="62" t="n"/>
      <c r="G206" s="68" t="n"/>
      <c r="H206" s="56" t="n"/>
      <c r="I206" s="19" t="n"/>
      <c r="J206" s="64" t="n"/>
      <c r="K206" s="19" t="n"/>
      <c r="L206" s="73" t="n"/>
      <c r="M206" s="73" t="n"/>
      <c r="N206" s="73" t="n"/>
      <c r="O206" s="19" t="n"/>
      <c r="P206" s="18" t="n"/>
      <c r="Q206" s="18" t="n"/>
      <c r="R206" s="73" t="n"/>
      <c r="S206" s="18" t="n"/>
      <c r="T206" s="18" t="n"/>
      <c r="U206" s="26">
        <f>D206+F206+-(H206+J206+L206+N206+P206+R206+T206)</f>
        <v/>
      </c>
      <c r="V206" t="inlineStr">
        <is>
          <t>CONSUMABLE</t>
        </is>
      </c>
    </row>
    <row r="207" ht="15" customHeight="1">
      <c r="A207" s="22">
        <f>A206+1</f>
        <v/>
      </c>
      <c r="B207" s="122" t="inlineStr">
        <is>
          <t>REMOTE AC MULTI</t>
        </is>
      </c>
      <c r="C207" s="123" t="inlineStr">
        <is>
          <t>PCS</t>
        </is>
      </c>
      <c r="D207" s="26">
        <f>'Week  (3)'!U207</f>
        <v/>
      </c>
      <c r="E207" s="125" t="n"/>
      <c r="F207" s="55" t="n"/>
      <c r="G207" s="52" t="n"/>
      <c r="H207" s="55" t="n"/>
      <c r="I207" s="71" t="n"/>
      <c r="J207" s="55" t="n"/>
      <c r="K207" s="18" t="n"/>
      <c r="L207" s="73" t="n"/>
      <c r="M207" s="73" t="n"/>
      <c r="N207" s="73" t="n"/>
      <c r="O207" s="19" t="n"/>
      <c r="P207" s="18" t="n"/>
      <c r="Q207" s="18" t="n"/>
      <c r="R207" s="73" t="n"/>
      <c r="S207" s="18" t="n"/>
      <c r="T207" s="18" t="n"/>
      <c r="U207" s="26">
        <f>D207+F207+-(H207+J207+L207+N207+P207+R207+T207)</f>
        <v/>
      </c>
      <c r="V207" t="inlineStr">
        <is>
          <t>AC</t>
        </is>
      </c>
    </row>
    <row r="208" ht="15" customHeight="1">
      <c r="A208" s="22">
        <f>A207+1</f>
        <v/>
      </c>
      <c r="B208" s="122" t="inlineStr">
        <is>
          <t>REMOTE TV  MULTI</t>
        </is>
      </c>
      <c r="C208" s="123" t="inlineStr">
        <is>
          <t>PCS</t>
        </is>
      </c>
      <c r="D208" s="26">
        <f>'Week  (3)'!U208</f>
        <v/>
      </c>
      <c r="E208" s="124" t="n"/>
      <c r="F208" s="62" t="n"/>
      <c r="G208" s="25" t="n"/>
      <c r="H208" s="56" t="n"/>
      <c r="I208" s="19" t="n"/>
      <c r="J208" s="64" t="n"/>
      <c r="K208" s="18" t="n"/>
      <c r="L208" s="73" t="n"/>
      <c r="M208" s="73" t="n"/>
      <c r="N208" s="73" t="n"/>
      <c r="O208" s="19" t="n"/>
      <c r="P208" s="18" t="n"/>
      <c r="Q208" s="18" t="n"/>
      <c r="R208" s="73" t="n"/>
      <c r="S208" s="18" t="n"/>
      <c r="T208" s="18" t="n"/>
      <c r="U208" s="26">
        <f>D208+F208+-(H208+J208+L208+N208+P208+R208+T208)</f>
        <v/>
      </c>
      <c r="V208" t="inlineStr">
        <is>
          <t>AC</t>
        </is>
      </c>
    </row>
    <row r="209" ht="15" customHeight="1">
      <c r="A209" s="22">
        <f>A208+1</f>
        <v/>
      </c>
      <c r="B209" s="122" t="inlineStr">
        <is>
          <t xml:space="preserve">SAKLAR DOBLE </t>
        </is>
      </c>
      <c r="C209" s="123" t="inlineStr">
        <is>
          <t>PCS</t>
        </is>
      </c>
      <c r="D209" s="26">
        <f>'Week  (3)'!U209</f>
        <v/>
      </c>
      <c r="E209" s="125" t="n"/>
      <c r="F209" s="55" t="n"/>
      <c r="G209" s="52" t="n"/>
      <c r="H209" s="55" t="n"/>
      <c r="I209" s="71" t="n"/>
      <c r="J209" s="55" t="n"/>
      <c r="K209" s="18" t="n"/>
      <c r="L209" s="73" t="n"/>
      <c r="M209" s="73" t="n"/>
      <c r="N209" s="73" t="n"/>
      <c r="O209" s="19" t="n"/>
      <c r="P209" s="18" t="n"/>
      <c r="Q209" s="18" t="n"/>
      <c r="R209" s="73" t="n"/>
      <c r="S209" s="18" t="n"/>
      <c r="T209" s="18" t="n"/>
      <c r="U209" s="26">
        <f>D209+F209+-(H209+J209+L209+N209+P209+R209+T209)</f>
        <v/>
      </c>
      <c r="V209" t="inlineStr">
        <is>
          <t>ELECTRICAL</t>
        </is>
      </c>
    </row>
    <row r="210" ht="15" customHeight="1">
      <c r="A210" s="22">
        <f>A209+1</f>
        <v/>
      </c>
      <c r="B210" s="122" t="inlineStr">
        <is>
          <t>SAKLAR TUNGGAL</t>
        </is>
      </c>
      <c r="C210" s="123" t="inlineStr">
        <is>
          <t>PCS</t>
        </is>
      </c>
      <c r="D210" s="26">
        <f>'Week  (3)'!U210</f>
        <v/>
      </c>
      <c r="E210" s="124" t="n"/>
      <c r="F210" s="62" t="n"/>
      <c r="G210" s="25" t="n"/>
      <c r="H210" s="56" t="n"/>
      <c r="I210" s="19" t="n"/>
      <c r="J210" s="64" t="n"/>
      <c r="K210" s="18" t="n"/>
      <c r="L210" s="73" t="n"/>
      <c r="M210" s="73" t="n"/>
      <c r="N210" s="73" t="n"/>
      <c r="O210" s="19" t="n"/>
      <c r="P210" s="18" t="n"/>
      <c r="Q210" s="18" t="n"/>
      <c r="R210" s="73" t="n"/>
      <c r="S210" s="18" t="n"/>
      <c r="T210" s="18" t="n"/>
      <c r="U210" s="26">
        <f>D210+F210+-(H210+J210+L210+N210+P210+R210+T210)</f>
        <v/>
      </c>
      <c r="V210" t="inlineStr">
        <is>
          <t>ELECTRICAL</t>
        </is>
      </c>
    </row>
    <row r="211" ht="15" customHeight="1">
      <c r="A211" s="22">
        <f>A210+1</f>
        <v/>
      </c>
      <c r="B211" s="38" t="inlineStr">
        <is>
          <t>Sock Drat LUAR 20 x 1/2" HDPE</t>
        </is>
      </c>
      <c r="C211" s="123" t="inlineStr">
        <is>
          <t>PCS</t>
        </is>
      </c>
      <c r="D211" s="26">
        <f>'Week  (3)'!U211</f>
        <v/>
      </c>
      <c r="E211" s="125" t="n"/>
      <c r="F211" s="55" t="n"/>
      <c r="G211" s="52" t="n"/>
      <c r="H211" s="55" t="n"/>
      <c r="I211" s="71" t="n"/>
      <c r="J211" s="55" t="n"/>
      <c r="K211" s="18" t="n"/>
      <c r="L211" s="73" t="n"/>
      <c r="M211" s="73" t="n"/>
      <c r="N211" s="73" t="n"/>
      <c r="O211" s="19" t="n"/>
      <c r="P211" s="18" t="n"/>
      <c r="Q211" s="18" t="n"/>
      <c r="R211" s="73" t="n"/>
      <c r="S211" s="18" t="n"/>
      <c r="T211" s="18" t="n"/>
      <c r="U211" s="26">
        <f>D211+F211+-(H211+J211+L211+N211+P211+R211+T211)</f>
        <v/>
      </c>
      <c r="V211" t="inlineStr">
        <is>
          <t>VALVE AND PIPE</t>
        </is>
      </c>
    </row>
    <row r="212" ht="15" customHeight="1">
      <c r="A212" s="22">
        <f>A211+1</f>
        <v/>
      </c>
      <c r="B212" s="128" t="inlineStr">
        <is>
          <t>Seat &amp; Cover Closet</t>
        </is>
      </c>
      <c r="C212" s="123" t="inlineStr">
        <is>
          <t>PCS</t>
        </is>
      </c>
      <c r="D212" s="26">
        <f>'Week  (3)'!U212</f>
        <v/>
      </c>
      <c r="E212" s="124" t="n"/>
      <c r="F212" s="62" t="n"/>
      <c r="G212" s="68" t="n"/>
      <c r="H212" s="56" t="n"/>
      <c r="I212" s="19" t="n"/>
      <c r="J212" s="64" t="n"/>
      <c r="K212" s="18" t="n"/>
      <c r="L212" s="73" t="n"/>
      <c r="M212" s="73" t="n"/>
      <c r="N212" s="73" t="n"/>
      <c r="O212" s="19" t="n"/>
      <c r="P212" s="18" t="n"/>
      <c r="Q212" s="18" t="n"/>
      <c r="R212" s="73" t="n"/>
      <c r="S212" s="18" t="n"/>
      <c r="T212" s="18" t="n"/>
      <c r="U212" s="26">
        <f>D212+F212+-(H212+J212+L212+N212+P212+R212+T212)</f>
        <v/>
      </c>
      <c r="V212" t="inlineStr">
        <is>
          <t>SANITARY</t>
        </is>
      </c>
    </row>
    <row r="213">
      <c r="A213" s="22">
        <f>A212+1</f>
        <v/>
      </c>
      <c r="B213" s="79" t="inlineStr">
        <is>
          <t xml:space="preserve">Selang LPG </t>
        </is>
      </c>
      <c r="C213" s="40" t="inlineStr">
        <is>
          <t>M</t>
        </is>
      </c>
      <c r="D213" s="26">
        <f>'Week  (3)'!U213</f>
        <v/>
      </c>
      <c r="E213" s="125" t="n"/>
      <c r="F213" s="55" t="n"/>
      <c r="G213" s="52" t="n"/>
      <c r="H213" s="55" t="n"/>
      <c r="I213" s="71" t="n"/>
      <c r="J213" s="55" t="n"/>
      <c r="K213" s="18" t="n"/>
      <c r="L213" s="73" t="n"/>
      <c r="M213" s="73" t="n"/>
      <c r="N213" s="73" t="n"/>
      <c r="O213" s="19" t="n"/>
      <c r="P213" s="18" t="n"/>
      <c r="Q213" s="18" t="n"/>
      <c r="R213" s="73" t="n"/>
      <c r="S213" s="18" t="n"/>
      <c r="T213" s="18" t="n"/>
      <c r="U213" s="26">
        <f>D213+F213+-(H213+J213+L213+N213+P213+R213+T213)</f>
        <v/>
      </c>
      <c r="V213" t="inlineStr">
        <is>
          <t>OIL &amp; GAS</t>
        </is>
      </c>
    </row>
    <row r="214" ht="15" customHeight="1">
      <c r="A214" s="22">
        <f>A213+1</f>
        <v/>
      </c>
      <c r="B214" s="128" t="inlineStr">
        <is>
          <t>SELENOID DRAIN MESIN CUCI</t>
        </is>
      </c>
      <c r="C214" s="123" t="inlineStr">
        <is>
          <t>PCS</t>
        </is>
      </c>
      <c r="D214" s="26">
        <f>'Week  (3)'!U214</f>
        <v/>
      </c>
      <c r="E214" s="124" t="n"/>
      <c r="F214" s="62" t="n"/>
      <c r="G214" s="25" t="n"/>
      <c r="H214" s="56" t="n"/>
      <c r="I214" s="19" t="n"/>
      <c r="J214" s="64" t="n"/>
      <c r="K214" s="18" t="n"/>
      <c r="L214" s="73" t="n"/>
      <c r="M214" s="73" t="n"/>
      <c r="N214" s="73" t="n"/>
      <c r="O214" s="19" t="n"/>
      <c r="P214" s="18" t="n"/>
      <c r="Q214" s="18" t="n"/>
      <c r="R214" s="73" t="n"/>
      <c r="S214" s="18" t="n"/>
      <c r="T214" s="18" t="n"/>
      <c r="U214" s="26">
        <f>D214+F214+-(H214+J214+L214+N214+P214+R214+T214)</f>
        <v/>
      </c>
      <c r="V214" t="inlineStr">
        <is>
          <t>SANITARY</t>
        </is>
      </c>
    </row>
    <row r="215" ht="15" customHeight="1">
      <c r="A215" s="22">
        <f>A214+1</f>
        <v/>
      </c>
      <c r="B215" s="128" t="inlineStr">
        <is>
          <t xml:space="preserve">Shower Curtain </t>
        </is>
      </c>
      <c r="C215" s="123" t="inlineStr">
        <is>
          <t>PCS</t>
        </is>
      </c>
      <c r="D215" s="26">
        <f>'Week  (3)'!U215</f>
        <v/>
      </c>
      <c r="E215" s="125" t="n"/>
      <c r="F215" s="55" t="n"/>
      <c r="G215" s="52" t="n"/>
      <c r="H215" s="55" t="n"/>
      <c r="I215" s="71" t="n"/>
      <c r="J215" s="55" t="n"/>
      <c r="K215" s="18" t="n"/>
      <c r="L215" s="73" t="n"/>
      <c r="M215" s="73" t="n"/>
      <c r="N215" s="73" t="n"/>
      <c r="O215" s="19" t="n"/>
      <c r="P215" s="18" t="n"/>
      <c r="Q215" s="19" t="n"/>
      <c r="R215" s="73" t="n"/>
      <c r="S215" s="18" t="inlineStr">
        <is>
          <t>Jawa 11</t>
        </is>
      </c>
      <c r="T215" s="18" t="n">
        <v>1</v>
      </c>
      <c r="U215" s="26">
        <f>D215+F215+-(H215+J215+L215+N215+P215+R215+T215)</f>
        <v/>
      </c>
      <c r="V215" t="inlineStr">
        <is>
          <t>CIVIL</t>
        </is>
      </c>
    </row>
    <row r="216" ht="15" customHeight="1">
      <c r="A216" s="22">
        <f>A215+1</f>
        <v/>
      </c>
      <c r="B216" s="128" t="inlineStr">
        <is>
          <t>Silicon Sealant Clear</t>
        </is>
      </c>
      <c r="C216" s="123" t="inlineStr">
        <is>
          <t>PCS</t>
        </is>
      </c>
      <c r="D216" s="26">
        <f>'Week  (3)'!U216</f>
        <v/>
      </c>
      <c r="E216" s="124" t="n"/>
      <c r="F216" s="62" t="n"/>
      <c r="G216" s="25" t="n"/>
      <c r="H216" s="56" t="n"/>
      <c r="I216" s="19" t="n"/>
      <c r="J216" s="64" t="n"/>
      <c r="K216" s="19" t="n"/>
      <c r="L216" s="64" t="n"/>
      <c r="M216" s="73" t="n"/>
      <c r="N216" s="73" t="n"/>
      <c r="O216" s="19" t="inlineStr">
        <is>
          <t>Timor 2</t>
        </is>
      </c>
      <c r="P216" s="18" t="n">
        <v>1</v>
      </c>
      <c r="Q216" s="18" t="n"/>
      <c r="R216" s="73" t="n"/>
      <c r="S216" s="18" t="n"/>
      <c r="T216" s="18" t="n"/>
      <c r="U216" s="26">
        <f>D216+F216+-(H216+J216+L216+N216+P216+R216+T216)</f>
        <v/>
      </c>
      <c r="V216" t="inlineStr">
        <is>
          <t>CONSUMABLE</t>
        </is>
      </c>
    </row>
    <row r="217" ht="27" customHeight="1">
      <c r="A217" s="22">
        <f>A216+1</f>
        <v/>
      </c>
      <c r="B217" s="122" t="inlineStr">
        <is>
          <t>SEAL TAPE</t>
        </is>
      </c>
      <c r="C217" s="123" t="inlineStr">
        <is>
          <t>PCS</t>
        </is>
      </c>
      <c r="D217" s="26">
        <f>'Week  (3)'!U217</f>
        <v/>
      </c>
      <c r="E217" s="125" t="n"/>
      <c r="F217" s="55" t="n"/>
      <c r="G217" s="72" t="n"/>
      <c r="H217" s="55" t="n"/>
      <c r="I217" s="71" t="n"/>
      <c r="J217" s="55" t="n"/>
      <c r="K217" s="72" t="inlineStr">
        <is>
          <t>Lombok 8 =1, sulawesi 17=1</t>
        </is>
      </c>
      <c r="L217" s="55">
        <f>1+1</f>
        <v/>
      </c>
      <c r="M217" s="73" t="n"/>
      <c r="N217" s="73" t="n"/>
      <c r="O217" s="19" t="n"/>
      <c r="P217" s="18" t="n"/>
      <c r="Q217" s="18" t="n"/>
      <c r="R217" s="73" t="n"/>
      <c r="S217" s="18" t="inlineStr">
        <is>
          <t>Madura 20</t>
        </is>
      </c>
      <c r="T217" s="18" t="n">
        <v>2</v>
      </c>
      <c r="U217" s="26">
        <f>D217+F217+-(H217+J217+L217+N217+P217+R217+T217)</f>
        <v/>
      </c>
      <c r="V217" t="inlineStr">
        <is>
          <t>CONSUMABLE</t>
        </is>
      </c>
    </row>
    <row r="218" ht="15" customHeight="1">
      <c r="A218" s="22">
        <f>A217+1</f>
        <v/>
      </c>
      <c r="B218" s="38" t="inlineStr">
        <is>
          <t>Sock Drat Dalam 20 x 1/2"</t>
        </is>
      </c>
      <c r="C218" s="123" t="inlineStr">
        <is>
          <t>PCS</t>
        </is>
      </c>
      <c r="D218" s="26">
        <f>'Week  (3)'!U218</f>
        <v/>
      </c>
      <c r="E218" s="124" t="n"/>
      <c r="F218" s="62" t="n"/>
      <c r="G218" s="25" t="n"/>
      <c r="H218" s="56" t="n"/>
      <c r="I218" s="19" t="n"/>
      <c r="J218" s="64" t="n"/>
      <c r="K218" s="18" t="n"/>
      <c r="L218" s="73" t="n"/>
      <c r="M218" s="73" t="n"/>
      <c r="N218" s="73" t="n"/>
      <c r="O218" s="19" t="n"/>
      <c r="P218" s="18" t="n"/>
      <c r="Q218" s="18" t="n"/>
      <c r="R218" s="73" t="n"/>
      <c r="S218" s="18" t="n"/>
      <c r="T218" s="18" t="n"/>
      <c r="U218" s="26">
        <f>D218+F218+-(H218+J218+L218+N218+P218+R218+T218)</f>
        <v/>
      </c>
      <c r="V218" t="inlineStr">
        <is>
          <t>VALVE AND PIPE</t>
        </is>
      </c>
    </row>
    <row r="219">
      <c r="A219" s="22">
        <f>A218+1</f>
        <v/>
      </c>
      <c r="B219" s="79" t="inlineStr">
        <is>
          <t>Sock PVC AW  1"</t>
        </is>
      </c>
      <c r="C219" s="40" t="inlineStr">
        <is>
          <t>Pcs</t>
        </is>
      </c>
      <c r="D219" s="26">
        <f>'Week  (3)'!U219</f>
        <v/>
      </c>
      <c r="E219" s="125" t="n"/>
      <c r="F219" s="55" t="n"/>
      <c r="G219" s="52" t="n"/>
      <c r="H219" s="55" t="n"/>
      <c r="I219" s="71" t="n"/>
      <c r="J219" s="55" t="n"/>
      <c r="K219" s="18" t="n"/>
      <c r="L219" s="73" t="n"/>
      <c r="M219" s="73" t="n"/>
      <c r="N219" s="73" t="n"/>
      <c r="O219" s="19" t="n"/>
      <c r="P219" s="18" t="n"/>
      <c r="Q219" s="18" t="n"/>
      <c r="R219" s="73" t="n"/>
      <c r="S219" s="18" t="n"/>
      <c r="T219" s="18" t="n"/>
      <c r="U219" s="26">
        <f>D219+F219+-(H219+J219+L219+N219+P219+R219+T219)</f>
        <v/>
      </c>
      <c r="V219" t="inlineStr">
        <is>
          <t>VALVE AND PIPE</t>
        </is>
      </c>
    </row>
    <row r="220">
      <c r="A220" s="22">
        <f>A219+1</f>
        <v/>
      </c>
      <c r="B220" s="79" t="inlineStr">
        <is>
          <t>Sock PVC AW  2"</t>
        </is>
      </c>
      <c r="C220" s="40" t="inlineStr">
        <is>
          <t>Pcs</t>
        </is>
      </c>
      <c r="D220" s="26">
        <f>'Week  (3)'!U220</f>
        <v/>
      </c>
      <c r="E220" s="124" t="n"/>
      <c r="F220" s="62" t="n"/>
      <c r="G220" s="25" t="n"/>
      <c r="H220" s="56" t="n"/>
      <c r="I220" s="19" t="n"/>
      <c r="J220" s="64" t="n"/>
      <c r="K220" s="18" t="n"/>
      <c r="L220" s="73" t="n"/>
      <c r="M220" s="73" t="n"/>
      <c r="N220" s="73" t="n"/>
      <c r="O220" s="19" t="n"/>
      <c r="P220" s="18" t="n"/>
      <c r="Q220" s="18" t="n"/>
      <c r="R220" s="73" t="n"/>
      <c r="S220" s="18" t="n"/>
      <c r="T220" s="18" t="n"/>
      <c r="U220" s="26">
        <f>D220+F220+-(H220+J220+L220+N220+P220+R220+T220)</f>
        <v/>
      </c>
      <c r="V220" t="inlineStr">
        <is>
          <t>VALVE AND PIPE</t>
        </is>
      </c>
    </row>
    <row r="221">
      <c r="A221" s="22">
        <f>A220+1</f>
        <v/>
      </c>
      <c r="B221" s="79" t="inlineStr">
        <is>
          <t>Sock PVC AW  3/4"</t>
        </is>
      </c>
      <c r="C221" s="40" t="inlineStr">
        <is>
          <t>Pcs</t>
        </is>
      </c>
      <c r="D221" s="26">
        <f>'Week  (3)'!U221</f>
        <v/>
      </c>
      <c r="E221" s="125" t="n"/>
      <c r="F221" s="55" t="n"/>
      <c r="G221" s="52" t="n"/>
      <c r="H221" s="55" t="n"/>
      <c r="I221" s="71" t="n"/>
      <c r="J221" s="55" t="n"/>
      <c r="K221" s="18" t="n"/>
      <c r="L221" s="73" t="n"/>
      <c r="M221" s="73" t="n"/>
      <c r="N221" s="73" t="n"/>
      <c r="O221" s="19" t="n"/>
      <c r="P221" s="18" t="n"/>
      <c r="Q221" s="18" t="n"/>
      <c r="R221" s="73" t="n"/>
      <c r="S221" s="18" t="n"/>
      <c r="T221" s="18" t="n"/>
      <c r="U221" s="26">
        <f>D221+F221+-(H221+J221+L221+N221+P221+R221+T221)</f>
        <v/>
      </c>
      <c r="V221" t="inlineStr">
        <is>
          <t>VALVE AND PIPE</t>
        </is>
      </c>
    </row>
    <row r="222">
      <c r="A222" s="22">
        <f>A221+1</f>
        <v/>
      </c>
      <c r="B222" s="79" t="inlineStr">
        <is>
          <t>Sock PVC AW 1/2"</t>
        </is>
      </c>
      <c r="C222" s="40" t="inlineStr">
        <is>
          <t>Pcs</t>
        </is>
      </c>
      <c r="D222" s="26">
        <f>'Week  (3)'!U222</f>
        <v/>
      </c>
      <c r="E222" s="124" t="n"/>
      <c r="F222" s="62" t="n"/>
      <c r="G222" s="25" t="n"/>
      <c r="H222" s="56" t="n"/>
      <c r="I222" s="25" t="n"/>
      <c r="J222" s="56" t="n"/>
      <c r="K222" s="18" t="n"/>
      <c r="L222" s="73" t="n"/>
      <c r="M222" s="73" t="n"/>
      <c r="N222" s="73" t="n"/>
      <c r="O222" s="19" t="n"/>
      <c r="P222" s="18" t="n"/>
      <c r="Q222" s="18" t="n"/>
      <c r="R222" s="73" t="n"/>
      <c r="S222" s="18" t="n"/>
      <c r="T222" s="18" t="n"/>
      <c r="U222" s="26">
        <f>D222+F222+-(H222+J222+L222+N222+P222+R222+T222)</f>
        <v/>
      </c>
      <c r="V222" t="inlineStr">
        <is>
          <t>VALVE AND PIPE</t>
        </is>
      </c>
    </row>
    <row r="223" ht="30" customHeight="1">
      <c r="A223" s="22">
        <f>A222+1</f>
        <v/>
      </c>
      <c r="B223" s="122" t="inlineStr">
        <is>
          <t>Stater TLD 40 W (TLD-S10), Philips</t>
        </is>
      </c>
      <c r="C223" s="123" t="inlineStr">
        <is>
          <t>PCS</t>
        </is>
      </c>
      <c r="D223" s="26">
        <f>'Week  (3)'!U223</f>
        <v/>
      </c>
      <c r="E223" s="125" t="n"/>
      <c r="F223" s="55" t="n"/>
      <c r="G223" s="52" t="n"/>
      <c r="H223" s="55" t="n"/>
      <c r="I223" s="71" t="n"/>
      <c r="J223" s="55" t="n"/>
      <c r="K223" s="18" t="n"/>
      <c r="L223" s="73" t="n"/>
      <c r="M223" s="73" t="n"/>
      <c r="N223" s="73" t="n"/>
      <c r="O223" s="19" t="n"/>
      <c r="P223" s="18" t="n"/>
      <c r="Q223" s="18" t="n"/>
      <c r="R223" s="73" t="n"/>
      <c r="S223" s="18" t="n"/>
      <c r="T223" s="18" t="n"/>
      <c r="U223" s="26">
        <f>D223+F223+-(H223+J223+L223+N223+P223+R223+T223)</f>
        <v/>
      </c>
      <c r="V223" t="inlineStr">
        <is>
          <t>LAMP</t>
        </is>
      </c>
    </row>
    <row r="224" ht="15" customHeight="1">
      <c r="A224" s="22">
        <f>A223+1</f>
        <v/>
      </c>
      <c r="B224" s="122" t="inlineStr">
        <is>
          <t>STECKER ARDE BROCO</t>
        </is>
      </c>
      <c r="C224" s="123" t="inlineStr">
        <is>
          <t>PCS</t>
        </is>
      </c>
      <c r="D224" s="26">
        <f>'Week  (3)'!U224</f>
        <v/>
      </c>
      <c r="E224" s="124" t="n"/>
      <c r="F224" s="62" t="n"/>
      <c r="G224" s="25" t="n"/>
      <c r="H224" s="56" t="n"/>
      <c r="I224" s="19" t="n"/>
      <c r="J224" s="64" t="n"/>
      <c r="K224" s="19" t="n"/>
      <c r="L224" s="73" t="n"/>
      <c r="M224" s="73" t="n"/>
      <c r="N224" s="73" t="n"/>
      <c r="O224" s="19" t="n"/>
      <c r="P224" s="18" t="n"/>
      <c r="Q224" s="19" t="n"/>
      <c r="R224" s="73" t="n"/>
      <c r="S224" s="18" t="n"/>
      <c r="T224" s="18" t="n"/>
      <c r="U224" s="26">
        <f>D224+F224+-(H224+J224+L224+N224+P224+R224+T224)</f>
        <v/>
      </c>
      <c r="V224" t="inlineStr">
        <is>
          <t>ELECTRICAL</t>
        </is>
      </c>
    </row>
    <row r="225" ht="15" customHeight="1">
      <c r="A225" s="22">
        <f>A224+1</f>
        <v/>
      </c>
      <c r="B225" s="43" t="inlineStr">
        <is>
          <t>Stick of Shower Curtain</t>
        </is>
      </c>
      <c r="C225" s="123" t="inlineStr">
        <is>
          <t>PCS</t>
        </is>
      </c>
      <c r="D225" s="26">
        <f>'Week  (3)'!U225</f>
        <v/>
      </c>
      <c r="E225" s="125" t="n"/>
      <c r="F225" s="55" t="n"/>
      <c r="G225" s="52" t="n"/>
      <c r="H225" s="55" t="n"/>
      <c r="I225" s="71" t="n"/>
      <c r="J225" s="55" t="n"/>
      <c r="K225" s="18" t="n"/>
      <c r="L225" s="73" t="n"/>
      <c r="M225" s="73" t="n"/>
      <c r="N225" s="73" t="n"/>
      <c r="O225" s="19" t="n"/>
      <c r="P225" s="18" t="n"/>
      <c r="Q225" s="19" t="n"/>
      <c r="R225" s="73" t="n"/>
      <c r="S225" s="18" t="n"/>
      <c r="T225" s="18" t="n"/>
      <c r="U225" s="26">
        <f>D225+F225+-(H225+J225+L225+N225+P225+R225+T225)</f>
        <v/>
      </c>
      <c r="V225" t="inlineStr">
        <is>
          <t>CIVIL</t>
        </is>
      </c>
    </row>
    <row r="226" ht="15" customHeight="1">
      <c r="A226" s="22">
        <f>A225+1</f>
        <v/>
      </c>
      <c r="B226" s="122" t="inlineStr">
        <is>
          <t>Stop Contact  AC</t>
        </is>
      </c>
      <c r="C226" s="123" t="inlineStr">
        <is>
          <t>PCS</t>
        </is>
      </c>
      <c r="D226" s="26">
        <f>'Week  (3)'!U226</f>
        <v/>
      </c>
      <c r="E226" s="124" t="n"/>
      <c r="F226" s="62" t="n"/>
      <c r="G226" s="25" t="n"/>
      <c r="H226" s="56" t="n"/>
      <c r="I226" s="19" t="n"/>
      <c r="J226" s="64" t="n"/>
      <c r="K226" s="19" t="n"/>
      <c r="L226" s="64" t="n"/>
      <c r="M226" s="73" t="n"/>
      <c r="N226" s="73" t="n"/>
      <c r="O226" s="19" t="n"/>
      <c r="P226" s="18" t="n"/>
      <c r="Q226" s="19" t="n"/>
      <c r="R226" s="64" t="n"/>
      <c r="S226" s="18" t="n"/>
      <c r="T226" s="18" t="n"/>
      <c r="U226" s="26">
        <f>D226+F226+-(H226+J226+L226+N226+P226+R226+T226)</f>
        <v/>
      </c>
      <c r="V226" t="inlineStr">
        <is>
          <t>AC</t>
        </is>
      </c>
    </row>
    <row r="227" ht="15" customHeight="1">
      <c r="A227" s="22">
        <f>A226+1</f>
        <v/>
      </c>
      <c r="B227" s="122" t="inlineStr">
        <is>
          <t>Stop Contact  Tanam</t>
        </is>
      </c>
      <c r="C227" s="123" t="inlineStr">
        <is>
          <t>PCS</t>
        </is>
      </c>
      <c r="D227" s="26">
        <f>'Week  (3)'!U227</f>
        <v/>
      </c>
      <c r="E227" s="124" t="n"/>
      <c r="F227" s="55" t="n"/>
      <c r="G227" s="52" t="n"/>
      <c r="H227" s="55" t="n"/>
      <c r="I227" s="71" t="n"/>
      <c r="J227" s="55" t="n"/>
      <c r="K227" s="18" t="n"/>
      <c r="L227" s="73" t="n"/>
      <c r="M227" s="73" t="n"/>
      <c r="N227" s="73" t="n"/>
      <c r="O227" s="19" t="n"/>
      <c r="P227" s="18" t="n"/>
      <c r="Q227" s="18" t="n"/>
      <c r="R227" s="73" t="n"/>
      <c r="S227" s="18" t="n"/>
      <c r="T227" s="18" t="n"/>
      <c r="U227" s="26">
        <f>D227+F227+-(H227+J227+L227+N227+P227+R227+T227)</f>
        <v/>
      </c>
      <c r="V227" t="inlineStr">
        <is>
          <t>ELECTRICAL</t>
        </is>
      </c>
    </row>
    <row r="228" ht="15" customHeight="1">
      <c r="A228" s="22">
        <f>A227+1</f>
        <v/>
      </c>
      <c r="B228" s="122" t="inlineStr">
        <is>
          <t>Stop Contact  TEMPEL</t>
        </is>
      </c>
      <c r="C228" s="123" t="inlineStr">
        <is>
          <t>PCS</t>
        </is>
      </c>
      <c r="D228" s="26">
        <f>'Week  (3)'!U228</f>
        <v/>
      </c>
      <c r="E228" s="124" t="n"/>
      <c r="F228" s="62" t="n"/>
      <c r="G228" s="25" t="n"/>
      <c r="H228" s="56" t="n"/>
      <c r="I228" s="19" t="n"/>
      <c r="J228" s="64" t="n"/>
      <c r="K228" s="18" t="n"/>
      <c r="L228" s="73" t="n"/>
      <c r="M228" s="73" t="n"/>
      <c r="N228" s="73" t="n"/>
      <c r="O228" s="19" t="n"/>
      <c r="P228" s="18" t="n"/>
      <c r="Q228" s="19" t="n"/>
      <c r="R228" s="73" t="n"/>
      <c r="S228" s="18" t="n"/>
      <c r="T228" s="18" t="n"/>
      <c r="U228" s="26">
        <f>D228+F228+-(H228+J228+L228+N228+P228+R228+T228)</f>
        <v/>
      </c>
      <c r="V228" t="inlineStr">
        <is>
          <t>ELECTRICAL</t>
        </is>
      </c>
    </row>
    <row r="229" ht="15" customHeight="1">
      <c r="A229" s="22">
        <f>A228+1</f>
        <v/>
      </c>
      <c r="B229" s="38" t="inlineStr">
        <is>
          <t>Straight Coupler  25x 20</t>
        </is>
      </c>
      <c r="C229" s="123" t="inlineStr">
        <is>
          <t>PCS</t>
        </is>
      </c>
      <c r="D229" s="26">
        <f>'Week  (3)'!U229</f>
        <v/>
      </c>
      <c r="E229" s="125" t="n"/>
      <c r="F229" s="55" t="n"/>
      <c r="G229" s="52" t="n"/>
      <c r="H229" s="55" t="n"/>
      <c r="I229" s="71" t="n"/>
      <c r="J229" s="55" t="n"/>
      <c r="K229" s="18" t="n"/>
      <c r="L229" s="73" t="n"/>
      <c r="M229" s="73" t="n"/>
      <c r="N229" s="73" t="n"/>
      <c r="O229" s="19" t="n"/>
      <c r="P229" s="18" t="n"/>
      <c r="Q229" s="18" t="n"/>
      <c r="R229" s="73" t="n"/>
      <c r="S229" s="18" t="n"/>
      <c r="T229" s="18" t="n"/>
      <c r="U229" s="26">
        <f>D229+F229+-(H229+J229+L229+N229+P229+R229+T229)</f>
        <v/>
      </c>
      <c r="V229" t="inlineStr">
        <is>
          <t>VALVE AND PIPE</t>
        </is>
      </c>
    </row>
    <row r="230" ht="15" customHeight="1">
      <c r="A230" s="22">
        <f>A229+1</f>
        <v/>
      </c>
      <c r="B230" s="38" t="inlineStr">
        <is>
          <t>Straight Coupler 32 x 25</t>
        </is>
      </c>
      <c r="C230" s="123" t="inlineStr">
        <is>
          <t>PCS</t>
        </is>
      </c>
      <c r="D230" s="26">
        <f>'Week  (3)'!U230</f>
        <v/>
      </c>
      <c r="E230" s="124" t="n"/>
      <c r="F230" s="62" t="n"/>
      <c r="G230" s="25" t="n"/>
      <c r="H230" s="56" t="n"/>
      <c r="I230" s="19" t="n"/>
      <c r="J230" s="64" t="n"/>
      <c r="K230" s="18" t="n"/>
      <c r="L230" s="73" t="n"/>
      <c r="M230" s="73" t="n"/>
      <c r="N230" s="73" t="n"/>
      <c r="O230" s="19" t="n"/>
      <c r="P230" s="18" t="n"/>
      <c r="Q230" s="18" t="n"/>
      <c r="R230" s="73" t="n"/>
      <c r="S230" s="18" t="n"/>
      <c r="T230" s="18" t="n"/>
      <c r="U230" s="26">
        <f>D230+F230+-(H230+J230+L230+N230+P230+R230+T230)</f>
        <v/>
      </c>
      <c r="V230" t="inlineStr">
        <is>
          <t>VALVE AND PIPE</t>
        </is>
      </c>
    </row>
    <row r="231" ht="15" customHeight="1">
      <c r="A231" s="22">
        <f>A230+1</f>
        <v/>
      </c>
      <c r="B231" s="122" t="inlineStr">
        <is>
          <t>Switch Ceiling Fan</t>
        </is>
      </c>
      <c r="C231" s="123" t="inlineStr">
        <is>
          <t>PCS</t>
        </is>
      </c>
      <c r="D231" s="26">
        <f>'Week  (3)'!U231</f>
        <v/>
      </c>
      <c r="E231" s="125" t="n"/>
      <c r="F231" s="55" t="n"/>
      <c r="G231" s="52" t="n"/>
      <c r="H231" s="55" t="n"/>
      <c r="I231" s="71" t="n"/>
      <c r="J231" s="55" t="n"/>
      <c r="K231" s="18" t="n"/>
      <c r="L231" s="73" t="n"/>
      <c r="M231" s="73" t="n"/>
      <c r="N231" s="73" t="n"/>
      <c r="O231" s="19" t="n"/>
      <c r="P231" s="18" t="n"/>
      <c r="Q231" s="18" t="n"/>
      <c r="R231" s="73" t="n"/>
      <c r="S231" s="18" t="n"/>
      <c r="T231" s="18" t="n"/>
      <c r="U231" s="26">
        <f>D231+F231+-(H231+J231+L231+N231+P231+R231+T231)</f>
        <v/>
      </c>
      <c r="V231" t="inlineStr">
        <is>
          <t>ELECTRICAL</t>
        </is>
      </c>
    </row>
    <row r="232" ht="15" customHeight="1">
      <c r="A232" s="22">
        <f>A231+1</f>
        <v/>
      </c>
      <c r="B232" s="122" t="inlineStr">
        <is>
          <t>Switch Ceiling Lamp</t>
        </is>
      </c>
      <c r="C232" s="131" t="inlineStr">
        <is>
          <t>PCS</t>
        </is>
      </c>
      <c r="D232" s="26">
        <f>'Week  (3)'!U232</f>
        <v/>
      </c>
      <c r="E232" s="124" t="n"/>
      <c r="F232" s="62" t="n"/>
      <c r="G232" s="25" t="n"/>
      <c r="H232" s="56" t="n"/>
      <c r="I232" s="19" t="n"/>
      <c r="J232" s="64" t="n"/>
      <c r="K232" s="18" t="n"/>
      <c r="L232" s="73" t="n"/>
      <c r="M232" s="73" t="n"/>
      <c r="N232" s="73" t="n"/>
      <c r="O232" s="19" t="n"/>
      <c r="P232" s="18" t="n"/>
      <c r="Q232" s="18" t="n"/>
      <c r="R232" s="73" t="n"/>
      <c r="S232" s="18" t="n"/>
      <c r="T232" s="18" t="n"/>
      <c r="U232" s="26">
        <f>D232+F232+-(H232+J232+L232+N232+P232+R232+T232)</f>
        <v/>
      </c>
      <c r="V232" t="inlineStr">
        <is>
          <t>ELECTRICAL</t>
        </is>
      </c>
    </row>
    <row r="233" ht="30" customHeight="1">
      <c r="A233" s="22">
        <f>A232+1</f>
        <v/>
      </c>
      <c r="B233" s="30" t="inlineStr">
        <is>
          <t>Tap  for Kitchen Sink Dupon 8938 NC, Hot and Cold</t>
        </is>
      </c>
      <c r="C233" s="46" t="inlineStr">
        <is>
          <t>SET</t>
        </is>
      </c>
      <c r="D233" s="26">
        <f>'Week  (3)'!U233</f>
        <v/>
      </c>
      <c r="E233" s="125" t="n"/>
      <c r="F233" s="55" t="n"/>
      <c r="G233" s="52" t="n"/>
      <c r="H233" s="55" t="n"/>
      <c r="I233" s="71" t="n"/>
      <c r="J233" s="55" t="n"/>
      <c r="K233" s="18" t="n"/>
      <c r="L233" s="73" t="n"/>
      <c r="M233" s="73" t="n"/>
      <c r="N233" s="73" t="n"/>
      <c r="O233" s="19" t="n"/>
      <c r="P233" s="18" t="n"/>
      <c r="Q233" s="18" t="n"/>
      <c r="R233" s="73" t="n"/>
      <c r="S233" s="18" t="n"/>
      <c r="T233" s="18" t="n"/>
      <c r="U233" s="26">
        <f>D233+F233+-(H233+J233+L233+N233+P233+R233+T233)</f>
        <v/>
      </c>
      <c r="V233" t="inlineStr">
        <is>
          <t>VALVE AND PIPE</t>
        </is>
      </c>
    </row>
    <row r="234" ht="30" customHeight="1">
      <c r="A234" s="22">
        <f>A233+1</f>
        <v/>
      </c>
      <c r="B234" s="122" t="inlineStr">
        <is>
          <t>Tap  for Washbasin Dupon, Hot and Cold</t>
        </is>
      </c>
      <c r="C234" s="46" t="inlineStr">
        <is>
          <t>SET</t>
        </is>
      </c>
      <c r="D234" s="26">
        <f>'Week  (3)'!U234</f>
        <v/>
      </c>
      <c r="E234" s="124" t="n"/>
      <c r="F234" s="62" t="n"/>
      <c r="G234" s="25" t="n"/>
      <c r="H234" s="56" t="n"/>
      <c r="I234" s="19" t="n"/>
      <c r="J234" s="64" t="n"/>
      <c r="K234" s="18" t="n"/>
      <c r="L234" s="73" t="n"/>
      <c r="M234" s="73" t="n"/>
      <c r="N234" s="73" t="n"/>
      <c r="O234" s="19" t="n"/>
      <c r="P234" s="18" t="n"/>
      <c r="Q234" s="18" t="n"/>
      <c r="R234" s="73" t="n"/>
      <c r="S234" s="18" t="n"/>
      <c r="T234" s="18" t="n"/>
      <c r="U234" s="26">
        <f>D234+F234+-(H234+J234+L234+N234+P234+R234+T234)</f>
        <v/>
      </c>
      <c r="V234" t="inlineStr">
        <is>
          <t>VALVE AND PIPE</t>
        </is>
      </c>
    </row>
    <row r="235" ht="30" customHeight="1">
      <c r="A235" s="22">
        <f>A234+1</f>
        <v/>
      </c>
      <c r="B235" s="122" t="inlineStr">
        <is>
          <t>Tap  for Washbasin FIORENTINO , Hot and Cold</t>
        </is>
      </c>
      <c r="C235" s="46" t="inlineStr">
        <is>
          <t>SET</t>
        </is>
      </c>
      <c r="D235" s="26">
        <f>'Week  (3)'!U235</f>
        <v/>
      </c>
      <c r="E235" s="125" t="n"/>
      <c r="F235" s="55" t="n"/>
      <c r="G235" s="52" t="n"/>
      <c r="H235" s="55" t="n"/>
      <c r="I235" s="71" t="n"/>
      <c r="J235" s="55" t="n"/>
      <c r="K235" s="18" t="n"/>
      <c r="L235" s="73" t="n"/>
      <c r="M235" s="73" t="n"/>
      <c r="N235" s="73" t="n"/>
      <c r="O235" s="19" t="n"/>
      <c r="P235" s="18" t="n"/>
      <c r="Q235" s="18" t="n"/>
      <c r="R235" s="73" t="n"/>
      <c r="S235" s="18" t="n"/>
      <c r="T235" s="18" t="n"/>
      <c r="U235" s="26">
        <f>D235+F235+-(H235+J235+L235+N235+P235+R235+T235)</f>
        <v/>
      </c>
      <c r="V235" t="inlineStr">
        <is>
          <t>VALVE AND PIPE</t>
        </is>
      </c>
    </row>
    <row r="236" ht="15" customHeight="1">
      <c r="A236" s="22">
        <f>A235+1</f>
        <v/>
      </c>
      <c r="B236" s="122" t="inlineStr">
        <is>
          <t>Tap  Mono Wash Basin</t>
        </is>
      </c>
      <c r="C236" s="46" t="inlineStr">
        <is>
          <t>SET</t>
        </is>
      </c>
      <c r="D236" s="26">
        <f>'Week  (3)'!U236</f>
        <v/>
      </c>
      <c r="E236" s="124" t="n"/>
      <c r="F236" s="62" t="n"/>
      <c r="G236" s="25" t="n"/>
      <c r="H236" s="56" t="n"/>
      <c r="I236" s="19" t="n"/>
      <c r="J236" s="64" t="n"/>
      <c r="K236" s="18" t="n"/>
      <c r="L236" s="73" t="n"/>
      <c r="M236" s="73" t="n"/>
      <c r="N236" s="73" t="n"/>
      <c r="O236" s="19" t="n"/>
      <c r="P236" s="18" t="n"/>
      <c r="Q236" s="18" t="n"/>
      <c r="R236" s="73" t="n"/>
      <c r="S236" s="18" t="n"/>
      <c r="T236" s="18" t="n"/>
      <c r="U236" s="26">
        <f>D236+F236+-(H236+J236+L236+N236+P236+R236+T236)</f>
        <v/>
      </c>
      <c r="V236" t="inlineStr">
        <is>
          <t>VALVE AND PIPE</t>
        </is>
      </c>
    </row>
    <row r="237" ht="28.5" customHeight="1">
      <c r="A237" s="22">
        <f>A236+1</f>
        <v/>
      </c>
      <c r="B237" s="122" t="inlineStr">
        <is>
          <t>Tap for Mono  Shower</t>
        </is>
      </c>
      <c r="C237" s="131" t="inlineStr">
        <is>
          <t>PCS</t>
        </is>
      </c>
      <c r="D237" s="26">
        <f>'Week  (3)'!U237</f>
        <v/>
      </c>
      <c r="E237" s="125" t="n"/>
      <c r="F237" s="55" t="n"/>
      <c r="G237" s="25" t="n"/>
      <c r="H237" s="55" t="n"/>
      <c r="I237" s="71" t="n"/>
      <c r="J237" s="55" t="n"/>
      <c r="K237" s="18" t="n"/>
      <c r="L237" s="73" t="n"/>
      <c r="M237" s="73" t="n"/>
      <c r="N237" s="73" t="n"/>
      <c r="O237" s="19" t="n"/>
      <c r="P237" s="18" t="n"/>
      <c r="Q237" s="18" t="n"/>
      <c r="R237" s="73" t="n"/>
      <c r="S237" s="18" t="n"/>
      <c r="T237" s="18" t="n"/>
      <c r="U237" s="26">
        <f>D237+F237+-(H237+J237+L237+N237+P237+R237+T237)</f>
        <v/>
      </c>
      <c r="V237" t="inlineStr">
        <is>
          <t>VALVE AND PIPE</t>
        </is>
      </c>
    </row>
    <row r="238" ht="30" customHeight="1">
      <c r="A238" s="22">
        <f>A237+1</f>
        <v/>
      </c>
      <c r="B238" s="122" t="inlineStr">
        <is>
          <t xml:space="preserve">Tap for Shower, Dupon  Hot &amp; Clod </t>
        </is>
      </c>
      <c r="C238" s="131" t="inlineStr">
        <is>
          <t>SET</t>
        </is>
      </c>
      <c r="D238" s="26">
        <f>'Week  (3)'!U238</f>
        <v/>
      </c>
      <c r="E238" s="124" t="n"/>
      <c r="F238" s="62" t="n"/>
      <c r="G238" s="25" t="n"/>
      <c r="H238" s="56" t="n"/>
      <c r="I238" s="19" t="n"/>
      <c r="J238" s="64" t="n"/>
      <c r="K238" s="18" t="n"/>
      <c r="L238" s="73" t="n"/>
      <c r="M238" s="73" t="n"/>
      <c r="N238" s="73" t="n"/>
      <c r="O238" s="19" t="n"/>
      <c r="P238" s="18" t="n"/>
      <c r="Q238" s="18" t="n"/>
      <c r="R238" s="73" t="n"/>
      <c r="S238" s="18" t="n"/>
      <c r="T238" s="18" t="n"/>
      <c r="U238" s="26">
        <f>D238+F238+-(H238+J238+L238+N238+P238+R238+T238)</f>
        <v/>
      </c>
      <c r="V238" t="inlineStr">
        <is>
          <t>VALVE AND PIPE</t>
        </is>
      </c>
    </row>
    <row r="239" ht="30" customHeight="1">
      <c r="A239" s="22">
        <f>A238+1</f>
        <v/>
      </c>
      <c r="B239" s="122" t="inlineStr">
        <is>
          <t xml:space="preserve">Tap for Shower, WASER  Hot &amp; Clod </t>
        </is>
      </c>
      <c r="C239" s="131" t="inlineStr">
        <is>
          <t>SET</t>
        </is>
      </c>
      <c r="D239" s="26">
        <f>'Week  (3)'!U239</f>
        <v/>
      </c>
      <c r="E239" s="125" t="n"/>
      <c r="F239" s="55" t="n"/>
      <c r="G239" s="52" t="n"/>
      <c r="H239" s="55" t="n"/>
      <c r="I239" s="71" t="n"/>
      <c r="J239" s="55" t="n"/>
      <c r="K239" s="18" t="n"/>
      <c r="L239" s="73" t="n"/>
      <c r="M239" s="73" t="n"/>
      <c r="N239" s="73" t="n"/>
      <c r="O239" s="19" t="n"/>
      <c r="P239" s="18" t="n"/>
      <c r="Q239" s="18" t="n"/>
      <c r="R239" s="73" t="n"/>
      <c r="S239" s="18" t="n"/>
      <c r="T239" s="18" t="n"/>
      <c r="U239" s="26">
        <f>D239+F239+-(H239+J239+L239+N239+P239+R239+T239)</f>
        <v/>
      </c>
      <c r="V239" t="inlineStr">
        <is>
          <t>VALVE AND PIPE</t>
        </is>
      </c>
    </row>
    <row r="240" ht="15" customHeight="1">
      <c r="A240" s="22">
        <f>A239+1</f>
        <v/>
      </c>
      <c r="B240" s="43" t="inlineStr">
        <is>
          <t>Tap of Bath Tub, Dupon</t>
        </is>
      </c>
      <c r="C240" s="131" t="inlineStr">
        <is>
          <t>SET</t>
        </is>
      </c>
      <c r="D240" s="26">
        <f>'Week  (3)'!U240</f>
        <v/>
      </c>
      <c r="E240" s="124" t="n"/>
      <c r="F240" s="62" t="n"/>
      <c r="G240" s="25" t="n"/>
      <c r="H240" s="56" t="n"/>
      <c r="I240" s="19" t="n"/>
      <c r="J240" s="64" t="n"/>
      <c r="K240" s="18" t="n"/>
      <c r="L240" s="73" t="n"/>
      <c r="M240" s="73" t="n"/>
      <c r="N240" s="73" t="n"/>
      <c r="O240" s="19" t="n"/>
      <c r="P240" s="18" t="n"/>
      <c r="Q240" s="18" t="n"/>
      <c r="R240" s="73" t="n"/>
      <c r="S240" s="18" t="n"/>
      <c r="T240" s="18" t="n"/>
      <c r="U240" s="26">
        <f>D240+F240+-(H240+J240+L240+N240+P240+R240+T240)</f>
        <v/>
      </c>
      <c r="V240" t="inlineStr">
        <is>
          <t>VALVE AND PIPE</t>
        </is>
      </c>
    </row>
    <row r="241" ht="15" customHeight="1">
      <c r="A241" s="22">
        <f>A240+1</f>
        <v/>
      </c>
      <c r="B241" s="43" t="inlineStr">
        <is>
          <t xml:space="preserve">Tap of Bath Tub, WASSER </t>
        </is>
      </c>
      <c r="C241" s="131" t="inlineStr">
        <is>
          <t>SET</t>
        </is>
      </c>
      <c r="D241" s="26">
        <f>'Week  (3)'!U241</f>
        <v/>
      </c>
      <c r="E241" s="125" t="n"/>
      <c r="F241" s="55" t="n"/>
      <c r="G241" s="52" t="n"/>
      <c r="H241" s="55" t="n"/>
      <c r="I241" s="71" t="n"/>
      <c r="J241" s="55" t="n"/>
      <c r="K241" s="18" t="n"/>
      <c r="L241" s="73" t="n"/>
      <c r="M241" s="73" t="n"/>
      <c r="N241" s="73" t="n"/>
      <c r="O241" s="19" t="n"/>
      <c r="P241" s="18" t="n"/>
      <c r="Q241" s="18" t="n"/>
      <c r="R241" s="73" t="n"/>
      <c r="S241" s="18" t="n"/>
      <c r="T241" s="18" t="n"/>
      <c r="U241" s="26">
        <f>D241+F241+-(H241+J241+L241+N241+P241+R241+T241)</f>
        <v/>
      </c>
      <c r="V241" t="inlineStr">
        <is>
          <t>VALVE AND PIPE</t>
        </is>
      </c>
    </row>
    <row r="242" ht="15" customHeight="1">
      <c r="A242" s="22">
        <f>A241+1</f>
        <v/>
      </c>
      <c r="B242" s="122" t="inlineStr">
        <is>
          <t>Tap of Water Dispenser</t>
        </is>
      </c>
      <c r="C242" s="131" t="inlineStr">
        <is>
          <t>PCS</t>
        </is>
      </c>
      <c r="D242" s="26">
        <f>'Week  (3)'!U242</f>
        <v/>
      </c>
      <c r="E242" s="124" t="n"/>
      <c r="F242" s="62" t="n"/>
      <c r="G242" s="25" t="n"/>
      <c r="H242" s="56" t="n"/>
      <c r="I242" s="19" t="n"/>
      <c r="J242" s="64" t="n"/>
      <c r="K242" s="18" t="n"/>
      <c r="L242" s="73" t="n"/>
      <c r="M242" s="73" t="n"/>
      <c r="N242" s="73" t="n"/>
      <c r="O242" s="19" t="n"/>
      <c r="P242" s="18" t="n"/>
      <c r="Q242" s="18" t="n"/>
      <c r="R242" s="73" t="n"/>
      <c r="S242" s="18" t="n"/>
      <c r="T242" s="18" t="n"/>
      <c r="U242" s="26">
        <f>D242+F242+-(H242+J242+L242+N242+P242+R242+T242)</f>
        <v/>
      </c>
      <c r="V242" t="inlineStr">
        <is>
          <t>CONSUMABLE</t>
        </is>
      </c>
    </row>
    <row r="243" ht="30" customHeight="1">
      <c r="A243" s="22">
        <f>A242+1</f>
        <v/>
      </c>
      <c r="B243" s="122" t="inlineStr">
        <is>
          <t>Tap size 0.5", ONDA ( KRAN ONDA )</t>
        </is>
      </c>
      <c r="C243" s="131" t="inlineStr">
        <is>
          <t>PCS</t>
        </is>
      </c>
      <c r="D243" s="26">
        <f>'Week  (3)'!U243</f>
        <v/>
      </c>
      <c r="E243" s="125" t="n"/>
      <c r="F243" s="55" t="n"/>
      <c r="G243" s="125" t="n"/>
      <c r="H243" s="55" t="n"/>
      <c r="I243" s="71" t="n"/>
      <c r="J243" s="55" t="n"/>
      <c r="K243" s="18" t="n"/>
      <c r="L243" s="73" t="n"/>
      <c r="M243" s="73" t="n"/>
      <c r="N243" s="73" t="n"/>
      <c r="O243" s="19" t="n"/>
      <c r="P243" s="18" t="n"/>
      <c r="Q243" s="18" t="n"/>
      <c r="R243" s="73" t="n"/>
      <c r="S243" s="18" t="inlineStr">
        <is>
          <t>Madura 20</t>
        </is>
      </c>
      <c r="T243" s="18" t="n">
        <v>1</v>
      </c>
      <c r="U243" s="26">
        <f>D243+F243+-(H243+J243+L243+N243+P243+R243+T243)</f>
        <v/>
      </c>
      <c r="V243" t="inlineStr">
        <is>
          <t>VALVE AND PIPE</t>
        </is>
      </c>
    </row>
    <row r="244">
      <c r="A244" s="22">
        <f>A243+1</f>
        <v/>
      </c>
      <c r="B244" s="79" t="inlineStr">
        <is>
          <t>Tee Besi 1/2"</t>
        </is>
      </c>
      <c r="C244" s="18" t="inlineStr">
        <is>
          <t>Pcs</t>
        </is>
      </c>
      <c r="D244" s="26">
        <f>'Week  (3)'!U244</f>
        <v/>
      </c>
      <c r="E244" s="124" t="n"/>
      <c r="F244" s="62" t="n"/>
      <c r="G244" s="25" t="n"/>
      <c r="H244" s="56" t="n"/>
      <c r="I244" s="19" t="n"/>
      <c r="J244" s="64" t="n"/>
      <c r="K244" s="18" t="n"/>
      <c r="L244" s="73" t="n"/>
      <c r="M244" s="73" t="n"/>
      <c r="N244" s="73" t="n"/>
      <c r="O244" s="19" t="n"/>
      <c r="P244" s="18" t="n"/>
      <c r="Q244" s="18" t="n"/>
      <c r="R244" s="73" t="n"/>
      <c r="S244" s="18" t="n"/>
      <c r="T244" s="18" t="n"/>
      <c r="U244" s="26">
        <f>D244+F244+-(H244+J244+L244+N244+P244+R244+T244)</f>
        <v/>
      </c>
      <c r="V244" t="inlineStr">
        <is>
          <t>VALVE AND PIPE</t>
        </is>
      </c>
    </row>
    <row r="245" ht="15" customHeight="1">
      <c r="A245" s="22">
        <f>A244+1</f>
        <v/>
      </c>
      <c r="B245" s="122" t="inlineStr">
        <is>
          <t>Tee Galvanis</t>
        </is>
      </c>
      <c r="C245" s="131" t="inlineStr">
        <is>
          <t>PCS</t>
        </is>
      </c>
      <c r="D245" s="26">
        <f>'Week  (3)'!U245</f>
        <v/>
      </c>
      <c r="E245" s="125" t="n"/>
      <c r="F245" s="55" t="n"/>
      <c r="G245" s="52" t="n"/>
      <c r="H245" s="55" t="n"/>
      <c r="I245" s="71" t="n"/>
      <c r="J245" s="55" t="n"/>
      <c r="K245" s="18" t="n"/>
      <c r="L245" s="73" t="n"/>
      <c r="M245" s="73" t="n"/>
      <c r="N245" s="73" t="n"/>
      <c r="O245" s="19" t="n"/>
      <c r="P245" s="18" t="n"/>
      <c r="Q245" s="18" t="n"/>
      <c r="R245" s="73" t="n"/>
      <c r="S245" s="18" t="n"/>
      <c r="T245" s="18" t="n"/>
      <c r="U245" s="26">
        <f>D245+F245+-(H245+J245+L245+N245+P245+R245+T245)</f>
        <v/>
      </c>
      <c r="V245" t="inlineStr">
        <is>
          <t>VALVE AND PIPE</t>
        </is>
      </c>
    </row>
    <row r="246">
      <c r="A246" s="22">
        <f>A245+1</f>
        <v/>
      </c>
      <c r="B246" s="79" t="inlineStr">
        <is>
          <t>TEE PVC AW  1"</t>
        </is>
      </c>
      <c r="C246" s="18" t="inlineStr">
        <is>
          <t>Pcs</t>
        </is>
      </c>
      <c r="D246" s="26">
        <f>'Week  (3)'!U246</f>
        <v/>
      </c>
      <c r="E246" s="124" t="n"/>
      <c r="F246" s="62" t="n"/>
      <c r="G246" s="25" t="n"/>
      <c r="H246" s="56" t="n"/>
      <c r="I246" s="19" t="n"/>
      <c r="J246" s="64" t="n"/>
      <c r="K246" s="18" t="n"/>
      <c r="L246" s="73" t="n"/>
      <c r="M246" s="73" t="n"/>
      <c r="N246" s="73" t="n"/>
      <c r="O246" s="19" t="n"/>
      <c r="P246" s="18" t="n"/>
      <c r="Q246" s="18" t="n"/>
      <c r="R246" s="73" t="n"/>
      <c r="S246" s="18" t="n"/>
      <c r="T246" s="18" t="n"/>
      <c r="U246" s="26">
        <f>D246+F246+-(H246+J246+L246+N246+P246+R246+T246)</f>
        <v/>
      </c>
      <c r="V246" t="inlineStr">
        <is>
          <t>VALVE AND PIPE</t>
        </is>
      </c>
    </row>
    <row r="247">
      <c r="A247" s="22">
        <f>A246+1</f>
        <v/>
      </c>
      <c r="B247" s="79" t="inlineStr">
        <is>
          <t>TEE PVC AW  3/4"</t>
        </is>
      </c>
      <c r="C247" s="18" t="inlineStr">
        <is>
          <t>Pcs</t>
        </is>
      </c>
      <c r="D247" s="26">
        <f>'Week  (3)'!U247</f>
        <v/>
      </c>
      <c r="E247" s="124" t="n"/>
      <c r="F247" s="55" t="n"/>
      <c r="G247" s="52" t="n"/>
      <c r="H247" s="55" t="n"/>
      <c r="I247" s="71" t="n"/>
      <c r="J247" s="55" t="n"/>
      <c r="K247" s="18" t="n"/>
      <c r="L247" s="73" t="n"/>
      <c r="M247" s="73" t="n"/>
      <c r="N247" s="73" t="n"/>
      <c r="O247" s="19" t="n"/>
      <c r="P247" s="18" t="n"/>
      <c r="Q247" s="18" t="n"/>
      <c r="R247" s="73" t="n"/>
      <c r="S247" s="18" t="n"/>
      <c r="T247" s="18" t="n"/>
      <c r="U247" s="26">
        <f>D247+F247+-(H247+J247+L247+N247+P247+R247+T247)</f>
        <v/>
      </c>
      <c r="V247" t="inlineStr">
        <is>
          <t>VALVE AND PIPE</t>
        </is>
      </c>
    </row>
    <row r="248">
      <c r="A248" s="22">
        <f>A247+1</f>
        <v/>
      </c>
      <c r="B248" s="79" t="inlineStr">
        <is>
          <t>TEE PVC AW 1/2"</t>
        </is>
      </c>
      <c r="C248" s="18" t="inlineStr">
        <is>
          <t>Pcs</t>
        </is>
      </c>
      <c r="D248" s="26">
        <f>'Week  (3)'!U248</f>
        <v/>
      </c>
      <c r="E248" s="124" t="n"/>
      <c r="F248" s="62" t="n"/>
      <c r="G248" s="25" t="n"/>
      <c r="H248" s="56" t="n"/>
      <c r="I248" s="19" t="n"/>
      <c r="J248" s="64" t="n"/>
      <c r="K248" s="18" t="n"/>
      <c r="L248" s="73" t="n"/>
      <c r="M248" s="73" t="n"/>
      <c r="N248" s="73" t="n"/>
      <c r="O248" s="19" t="n"/>
      <c r="P248" s="18" t="n"/>
      <c r="Q248" s="18" t="n"/>
      <c r="R248" s="73" t="n"/>
      <c r="S248" s="18" t="n"/>
      <c r="T248" s="18" t="n"/>
      <c r="U248" s="26">
        <f>D248+F248+-(H248+J248+L248+N248+P248+R248+T248)</f>
        <v/>
      </c>
      <c r="V248" t="inlineStr">
        <is>
          <t>VALVE AND PIPE</t>
        </is>
      </c>
    </row>
    <row r="249">
      <c r="A249" s="22">
        <f>A248+1</f>
        <v/>
      </c>
      <c r="B249" s="79" t="inlineStr">
        <is>
          <t>TEE PVC AW 2"</t>
        </is>
      </c>
      <c r="C249" s="18" t="inlineStr">
        <is>
          <t>Pcs</t>
        </is>
      </c>
      <c r="D249" s="26">
        <f>'Week  (3)'!U249</f>
        <v/>
      </c>
      <c r="E249" s="125" t="n"/>
      <c r="F249" s="55" t="n"/>
      <c r="G249" s="52" t="n"/>
      <c r="H249" s="55" t="n"/>
      <c r="I249" s="71" t="n"/>
      <c r="J249" s="55" t="n"/>
      <c r="K249" s="18" t="n"/>
      <c r="L249" s="73" t="n"/>
      <c r="M249" s="73" t="n"/>
      <c r="N249" s="73" t="n"/>
      <c r="O249" s="19" t="n"/>
      <c r="P249" s="18" t="n"/>
      <c r="Q249" s="18" t="n"/>
      <c r="R249" s="73" t="n"/>
      <c r="S249" s="18" t="n"/>
      <c r="T249" s="18" t="n"/>
      <c r="U249" s="26">
        <f>D249+F249+-(H249+J249+L249+N249+P249+R249+T249)</f>
        <v/>
      </c>
      <c r="V249" t="inlineStr">
        <is>
          <t>VALVE AND PIPE</t>
        </is>
      </c>
    </row>
    <row r="250" ht="15" customHeight="1">
      <c r="A250" s="22">
        <f>A249+1</f>
        <v/>
      </c>
      <c r="B250" s="30" t="inlineStr">
        <is>
          <t>TERMINAL 4 PAIR</t>
        </is>
      </c>
      <c r="C250" s="46" t="inlineStr">
        <is>
          <t>PCS</t>
        </is>
      </c>
      <c r="D250" s="26">
        <f>'Week  (3)'!U250</f>
        <v/>
      </c>
      <c r="E250" s="124" t="n"/>
      <c r="F250" s="62" t="n"/>
      <c r="G250" s="25" t="n"/>
      <c r="H250" s="56" t="n"/>
      <c r="I250" s="19" t="n"/>
      <c r="J250" s="64" t="n"/>
      <c r="K250" s="18" t="n"/>
      <c r="L250" s="73" t="n"/>
      <c r="M250" s="73" t="n"/>
      <c r="N250" s="73" t="n"/>
      <c r="O250" s="19" t="n"/>
      <c r="P250" s="18" t="n"/>
      <c r="Q250" s="18" t="n"/>
      <c r="R250" s="73" t="n"/>
      <c r="S250" s="18" t="n"/>
      <c r="T250" s="18" t="n"/>
      <c r="U250" s="26">
        <f>D250+F250+-(H250+J250+L250+N250+P250+R250+T250)</f>
        <v/>
      </c>
      <c r="V250" t="inlineStr">
        <is>
          <t>ELECTRICAL</t>
        </is>
      </c>
    </row>
    <row r="251" ht="15" customHeight="1">
      <c r="A251" s="22">
        <f>A250+1</f>
        <v/>
      </c>
      <c r="B251" s="30" t="inlineStr">
        <is>
          <t>TEMPAT HANDUK</t>
        </is>
      </c>
      <c r="C251" s="46" t="inlineStr">
        <is>
          <t>SET</t>
        </is>
      </c>
      <c r="D251" s="26">
        <f>'Week  (3)'!U251</f>
        <v/>
      </c>
      <c r="E251" s="125" t="n"/>
      <c r="F251" s="55" t="n"/>
      <c r="G251" s="52" t="n"/>
      <c r="H251" s="55" t="n"/>
      <c r="I251" s="71" t="n"/>
      <c r="J251" s="55" t="n"/>
      <c r="K251" s="18" t="n"/>
      <c r="L251" s="73" t="n"/>
      <c r="M251" s="73" t="n"/>
      <c r="N251" s="73" t="n"/>
      <c r="O251" s="19" t="n"/>
      <c r="P251" s="18" t="n"/>
      <c r="Q251" s="18" t="n"/>
      <c r="R251" s="73" t="n"/>
      <c r="S251" s="18" t="n"/>
      <c r="T251" s="18" t="n"/>
      <c r="U251" s="26">
        <f>D251+F251+-(H251+J251+L251+N251+P251+R251+T251)</f>
        <v/>
      </c>
      <c r="V251" t="inlineStr">
        <is>
          <t>CONSUMABLE</t>
        </is>
      </c>
    </row>
    <row r="252" ht="60" customHeight="1">
      <c r="A252" s="22">
        <f>A251+1</f>
        <v/>
      </c>
      <c r="B252" s="43" t="inlineStr">
        <is>
          <t>Thinner A Special</t>
        </is>
      </c>
      <c r="C252" s="46" t="inlineStr">
        <is>
          <t>LTR</t>
        </is>
      </c>
      <c r="D252" s="26">
        <f>'Week  (3)'!U252</f>
        <v/>
      </c>
      <c r="E252" s="129" t="n"/>
      <c r="F252" s="62" t="n"/>
      <c r="G252" s="19" t="n"/>
      <c r="H252" s="18" t="n"/>
      <c r="I252" s="19" t="n"/>
      <c r="J252" s="18" t="n"/>
      <c r="K252" s="19" t="n"/>
      <c r="L252" s="18" t="n"/>
      <c r="M252" s="19" t="n"/>
      <c r="N252" s="18" t="n"/>
      <c r="O252" s="19" t="n"/>
      <c r="P252" s="70" t="n"/>
      <c r="Q252" s="19" t="n"/>
      <c r="R252" s="70" t="n"/>
      <c r="S252" s="18" t="n"/>
      <c r="T252" s="18" t="n"/>
      <c r="U252" s="26">
        <f>D252+F252+-(H252+J252+L252+N252+P252+R252+T252)</f>
        <v/>
      </c>
      <c r="V252" t="inlineStr">
        <is>
          <t>CIVIL</t>
        </is>
      </c>
    </row>
    <row r="253" ht="15" customHeight="1">
      <c r="A253" s="22">
        <f>A252+1</f>
        <v/>
      </c>
      <c r="B253" s="122" t="inlineStr">
        <is>
          <t>TL Lamp 18 W, Ballas Philips</t>
        </is>
      </c>
      <c r="C253" s="131" t="inlineStr">
        <is>
          <t>PCS</t>
        </is>
      </c>
      <c r="D253" s="26">
        <f>'Week  (3)'!U253</f>
        <v/>
      </c>
      <c r="E253" s="125" t="n"/>
      <c r="F253" s="55" t="n"/>
      <c r="G253" s="52" t="n"/>
      <c r="H253" s="55" t="n"/>
      <c r="I253" s="71" t="n"/>
      <c r="J253" s="55" t="n"/>
      <c r="K253" s="18" t="n"/>
      <c r="L253" s="73" t="n"/>
      <c r="M253" s="73" t="n"/>
      <c r="N253" s="73" t="n"/>
      <c r="O253" s="19" t="n"/>
      <c r="P253" s="18" t="n"/>
      <c r="Q253" s="18" t="n"/>
      <c r="R253" s="73" t="n"/>
      <c r="S253" s="18" t="n"/>
      <c r="T253" s="18" t="n"/>
      <c r="U253" s="26">
        <f>D253+F253+-(H253+J253+L253+N253+P253+R253+T253)</f>
        <v/>
      </c>
      <c r="V253" t="inlineStr">
        <is>
          <t>LAMP</t>
        </is>
      </c>
    </row>
    <row r="254" ht="15" customHeight="1">
      <c r="A254" s="22">
        <f>A253+1</f>
        <v/>
      </c>
      <c r="B254" s="122" t="inlineStr">
        <is>
          <t>TL Lamp 18 W, Philips</t>
        </is>
      </c>
      <c r="C254" s="131" t="inlineStr">
        <is>
          <t>PCS</t>
        </is>
      </c>
      <c r="D254" s="26">
        <f>'Week  (3)'!U254</f>
        <v/>
      </c>
      <c r="E254" s="124" t="n"/>
      <c r="F254" s="62" t="n"/>
      <c r="G254" s="25" t="n"/>
      <c r="H254" s="56" t="n"/>
      <c r="I254" s="19" t="n"/>
      <c r="J254" s="64" t="n"/>
      <c r="K254" s="18" t="n"/>
      <c r="L254" s="73" t="n"/>
      <c r="M254" s="73" t="n"/>
      <c r="N254" s="73" t="n"/>
      <c r="O254" s="19" t="n"/>
      <c r="P254" s="18" t="n"/>
      <c r="Q254" s="18" t="n"/>
      <c r="R254" s="73" t="n"/>
      <c r="S254" s="18" t="n"/>
      <c r="T254" s="18" t="n"/>
      <c r="U254" s="26">
        <f>D254+F254+-(H254+J254+L254+N254+P254+R254+T254)</f>
        <v/>
      </c>
      <c r="V254" t="inlineStr">
        <is>
          <t>LAMP</t>
        </is>
      </c>
    </row>
    <row r="255" ht="15" customHeight="1">
      <c r="A255" s="22">
        <f>A254+1</f>
        <v/>
      </c>
      <c r="B255" s="122" t="inlineStr">
        <is>
          <t>TL Lamp 36 W, Ballas Philips</t>
        </is>
      </c>
      <c r="C255" s="131" t="inlineStr">
        <is>
          <t>PCS</t>
        </is>
      </c>
      <c r="D255" s="26">
        <f>'Week  (3)'!U255</f>
        <v/>
      </c>
      <c r="E255" s="125" t="n"/>
      <c r="F255" s="55" t="n"/>
      <c r="G255" s="52" t="n"/>
      <c r="H255" s="55" t="n"/>
      <c r="I255" s="71" t="n"/>
      <c r="J255" s="55" t="n"/>
      <c r="K255" s="18" t="n"/>
      <c r="L255" s="73" t="n"/>
      <c r="M255" s="73" t="n"/>
      <c r="N255" s="73" t="n"/>
      <c r="O255" s="19" t="n"/>
      <c r="P255" s="18" t="n"/>
      <c r="Q255" s="18" t="n"/>
      <c r="R255" s="73" t="n"/>
      <c r="S255" s="18" t="n"/>
      <c r="T255" s="18" t="n"/>
      <c r="U255" s="26">
        <f>D255+F255+-(H255+J255+L255+N255+P255+R255+T255)</f>
        <v/>
      </c>
      <c r="V255" t="inlineStr">
        <is>
          <t>LAMP</t>
        </is>
      </c>
    </row>
    <row r="256" ht="15" customHeight="1">
      <c r="A256" s="22">
        <f>A255+1</f>
        <v/>
      </c>
      <c r="B256" s="30" t="inlineStr">
        <is>
          <t>TL Lamp 36/40 W, Philips</t>
        </is>
      </c>
      <c r="C256" s="47" t="inlineStr">
        <is>
          <t>PCS</t>
        </is>
      </c>
      <c r="D256" s="26">
        <f>'Week  (3)'!U256</f>
        <v/>
      </c>
      <c r="E256" s="124" t="n"/>
      <c r="F256" s="62" t="n"/>
      <c r="G256" s="25" t="n"/>
      <c r="H256" s="56" t="n"/>
      <c r="I256" s="19" t="n"/>
      <c r="J256" s="64" t="n"/>
      <c r="K256" s="18" t="n"/>
      <c r="L256" s="73" t="n"/>
      <c r="M256" s="73" t="n"/>
      <c r="N256" s="73" t="n"/>
      <c r="O256" s="19" t="n"/>
      <c r="P256" s="18" t="n"/>
      <c r="Q256" s="18" t="n"/>
      <c r="R256" s="73" t="n"/>
      <c r="S256" s="18" t="n"/>
      <c r="T256" s="18" t="n"/>
      <c r="U256" s="26">
        <f>D256+F256+-(H256+J256+L256+N256+P256+R256+T256)</f>
        <v/>
      </c>
      <c r="V256" t="inlineStr">
        <is>
          <t>LAMP</t>
        </is>
      </c>
    </row>
    <row r="257" ht="15" customHeight="1">
      <c r="A257" s="22">
        <f>A256+1</f>
        <v/>
      </c>
      <c r="B257" s="122" t="inlineStr">
        <is>
          <t>TL RING 22 W, Philips</t>
        </is>
      </c>
      <c r="C257" s="47" t="inlineStr">
        <is>
          <t>PCS</t>
        </is>
      </c>
      <c r="D257" s="26">
        <f>'Week  (3)'!U257</f>
        <v/>
      </c>
      <c r="E257" s="125" t="n"/>
      <c r="F257" s="55" t="n"/>
      <c r="G257" s="52" t="n"/>
      <c r="H257" s="55" t="n"/>
      <c r="I257" s="71" t="n"/>
      <c r="J257" s="55" t="n"/>
      <c r="K257" s="18" t="n"/>
      <c r="L257" s="73" t="n"/>
      <c r="M257" s="73" t="n"/>
      <c r="N257" s="73" t="n"/>
      <c r="O257" s="19" t="n"/>
      <c r="P257" s="18" t="n"/>
      <c r="Q257" s="18" t="n"/>
      <c r="R257" s="73" t="n"/>
      <c r="S257" s="18" t="n"/>
      <c r="T257" s="18" t="n"/>
      <c r="U257" s="26">
        <f>D257+F257+-(H257+J257+L257+N257+P257+R257+T257)</f>
        <v/>
      </c>
      <c r="V257" t="inlineStr">
        <is>
          <t>LAMP</t>
        </is>
      </c>
    </row>
    <row r="258" ht="15" customHeight="1">
      <c r="A258" s="22">
        <f>A257+1</f>
        <v/>
      </c>
      <c r="B258" s="122" t="inlineStr">
        <is>
          <t>TL RING 32 W, Philips</t>
        </is>
      </c>
      <c r="C258" s="132" t="inlineStr">
        <is>
          <t>PCS</t>
        </is>
      </c>
      <c r="D258" s="26">
        <f>'Week  (3)'!U258</f>
        <v/>
      </c>
      <c r="E258" s="124" t="n"/>
      <c r="F258" s="62" t="n"/>
      <c r="G258" s="25" t="n"/>
      <c r="H258" s="56" t="n"/>
      <c r="I258" s="19" t="n"/>
      <c r="J258" s="64" t="n"/>
      <c r="K258" s="18" t="n"/>
      <c r="L258" s="73" t="n"/>
      <c r="M258" s="73" t="n"/>
      <c r="N258" s="73" t="n"/>
      <c r="O258" s="19" t="n"/>
      <c r="P258" s="18" t="n"/>
      <c r="Q258" s="18" t="n"/>
      <c r="R258" s="73" t="n"/>
      <c r="S258" s="18" t="n"/>
      <c r="T258" s="18" t="n"/>
      <c r="U258" s="26">
        <f>D258+F258+-(H258+J258+L258+N258+P258+R258+T258)</f>
        <v/>
      </c>
      <c r="V258" t="inlineStr">
        <is>
          <t>LAMP</t>
        </is>
      </c>
    </row>
    <row r="259" ht="15" customHeight="1">
      <c r="A259" s="22">
        <f>A258+1</f>
        <v/>
      </c>
      <c r="B259" s="122" t="inlineStr">
        <is>
          <t>Toilet Shower, San-Ei</t>
        </is>
      </c>
      <c r="C259" s="132" t="inlineStr">
        <is>
          <t>SET</t>
        </is>
      </c>
      <c r="D259" s="26">
        <f>'Week  (3)'!U259</f>
        <v/>
      </c>
      <c r="E259" s="130" t="n"/>
      <c r="F259" s="55" t="n"/>
      <c r="G259" s="52" t="n"/>
      <c r="H259" s="55" t="n"/>
      <c r="I259" s="71" t="n"/>
      <c r="J259" s="55" t="n"/>
      <c r="K259" s="18" t="n"/>
      <c r="L259" s="73" t="n"/>
      <c r="M259" s="73" t="n"/>
      <c r="N259" s="73" t="n"/>
      <c r="O259" s="19" t="n"/>
      <c r="P259" s="18" t="n"/>
      <c r="Q259" s="18" t="n"/>
      <c r="R259" s="73" t="n"/>
      <c r="S259" s="18" t="n"/>
      <c r="T259" s="18" t="n"/>
      <c r="U259" s="26">
        <f>D259+F259+-(H259+J259+L259+N259+P259+R259+T259)</f>
        <v/>
      </c>
      <c r="V259" t="inlineStr">
        <is>
          <t>-</t>
        </is>
      </c>
    </row>
    <row r="260" ht="15" customHeight="1">
      <c r="A260" s="22">
        <f>A259+1</f>
        <v/>
      </c>
      <c r="B260" s="122" t="inlineStr">
        <is>
          <t>TL  LED 16 W, Philips</t>
        </is>
      </c>
      <c r="C260" s="132" t="inlineStr">
        <is>
          <t>PCS</t>
        </is>
      </c>
      <c r="D260" s="26">
        <f>'Week  (3)'!U260</f>
        <v/>
      </c>
      <c r="E260" s="124" t="n"/>
      <c r="F260" s="62" t="n"/>
      <c r="G260" s="68" t="n"/>
      <c r="H260" s="56" t="n"/>
      <c r="I260" s="19" t="n"/>
      <c r="J260" s="64" t="n"/>
      <c r="K260" s="18" t="n"/>
      <c r="L260" s="73" t="n"/>
      <c r="M260" s="73" t="n"/>
      <c r="N260" s="73" t="n"/>
      <c r="O260" s="19" t="n"/>
      <c r="P260" s="18" t="n"/>
      <c r="Q260" s="19" t="n"/>
      <c r="R260" s="18" t="n"/>
      <c r="S260" s="18" t="n"/>
      <c r="T260" s="18" t="n"/>
      <c r="U260" s="26">
        <f>D260+F260+-(H260+J260+L260+N260+P260+R260+T260)</f>
        <v/>
      </c>
      <c r="V260" t="inlineStr">
        <is>
          <t>LAMP</t>
        </is>
      </c>
    </row>
    <row r="261" ht="15" customHeight="1">
      <c r="A261" s="22">
        <f>A260+1</f>
        <v/>
      </c>
      <c r="B261" s="122" t="inlineStr">
        <is>
          <t>TL  LED 8 W, Philips</t>
        </is>
      </c>
      <c r="C261" s="132" t="inlineStr">
        <is>
          <t>PCS</t>
        </is>
      </c>
      <c r="D261" s="26">
        <f>'Week  (3)'!U261</f>
        <v/>
      </c>
      <c r="E261" s="125" t="n"/>
      <c r="F261" s="55" t="n"/>
      <c r="G261" s="52" t="n"/>
      <c r="H261" s="55" t="n"/>
      <c r="I261" s="71" t="n"/>
      <c r="J261" s="55" t="n"/>
      <c r="K261" s="18" t="n"/>
      <c r="L261" s="73" t="n"/>
      <c r="M261" s="73" t="n"/>
      <c r="N261" s="73" t="n"/>
      <c r="O261" s="19" t="n"/>
      <c r="P261" s="18" t="n"/>
      <c r="Q261" s="18" t="n"/>
      <c r="R261" s="73" t="n"/>
      <c r="S261" s="18" t="n"/>
      <c r="T261" s="18" t="n"/>
      <c r="U261" s="26">
        <f>D261+F261+-(H261+J261+L261+N261+P261+R261+T261)</f>
        <v/>
      </c>
      <c r="V261" t="inlineStr">
        <is>
          <t>LAMP</t>
        </is>
      </c>
    </row>
    <row r="262" ht="15" customHeight="1">
      <c r="A262" s="22">
        <f>A261+1</f>
        <v/>
      </c>
      <c r="B262" s="122" t="inlineStr">
        <is>
          <t>Tornado Lamp 20 W, Philips</t>
        </is>
      </c>
      <c r="C262" s="132" t="inlineStr">
        <is>
          <t>PCS</t>
        </is>
      </c>
      <c r="D262" s="26">
        <f>'Week  (3)'!U262</f>
        <v/>
      </c>
      <c r="E262" s="124" t="n"/>
      <c r="F262" s="62" t="n"/>
      <c r="G262" s="25" t="n"/>
      <c r="H262" s="56" t="n"/>
      <c r="I262" s="19" t="n"/>
      <c r="J262" s="64" t="n"/>
      <c r="K262" s="18" t="n"/>
      <c r="L262" s="73" t="n"/>
      <c r="M262" s="73" t="n"/>
      <c r="N262" s="73" t="n"/>
      <c r="O262" s="19" t="n"/>
      <c r="P262" s="18" t="n"/>
      <c r="Q262" s="18" t="n"/>
      <c r="R262" s="73" t="n"/>
      <c r="S262" s="18" t="n"/>
      <c r="T262" s="18" t="n"/>
      <c r="U262" s="26">
        <f>D262+F262+-(H262+J262+L262+N262+P262+R262+T262)</f>
        <v/>
      </c>
      <c r="V262" t="inlineStr">
        <is>
          <t>LAMP</t>
        </is>
      </c>
    </row>
    <row r="263" ht="15" customHeight="1">
      <c r="A263" s="22">
        <f>A262+1</f>
        <v/>
      </c>
      <c r="B263" s="43" t="inlineStr">
        <is>
          <t>Tornado Lamp 5 W, Philips</t>
        </is>
      </c>
      <c r="C263" s="47" t="inlineStr">
        <is>
          <t>PCS</t>
        </is>
      </c>
      <c r="D263" s="26">
        <f>'Week  (3)'!U263</f>
        <v/>
      </c>
      <c r="E263" s="125" t="n"/>
      <c r="F263" s="55" t="n"/>
      <c r="G263" s="52" t="n"/>
      <c r="H263" s="55" t="n"/>
      <c r="I263" s="71" t="n"/>
      <c r="J263" s="55" t="n"/>
      <c r="K263" s="18" t="n"/>
      <c r="L263" s="73" t="n"/>
      <c r="M263" s="73" t="n"/>
      <c r="N263" s="73" t="n"/>
      <c r="O263" s="19" t="n"/>
      <c r="P263" s="18" t="n"/>
      <c r="Q263" s="18" t="n"/>
      <c r="R263" s="73" t="n"/>
      <c r="S263" s="18" t="n"/>
      <c r="T263" s="18" t="n"/>
      <c r="U263" s="26">
        <f>D263+F263+-(H263+J263+L263+N263+P263+R263+T263)</f>
        <v/>
      </c>
      <c r="V263" t="inlineStr">
        <is>
          <t>LAMP</t>
        </is>
      </c>
    </row>
    <row r="264" ht="15" customHeight="1">
      <c r="A264" s="22">
        <f>A263+1</f>
        <v/>
      </c>
      <c r="B264" s="122" t="inlineStr">
        <is>
          <t>Tornado Lamp 8 W, Philips</t>
        </is>
      </c>
      <c r="C264" s="132" t="inlineStr">
        <is>
          <t>PCS</t>
        </is>
      </c>
      <c r="D264" s="26">
        <f>'Week  (3)'!U264</f>
        <v/>
      </c>
      <c r="E264" s="124" t="n"/>
      <c r="F264" s="62" t="n"/>
      <c r="G264" s="25" t="n"/>
      <c r="H264" s="56" t="n"/>
      <c r="I264" s="19" t="n"/>
      <c r="J264" s="64" t="n"/>
      <c r="K264" s="18" t="n"/>
      <c r="L264" s="73" t="n"/>
      <c r="M264" s="73" t="n"/>
      <c r="N264" s="73" t="n"/>
      <c r="O264" s="19" t="n"/>
      <c r="P264" s="18" t="n"/>
      <c r="Q264" s="18" t="n"/>
      <c r="R264" s="73" t="n"/>
      <c r="S264" s="18" t="n"/>
      <c r="T264" s="18" t="n"/>
      <c r="U264" s="26">
        <f>D264+F264+-(H264+J264+L264+N264+P264+R264+T264)</f>
        <v/>
      </c>
      <c r="V264" t="inlineStr">
        <is>
          <t>LAMP</t>
        </is>
      </c>
    </row>
    <row r="265">
      <c r="A265" s="22">
        <f>A264+1</f>
        <v/>
      </c>
      <c r="B265" s="79" t="inlineStr">
        <is>
          <t>V Sock PVC  4" x 2  1/2"</t>
        </is>
      </c>
      <c r="C265" s="106" t="inlineStr">
        <is>
          <t>Pcs</t>
        </is>
      </c>
      <c r="D265" s="26">
        <f>'Week  (3)'!U265</f>
        <v/>
      </c>
      <c r="E265" s="125" t="n"/>
      <c r="F265" s="55" t="n"/>
      <c r="G265" s="52" t="n"/>
      <c r="H265" s="55" t="n"/>
      <c r="I265" s="71" t="n"/>
      <c r="J265" s="55" t="n"/>
      <c r="K265" s="18" t="n"/>
      <c r="L265" s="73" t="n"/>
      <c r="M265" s="73" t="n"/>
      <c r="N265" s="73" t="n"/>
      <c r="O265" s="19" t="n"/>
      <c r="P265" s="18" t="n"/>
      <c r="Q265" s="18" t="n"/>
      <c r="R265" s="73" t="n"/>
      <c r="S265" s="18" t="n"/>
      <c r="T265" s="18" t="n"/>
      <c r="U265" s="26">
        <f>D265+F265+-(H265+J265+L265+N265+P265+R265+T265)</f>
        <v/>
      </c>
      <c r="V265" t="inlineStr">
        <is>
          <t>VALVE AND PIPE</t>
        </is>
      </c>
    </row>
    <row r="266">
      <c r="A266" s="22">
        <f>A265+1</f>
        <v/>
      </c>
      <c r="B266" s="79" t="inlineStr">
        <is>
          <t>V Sock PVC  4" x 2  "</t>
        </is>
      </c>
      <c r="C266" s="106" t="inlineStr">
        <is>
          <t>Pcs</t>
        </is>
      </c>
      <c r="D266" s="26">
        <f>'Week  (3)'!U266</f>
        <v/>
      </c>
      <c r="E266" s="124" t="n"/>
      <c r="F266" s="62" t="n"/>
      <c r="G266" s="25" t="n"/>
      <c r="H266" s="56" t="n"/>
      <c r="I266" s="19" t="n"/>
      <c r="J266" s="64" t="n"/>
      <c r="K266" s="18" t="n"/>
      <c r="L266" s="73" t="n"/>
      <c r="M266" s="73" t="n"/>
      <c r="N266" s="73" t="n"/>
      <c r="O266" s="19" t="n"/>
      <c r="P266" s="18" t="n"/>
      <c r="Q266" s="18" t="n"/>
      <c r="R266" s="73" t="n"/>
      <c r="S266" s="18" t="n"/>
      <c r="T266" s="18" t="n"/>
      <c r="U266" s="26">
        <f>D266+F266+-(H266+J266+L266+N266+P266+R266+T266)</f>
        <v/>
      </c>
      <c r="V266" t="inlineStr">
        <is>
          <t>VALVE AND PIPE</t>
        </is>
      </c>
    </row>
    <row r="267">
      <c r="A267" s="22">
        <f>A266+1</f>
        <v/>
      </c>
      <c r="B267" s="79" t="inlineStr">
        <is>
          <t>V Sock PVC  2" x 2  1/2"</t>
        </is>
      </c>
      <c r="C267" s="106" t="inlineStr">
        <is>
          <t>Pcs</t>
        </is>
      </c>
      <c r="D267" s="26">
        <f>'Week  (3)'!U267</f>
        <v/>
      </c>
      <c r="E267" s="125" t="n"/>
      <c r="F267" s="55" t="n"/>
      <c r="G267" s="52" t="n"/>
      <c r="H267" s="55" t="n"/>
      <c r="I267" s="71" t="n"/>
      <c r="J267" s="55" t="n"/>
      <c r="K267" s="18" t="n"/>
      <c r="L267" s="73" t="n"/>
      <c r="M267" s="73" t="n"/>
      <c r="N267" s="73" t="n"/>
      <c r="O267" s="19" t="n"/>
      <c r="P267" s="18" t="n"/>
      <c r="Q267" s="18" t="n"/>
      <c r="R267" s="73" t="n"/>
      <c r="S267" s="18" t="n"/>
      <c r="T267" s="18" t="n"/>
      <c r="U267" s="26">
        <f>D267+F267+-(H267+J267+L267+N267+P267+R267+T267)</f>
        <v/>
      </c>
      <c r="V267" t="inlineStr">
        <is>
          <t>VALVE AND PIPE</t>
        </is>
      </c>
    </row>
    <row r="268" ht="15" customHeight="1">
      <c r="A268" s="22">
        <f>A267+1</f>
        <v/>
      </c>
      <c r="B268" s="122" t="inlineStr">
        <is>
          <t>VALVE BALL 1/2' ONDA PVC</t>
        </is>
      </c>
      <c r="C268" s="132" t="inlineStr">
        <is>
          <t>PCS</t>
        </is>
      </c>
      <c r="D268" s="26">
        <f>'Week  (3)'!U268</f>
        <v/>
      </c>
      <c r="E268" s="124" t="n"/>
      <c r="F268" s="62" t="n"/>
      <c r="G268" s="25" t="n"/>
      <c r="H268" s="56" t="n"/>
      <c r="I268" s="19" t="n"/>
      <c r="J268" s="64" t="n"/>
      <c r="K268" s="18" t="n"/>
      <c r="L268" s="73" t="n"/>
      <c r="M268" s="73" t="n"/>
      <c r="N268" s="73" t="n"/>
      <c r="O268" s="19" t="n"/>
      <c r="P268" s="18" t="n"/>
      <c r="Q268" s="18" t="n"/>
      <c r="R268" s="73" t="n"/>
      <c r="S268" s="18" t="n"/>
      <c r="T268" s="18" t="n"/>
      <c r="U268" s="26">
        <f>D268+F268+-(H268+J268+L268+N268+P268+R268+T268)</f>
        <v/>
      </c>
      <c r="V268" t="inlineStr">
        <is>
          <t>VALVE AND PIPE</t>
        </is>
      </c>
    </row>
    <row r="269" ht="15" customHeight="1">
      <c r="A269" s="22">
        <f>A268+1</f>
        <v/>
      </c>
      <c r="B269" s="122" t="inlineStr">
        <is>
          <t>VALVE BALL 3/4' ONDA PVC</t>
        </is>
      </c>
      <c r="C269" s="34" t="inlineStr">
        <is>
          <t>PCS</t>
        </is>
      </c>
      <c r="D269" s="26">
        <f>'Week  (3)'!U269</f>
        <v/>
      </c>
      <c r="E269" s="125" t="n"/>
      <c r="F269" s="55" t="n"/>
      <c r="G269" s="52" t="n"/>
      <c r="H269" s="55" t="n"/>
      <c r="I269" s="71" t="n"/>
      <c r="J269" s="55" t="n"/>
      <c r="K269" s="18" t="n"/>
      <c r="L269" s="73" t="n"/>
      <c r="M269" s="73" t="n"/>
      <c r="N269" s="73" t="n"/>
      <c r="O269" s="19" t="n"/>
      <c r="P269" s="18" t="n"/>
      <c r="Q269" s="18" t="n"/>
      <c r="R269" s="73" t="n"/>
      <c r="S269" s="18" t="n"/>
      <c r="T269" s="18" t="n"/>
      <c r="U269" s="26">
        <f>D269+F269+-(H269+J269+L269+N269+P269+R269+T269)</f>
        <v/>
      </c>
      <c r="V269" t="inlineStr">
        <is>
          <t>VALVE AND PIPE</t>
        </is>
      </c>
    </row>
    <row r="270">
      <c r="A270" s="22">
        <f>A269+1</f>
        <v/>
      </c>
      <c r="B270" s="38" t="inlineStr">
        <is>
          <t>VALVE GATE 1/2" ONDA</t>
        </is>
      </c>
      <c r="C270" s="34" t="inlineStr">
        <is>
          <t>PCS</t>
        </is>
      </c>
      <c r="D270" s="26">
        <f>'Week  (3)'!U270</f>
        <v/>
      </c>
      <c r="E270" s="124" t="n"/>
      <c r="F270" s="62" t="n"/>
      <c r="G270" s="25" t="n"/>
      <c r="H270" s="56" t="n"/>
      <c r="I270" s="19" t="n"/>
      <c r="J270" s="64" t="n"/>
      <c r="K270" s="18" t="n"/>
      <c r="L270" s="73" t="n"/>
      <c r="M270" s="73" t="n"/>
      <c r="N270" s="73" t="n"/>
      <c r="O270" s="19" t="n"/>
      <c r="P270" s="18" t="n"/>
      <c r="Q270" s="18" t="n"/>
      <c r="R270" s="73" t="n"/>
      <c r="S270" s="18" t="n"/>
      <c r="T270" s="18" t="n"/>
      <c r="U270" s="26">
        <f>D270+F270+-(H270+J270+L270+N270+P270+R270+T270)</f>
        <v/>
      </c>
      <c r="V270" t="inlineStr">
        <is>
          <t>VALVE AND PIPE</t>
        </is>
      </c>
    </row>
    <row r="271" ht="15" customHeight="1">
      <c r="A271" s="22">
        <f>A270+1</f>
        <v/>
      </c>
      <c r="B271" s="38" t="inlineStr">
        <is>
          <t>VALVE GATE 3/4" ONDA</t>
        </is>
      </c>
      <c r="C271" s="132" t="inlineStr">
        <is>
          <t>PCS</t>
        </is>
      </c>
      <c r="D271" s="26">
        <f>'Week  (3)'!U271</f>
        <v/>
      </c>
      <c r="E271" s="125" t="n"/>
      <c r="F271" s="55" t="n"/>
      <c r="G271" s="52" t="n"/>
      <c r="H271" s="55" t="n"/>
      <c r="I271" s="71" t="n"/>
      <c r="J271" s="55" t="n"/>
      <c r="K271" s="18" t="n"/>
      <c r="L271" s="73" t="n"/>
      <c r="M271" s="73" t="n"/>
      <c r="N271" s="73" t="n"/>
      <c r="O271" s="19" t="n"/>
      <c r="P271" s="18" t="n"/>
      <c r="Q271" s="18" t="n"/>
      <c r="R271" s="73" t="n"/>
      <c r="S271" s="18" t="n"/>
      <c r="T271" s="18" t="n"/>
      <c r="U271" s="26">
        <f>D271+F271+-(H271+J271+L271+N271+P271+R271+T271)</f>
        <v/>
      </c>
      <c r="V271" t="inlineStr">
        <is>
          <t>VALVE AND PIPE</t>
        </is>
      </c>
    </row>
    <row r="272" ht="30" customHeight="1">
      <c r="A272" s="22">
        <f>A271+1</f>
        <v/>
      </c>
      <c r="B272" s="122" t="inlineStr">
        <is>
          <t>Washbasin Lamp, Essential Batten 7 W, Philips</t>
        </is>
      </c>
      <c r="C272" s="132" t="inlineStr">
        <is>
          <t>PCS</t>
        </is>
      </c>
      <c r="D272" s="26">
        <f>'Week  (3)'!U272</f>
        <v/>
      </c>
      <c r="E272" s="124" t="n"/>
      <c r="F272" s="62" t="n"/>
      <c r="G272" s="25" t="n"/>
      <c r="H272" s="56" t="n"/>
      <c r="I272" s="19" t="n"/>
      <c r="J272" s="64" t="n"/>
      <c r="K272" s="18" t="n"/>
      <c r="L272" s="73" t="n"/>
      <c r="M272" s="73" t="n"/>
      <c r="N272" s="73" t="n"/>
      <c r="O272" s="19" t="n"/>
      <c r="P272" s="18" t="n"/>
      <c r="Q272" s="18" t="n"/>
      <c r="R272" s="73" t="n"/>
      <c r="S272" s="18" t="n"/>
      <c r="T272" s="18" t="n"/>
      <c r="U272" s="26">
        <f>D272+F272+-(H272+J272+L272+N272+P272+R272+T272)</f>
        <v/>
      </c>
      <c r="V272" t="inlineStr">
        <is>
          <t>LAMP</t>
        </is>
      </c>
    </row>
    <row r="273" ht="25.5" customHeight="1">
      <c r="A273" s="22">
        <f>A272+1</f>
        <v/>
      </c>
      <c r="B273" s="38" t="inlineStr">
        <is>
          <t>Wastavel American Standard ( Wash Basin )</t>
        </is>
      </c>
      <c r="C273" s="34" t="inlineStr">
        <is>
          <t>SET</t>
        </is>
      </c>
      <c r="D273" s="26">
        <f>'Week  (3)'!U273</f>
        <v/>
      </c>
      <c r="E273" s="124" t="n"/>
      <c r="F273" s="55" t="n"/>
      <c r="G273" s="52" t="n"/>
      <c r="H273" s="55" t="n"/>
      <c r="I273" s="71" t="n"/>
      <c r="J273" s="55" t="n"/>
      <c r="K273" s="80" t="n"/>
      <c r="L273" s="73" t="n"/>
      <c r="M273" s="73" t="n"/>
      <c r="N273" s="73" t="n"/>
      <c r="O273" s="19" t="n"/>
      <c r="P273" s="18" t="n"/>
      <c r="Q273" s="18" t="n"/>
      <c r="R273" s="73" t="n"/>
      <c r="S273" s="18" t="n"/>
      <c r="T273" s="18" t="n"/>
      <c r="U273" s="26">
        <f>D273+F273+-(H273+J273+L273+N273+P273+R273+T273)</f>
        <v/>
      </c>
      <c r="V273" t="inlineStr">
        <is>
          <t>SANITARY</t>
        </is>
      </c>
    </row>
    <row r="274" ht="33" customHeight="1">
      <c r="A274" s="22">
        <f>A273+1</f>
        <v/>
      </c>
      <c r="B274" s="38" t="inlineStr">
        <is>
          <t>Water Closet American Standard</t>
        </is>
      </c>
      <c r="C274" s="34" t="inlineStr">
        <is>
          <t>SET</t>
        </is>
      </c>
      <c r="D274" s="26">
        <f>'Week  (3)'!U274</f>
        <v/>
      </c>
      <c r="E274" s="124" t="n"/>
      <c r="F274" s="62" t="n"/>
      <c r="G274" s="25" t="n"/>
      <c r="H274" s="56" t="n"/>
      <c r="I274" s="19" t="n"/>
      <c r="J274" s="64" t="n"/>
      <c r="K274" s="18" t="n"/>
      <c r="L274" s="73" t="n"/>
      <c r="M274" s="73" t="n"/>
      <c r="N274" s="73" t="n"/>
      <c r="O274" s="19" t="n"/>
      <c r="P274" s="18" t="n"/>
      <c r="Q274" s="18" t="n"/>
      <c r="R274" s="73" t="n"/>
      <c r="S274" s="18" t="n"/>
      <c r="T274" s="18" t="n"/>
      <c r="U274" s="26">
        <f>D274+F274+-(H274+J274+L274+N274+P274+R274+T274)</f>
        <v/>
      </c>
      <c r="V274" t="inlineStr">
        <is>
          <t>SANITARY</t>
        </is>
      </c>
    </row>
    <row r="275">
      <c r="D275" s="26">
        <f>SUM(D6:D274)</f>
        <v/>
      </c>
      <c r="F275" s="63">
        <f>SUM(F6:F274)</f>
        <v/>
      </c>
      <c r="U275" s="1">
        <f>SUM(U6:U274)</f>
        <v/>
      </c>
      <c r="V275" t="inlineStr">
        <is>
          <t>-</t>
        </is>
      </c>
    </row>
  </sheetData>
  <mergeCells count="16">
    <mergeCell ref="A1:T1"/>
    <mergeCell ref="G4:H4"/>
    <mergeCell ref="G3:N3"/>
    <mergeCell ref="I4:J4"/>
    <mergeCell ref="B4:B5"/>
    <mergeCell ref="C4:C5"/>
    <mergeCell ref="A4:A5"/>
    <mergeCell ref="F4:F5"/>
    <mergeCell ref="D4:D5"/>
    <mergeCell ref="E4:E5"/>
    <mergeCell ref="U4:U5"/>
    <mergeCell ref="K4:L4"/>
    <mergeCell ref="O4:P4"/>
    <mergeCell ref="M4:N4"/>
    <mergeCell ref="S4:T4"/>
    <mergeCell ref="Q4:R4"/>
  </mergeCells>
  <pageMargins left="0.7086614173228347" right="0.1968503937007874" top="0.2362204724409449" bottom="0.2755905511811024" header="0.2362204724409449" footer="0.2755905511811024"/>
  <pageSetup orientation="portrait" paperSize="9" scale="92" horizontalDpi="429496729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P275"/>
  <sheetViews>
    <sheetView tabSelected="1" zoomScale="95" zoomScaleNormal="95" workbookViewId="0">
      <pane xSplit="4" ySplit="5" topLeftCell="K143" activePane="bottomRight" state="frozenSplit"/>
      <selection activeCell="P25" sqref="P25"/>
      <selection pane="topRight" activeCell="P25" sqref="P25"/>
      <selection pane="bottomLeft" activeCell="P25" sqref="P25"/>
      <selection pane="bottomRight" activeCell="M144" sqref="M144"/>
    </sheetView>
  </sheetViews>
  <sheetFormatPr baseColWidth="8" defaultRowHeight="12.75"/>
  <cols>
    <col width="9.5703125" customWidth="1" style="11" min="1" max="1"/>
    <col width="30.7109375" customWidth="1" style="49" min="2" max="2"/>
    <col width="14.7109375" customWidth="1" style="13" min="3" max="3"/>
    <col width="10.42578125" customWidth="1" style="14" min="4" max="4"/>
    <col width="11.85546875" customWidth="1" style="115" min="5" max="5"/>
    <col width="8.28515625" customWidth="1" style="63" min="6" max="6"/>
    <col width="17.28515625" customWidth="1" style="16" min="7" max="7"/>
    <col width="6.140625" customWidth="1" style="63" min="8" max="8"/>
    <col width="15.140625" customWidth="1" style="15" min="9" max="9"/>
    <col width="9.140625" customWidth="1" style="63" min="10" max="10"/>
    <col width="15.7109375" customWidth="1" style="16" min="11" max="11"/>
    <col width="6.85546875" customWidth="1" style="50" min="12" max="12"/>
    <col width="13.28515625" customWidth="1" style="16" min="13" max="13"/>
    <col width="9.42578125" customWidth="1" style="13" min="14" max="14"/>
    <col width="12.85546875" customWidth="1" style="15" min="15" max="15"/>
    <col width="10.140625" customWidth="1" style="13" min="16" max="16"/>
    <col width="11.140625" customWidth="1" style="16" min="17" max="17"/>
    <col width="7" customWidth="1" style="13" min="18" max="18"/>
    <col width="10.85546875" customWidth="1" style="13" min="19" max="19"/>
    <col width="5.85546875" customWidth="1" style="13" min="20" max="20"/>
    <col width="10" customWidth="1" style="1" min="21" max="21"/>
    <col width="18" customWidth="1" style="51" min="22" max="255"/>
    <col width="9.5703125" customWidth="1" style="51" min="256" max="256"/>
    <col width="30.7109375" customWidth="1" style="51" min="257" max="257"/>
    <col width="14.7109375" customWidth="1" style="51" min="258" max="258"/>
    <col width="8.28515625" customWidth="1" style="51" min="259" max="259"/>
    <col width="11.85546875" customWidth="1" style="51" min="260" max="260"/>
    <col width="8.28515625" customWidth="1" style="51" min="261" max="261"/>
    <col width="17.28515625" customWidth="1" style="51" min="262" max="262"/>
    <col width="6.140625" customWidth="1" style="51" min="263" max="263"/>
    <col width="15.140625" customWidth="1" style="51" min="264" max="264"/>
    <col width="9.140625" customWidth="1" style="51" min="265" max="265"/>
    <col width="15" customWidth="1" style="51" min="266" max="266"/>
    <col width="6.85546875" customWidth="1" style="51" min="267" max="267"/>
    <col width="13.28515625" customWidth="1" style="51" min="268" max="268"/>
    <col width="9.42578125" customWidth="1" style="51" min="269" max="269"/>
    <col width="11" customWidth="1" style="51" min="270" max="270"/>
    <col width="10.140625" customWidth="1" style="51" min="271" max="271"/>
    <col width="11.140625" customWidth="1" style="51" min="272" max="272"/>
    <col width="7" customWidth="1" style="51" min="273" max="273"/>
    <col width="10.85546875" customWidth="1" style="51" min="274" max="274"/>
    <col width="5.85546875" customWidth="1" style="51" min="275" max="275"/>
    <col width="10" customWidth="1" style="51" min="276" max="276"/>
    <col width="9.140625" customWidth="1" style="51" min="277" max="511"/>
    <col width="9.5703125" customWidth="1" style="51" min="512" max="512"/>
    <col width="30.7109375" customWidth="1" style="51" min="513" max="513"/>
    <col width="14.7109375" customWidth="1" style="51" min="514" max="514"/>
    <col width="8.28515625" customWidth="1" style="51" min="515" max="515"/>
    <col width="11.85546875" customWidth="1" style="51" min="516" max="516"/>
    <col width="8.28515625" customWidth="1" style="51" min="517" max="517"/>
    <col width="17.28515625" customWidth="1" style="51" min="518" max="518"/>
    <col width="6.140625" customWidth="1" style="51" min="519" max="519"/>
    <col width="15.140625" customWidth="1" style="51" min="520" max="520"/>
    <col width="9.140625" customWidth="1" style="51" min="521" max="521"/>
    <col width="15" customWidth="1" style="51" min="522" max="522"/>
    <col width="6.85546875" customWidth="1" style="51" min="523" max="523"/>
    <col width="13.28515625" customWidth="1" style="51" min="524" max="524"/>
    <col width="9.42578125" customWidth="1" style="51" min="525" max="525"/>
    <col width="11" customWidth="1" style="51" min="526" max="526"/>
    <col width="10.140625" customWidth="1" style="51" min="527" max="527"/>
    <col width="11.140625" customWidth="1" style="51" min="528" max="528"/>
    <col width="7" customWidth="1" style="51" min="529" max="529"/>
    <col width="10.85546875" customWidth="1" style="51" min="530" max="530"/>
    <col width="5.85546875" customWidth="1" style="51" min="531" max="531"/>
    <col width="10" customWidth="1" style="51" min="532" max="532"/>
    <col width="9.140625" customWidth="1" style="51" min="533" max="767"/>
    <col width="9.5703125" customWidth="1" style="51" min="768" max="768"/>
    <col width="30.7109375" customWidth="1" style="51" min="769" max="769"/>
    <col width="14.7109375" customWidth="1" style="51" min="770" max="770"/>
    <col width="8.28515625" customWidth="1" style="51" min="771" max="771"/>
    <col width="11.85546875" customWidth="1" style="51" min="772" max="772"/>
    <col width="8.28515625" customWidth="1" style="51" min="773" max="773"/>
    <col width="17.28515625" customWidth="1" style="51" min="774" max="774"/>
    <col width="6.140625" customWidth="1" style="51" min="775" max="775"/>
    <col width="15.140625" customWidth="1" style="51" min="776" max="776"/>
    <col width="9.140625" customWidth="1" style="51" min="777" max="777"/>
    <col width="15" customWidth="1" style="51" min="778" max="778"/>
    <col width="6.85546875" customWidth="1" style="51" min="779" max="779"/>
    <col width="13.28515625" customWidth="1" style="51" min="780" max="780"/>
    <col width="9.42578125" customWidth="1" style="51" min="781" max="781"/>
    <col width="11" customWidth="1" style="51" min="782" max="782"/>
    <col width="10.140625" customWidth="1" style="51" min="783" max="783"/>
    <col width="11.140625" customWidth="1" style="51" min="784" max="784"/>
    <col width="7" customWidth="1" style="51" min="785" max="785"/>
    <col width="10.85546875" customWidth="1" style="51" min="786" max="786"/>
    <col width="5.85546875" customWidth="1" style="51" min="787" max="787"/>
    <col width="10" customWidth="1" style="51" min="788" max="788"/>
    <col width="9.140625" customWidth="1" style="51" min="789" max="1023"/>
    <col width="9.5703125" customWidth="1" style="51" min="1024" max="1024"/>
    <col width="30.7109375" customWidth="1" style="51" min="1025" max="1025"/>
    <col width="14.7109375" customWidth="1" style="51" min="1026" max="1026"/>
    <col width="8.28515625" customWidth="1" style="51" min="1027" max="1027"/>
    <col width="11.85546875" customWidth="1" style="51" min="1028" max="1028"/>
    <col width="8.28515625" customWidth="1" style="51" min="1029" max="1029"/>
    <col width="17.28515625" customWidth="1" style="51" min="1030" max="1030"/>
    <col width="6.140625" customWidth="1" style="51" min="1031" max="1031"/>
    <col width="15.140625" customWidth="1" style="51" min="1032" max="1032"/>
    <col width="9.140625" customWidth="1" style="51" min="1033" max="1033"/>
    <col width="15" customWidth="1" style="51" min="1034" max="1034"/>
    <col width="6.85546875" customWidth="1" style="51" min="1035" max="1035"/>
    <col width="13.28515625" customWidth="1" style="51" min="1036" max="1036"/>
    <col width="9.42578125" customWidth="1" style="51" min="1037" max="1037"/>
    <col width="11" customWidth="1" style="51" min="1038" max="1038"/>
    <col width="10.140625" customWidth="1" style="51" min="1039" max="1039"/>
    <col width="11.140625" customWidth="1" style="51" min="1040" max="1040"/>
    <col width="7" customWidth="1" style="51" min="1041" max="1041"/>
    <col width="10.85546875" customWidth="1" style="51" min="1042" max="1042"/>
    <col width="5.85546875" customWidth="1" style="51" min="1043" max="1043"/>
    <col width="10" customWidth="1" style="51" min="1044" max="1044"/>
    <col width="9.140625" customWidth="1" style="51" min="1045" max="1279"/>
    <col width="9.5703125" customWidth="1" style="51" min="1280" max="1280"/>
    <col width="30.7109375" customWidth="1" style="51" min="1281" max="1281"/>
    <col width="14.7109375" customWidth="1" style="51" min="1282" max="1282"/>
    <col width="8.28515625" customWidth="1" style="51" min="1283" max="1283"/>
    <col width="11.85546875" customWidth="1" style="51" min="1284" max="1284"/>
    <col width="8.28515625" customWidth="1" style="51" min="1285" max="1285"/>
    <col width="17.28515625" customWidth="1" style="51" min="1286" max="1286"/>
    <col width="6.140625" customWidth="1" style="51" min="1287" max="1287"/>
    <col width="15.140625" customWidth="1" style="51" min="1288" max="1288"/>
    <col width="9.140625" customWidth="1" style="51" min="1289" max="1289"/>
    <col width="15" customWidth="1" style="51" min="1290" max="1290"/>
    <col width="6.85546875" customWidth="1" style="51" min="1291" max="1291"/>
    <col width="13.28515625" customWidth="1" style="51" min="1292" max="1292"/>
    <col width="9.42578125" customWidth="1" style="51" min="1293" max="1293"/>
    <col width="11" customWidth="1" style="51" min="1294" max="1294"/>
    <col width="10.140625" customWidth="1" style="51" min="1295" max="1295"/>
    <col width="11.140625" customWidth="1" style="51" min="1296" max="1296"/>
    <col width="7" customWidth="1" style="51" min="1297" max="1297"/>
    <col width="10.85546875" customWidth="1" style="51" min="1298" max="1298"/>
    <col width="5.85546875" customWidth="1" style="51" min="1299" max="1299"/>
    <col width="10" customWidth="1" style="51" min="1300" max="1300"/>
    <col width="9.140625" customWidth="1" style="51" min="1301" max="1535"/>
    <col width="9.5703125" customWidth="1" style="51" min="1536" max="1536"/>
    <col width="30.7109375" customWidth="1" style="51" min="1537" max="1537"/>
    <col width="14.7109375" customWidth="1" style="51" min="1538" max="1538"/>
    <col width="8.28515625" customWidth="1" style="51" min="1539" max="1539"/>
    <col width="11.85546875" customWidth="1" style="51" min="1540" max="1540"/>
    <col width="8.28515625" customWidth="1" style="51" min="1541" max="1541"/>
    <col width="17.28515625" customWidth="1" style="51" min="1542" max="1542"/>
    <col width="6.140625" customWidth="1" style="51" min="1543" max="1543"/>
    <col width="15.140625" customWidth="1" style="51" min="1544" max="1544"/>
    <col width="9.140625" customWidth="1" style="51" min="1545" max="1545"/>
    <col width="15" customWidth="1" style="51" min="1546" max="1546"/>
    <col width="6.85546875" customWidth="1" style="51" min="1547" max="1547"/>
    <col width="13.28515625" customWidth="1" style="51" min="1548" max="1548"/>
    <col width="9.42578125" customWidth="1" style="51" min="1549" max="1549"/>
    <col width="11" customWidth="1" style="51" min="1550" max="1550"/>
    <col width="10.140625" customWidth="1" style="51" min="1551" max="1551"/>
    <col width="11.140625" customWidth="1" style="51" min="1552" max="1552"/>
    <col width="7" customWidth="1" style="51" min="1553" max="1553"/>
    <col width="10.85546875" customWidth="1" style="51" min="1554" max="1554"/>
    <col width="5.85546875" customWidth="1" style="51" min="1555" max="1555"/>
    <col width="10" customWidth="1" style="51" min="1556" max="1556"/>
    <col width="9.140625" customWidth="1" style="51" min="1557" max="1791"/>
    <col width="9.5703125" customWidth="1" style="51" min="1792" max="1792"/>
    <col width="30.7109375" customWidth="1" style="51" min="1793" max="1793"/>
    <col width="14.7109375" customWidth="1" style="51" min="1794" max="1794"/>
    <col width="8.28515625" customWidth="1" style="51" min="1795" max="1795"/>
    <col width="11.85546875" customWidth="1" style="51" min="1796" max="1796"/>
    <col width="8.28515625" customWidth="1" style="51" min="1797" max="1797"/>
    <col width="17.28515625" customWidth="1" style="51" min="1798" max="1798"/>
    <col width="6.140625" customWidth="1" style="51" min="1799" max="1799"/>
    <col width="15.140625" customWidth="1" style="51" min="1800" max="1800"/>
    <col width="9.140625" customWidth="1" style="51" min="1801" max="1801"/>
    <col width="15" customWidth="1" style="51" min="1802" max="1802"/>
    <col width="6.85546875" customWidth="1" style="51" min="1803" max="1803"/>
    <col width="13.28515625" customWidth="1" style="51" min="1804" max="1804"/>
    <col width="9.42578125" customWidth="1" style="51" min="1805" max="1805"/>
    <col width="11" customWidth="1" style="51" min="1806" max="1806"/>
    <col width="10.140625" customWidth="1" style="51" min="1807" max="1807"/>
    <col width="11.140625" customWidth="1" style="51" min="1808" max="1808"/>
    <col width="7" customWidth="1" style="51" min="1809" max="1809"/>
    <col width="10.85546875" customWidth="1" style="51" min="1810" max="1810"/>
    <col width="5.85546875" customWidth="1" style="51" min="1811" max="1811"/>
    <col width="10" customWidth="1" style="51" min="1812" max="1812"/>
    <col width="9.140625" customWidth="1" style="51" min="1813" max="2047"/>
    <col width="9.5703125" customWidth="1" style="51" min="2048" max="2048"/>
    <col width="30.7109375" customWidth="1" style="51" min="2049" max="2049"/>
    <col width="14.7109375" customWidth="1" style="51" min="2050" max="2050"/>
    <col width="8.28515625" customWidth="1" style="51" min="2051" max="2051"/>
    <col width="11.85546875" customWidth="1" style="51" min="2052" max="2052"/>
    <col width="8.28515625" customWidth="1" style="51" min="2053" max="2053"/>
    <col width="17.28515625" customWidth="1" style="51" min="2054" max="2054"/>
    <col width="6.140625" customWidth="1" style="51" min="2055" max="2055"/>
    <col width="15.140625" customWidth="1" style="51" min="2056" max="2056"/>
    <col width="9.140625" customWidth="1" style="51" min="2057" max="2057"/>
    <col width="15" customWidth="1" style="51" min="2058" max="2058"/>
    <col width="6.85546875" customWidth="1" style="51" min="2059" max="2059"/>
    <col width="13.28515625" customWidth="1" style="51" min="2060" max="2060"/>
    <col width="9.42578125" customWidth="1" style="51" min="2061" max="2061"/>
    <col width="11" customWidth="1" style="51" min="2062" max="2062"/>
    <col width="10.140625" customWidth="1" style="51" min="2063" max="2063"/>
    <col width="11.140625" customWidth="1" style="51" min="2064" max="2064"/>
    <col width="7" customWidth="1" style="51" min="2065" max="2065"/>
    <col width="10.85546875" customWidth="1" style="51" min="2066" max="2066"/>
    <col width="5.85546875" customWidth="1" style="51" min="2067" max="2067"/>
    <col width="10" customWidth="1" style="51" min="2068" max="2068"/>
    <col width="9.140625" customWidth="1" style="51" min="2069" max="2303"/>
    <col width="9.5703125" customWidth="1" style="51" min="2304" max="2304"/>
    <col width="30.7109375" customWidth="1" style="51" min="2305" max="2305"/>
    <col width="14.7109375" customWidth="1" style="51" min="2306" max="2306"/>
    <col width="8.28515625" customWidth="1" style="51" min="2307" max="2307"/>
    <col width="11.85546875" customWidth="1" style="51" min="2308" max="2308"/>
    <col width="8.28515625" customWidth="1" style="51" min="2309" max="2309"/>
    <col width="17.28515625" customWidth="1" style="51" min="2310" max="2310"/>
    <col width="6.140625" customWidth="1" style="51" min="2311" max="2311"/>
    <col width="15.140625" customWidth="1" style="51" min="2312" max="2312"/>
    <col width="9.140625" customWidth="1" style="51" min="2313" max="2313"/>
    <col width="15" customWidth="1" style="51" min="2314" max="2314"/>
    <col width="6.85546875" customWidth="1" style="51" min="2315" max="2315"/>
    <col width="13.28515625" customWidth="1" style="51" min="2316" max="2316"/>
    <col width="9.42578125" customWidth="1" style="51" min="2317" max="2317"/>
    <col width="11" customWidth="1" style="51" min="2318" max="2318"/>
    <col width="10.140625" customWidth="1" style="51" min="2319" max="2319"/>
    <col width="11.140625" customWidth="1" style="51" min="2320" max="2320"/>
    <col width="7" customWidth="1" style="51" min="2321" max="2321"/>
    <col width="10.85546875" customWidth="1" style="51" min="2322" max="2322"/>
    <col width="5.85546875" customWidth="1" style="51" min="2323" max="2323"/>
    <col width="10" customWidth="1" style="51" min="2324" max="2324"/>
    <col width="9.140625" customWidth="1" style="51" min="2325" max="2559"/>
    <col width="9.5703125" customWidth="1" style="51" min="2560" max="2560"/>
    <col width="30.7109375" customWidth="1" style="51" min="2561" max="2561"/>
    <col width="14.7109375" customWidth="1" style="51" min="2562" max="2562"/>
    <col width="8.28515625" customWidth="1" style="51" min="2563" max="2563"/>
    <col width="11.85546875" customWidth="1" style="51" min="2564" max="2564"/>
    <col width="8.28515625" customWidth="1" style="51" min="2565" max="2565"/>
    <col width="17.28515625" customWidth="1" style="51" min="2566" max="2566"/>
    <col width="6.140625" customWidth="1" style="51" min="2567" max="2567"/>
    <col width="15.140625" customWidth="1" style="51" min="2568" max="2568"/>
    <col width="9.140625" customWidth="1" style="51" min="2569" max="2569"/>
    <col width="15" customWidth="1" style="51" min="2570" max="2570"/>
    <col width="6.85546875" customWidth="1" style="51" min="2571" max="2571"/>
    <col width="13.28515625" customWidth="1" style="51" min="2572" max="2572"/>
    <col width="9.42578125" customWidth="1" style="51" min="2573" max="2573"/>
    <col width="11" customWidth="1" style="51" min="2574" max="2574"/>
    <col width="10.140625" customWidth="1" style="51" min="2575" max="2575"/>
    <col width="11.140625" customWidth="1" style="51" min="2576" max="2576"/>
    <col width="7" customWidth="1" style="51" min="2577" max="2577"/>
    <col width="10.85546875" customWidth="1" style="51" min="2578" max="2578"/>
    <col width="5.85546875" customWidth="1" style="51" min="2579" max="2579"/>
    <col width="10" customWidth="1" style="51" min="2580" max="2580"/>
    <col width="9.140625" customWidth="1" style="51" min="2581" max="2815"/>
    <col width="9.5703125" customWidth="1" style="51" min="2816" max="2816"/>
    <col width="30.7109375" customWidth="1" style="51" min="2817" max="2817"/>
    <col width="14.7109375" customWidth="1" style="51" min="2818" max="2818"/>
    <col width="8.28515625" customWidth="1" style="51" min="2819" max="2819"/>
    <col width="11.85546875" customWidth="1" style="51" min="2820" max="2820"/>
    <col width="8.28515625" customWidth="1" style="51" min="2821" max="2821"/>
    <col width="17.28515625" customWidth="1" style="51" min="2822" max="2822"/>
    <col width="6.140625" customWidth="1" style="51" min="2823" max="2823"/>
    <col width="15.140625" customWidth="1" style="51" min="2824" max="2824"/>
    <col width="9.140625" customWidth="1" style="51" min="2825" max="2825"/>
    <col width="15" customWidth="1" style="51" min="2826" max="2826"/>
    <col width="6.85546875" customWidth="1" style="51" min="2827" max="2827"/>
    <col width="13.28515625" customWidth="1" style="51" min="2828" max="2828"/>
    <col width="9.42578125" customWidth="1" style="51" min="2829" max="2829"/>
    <col width="11" customWidth="1" style="51" min="2830" max="2830"/>
    <col width="10.140625" customWidth="1" style="51" min="2831" max="2831"/>
    <col width="11.140625" customWidth="1" style="51" min="2832" max="2832"/>
    <col width="7" customWidth="1" style="51" min="2833" max="2833"/>
    <col width="10.85546875" customWidth="1" style="51" min="2834" max="2834"/>
    <col width="5.85546875" customWidth="1" style="51" min="2835" max="2835"/>
    <col width="10" customWidth="1" style="51" min="2836" max="2836"/>
    <col width="9.140625" customWidth="1" style="51" min="2837" max="3071"/>
    <col width="9.5703125" customWidth="1" style="51" min="3072" max="3072"/>
    <col width="30.7109375" customWidth="1" style="51" min="3073" max="3073"/>
    <col width="14.7109375" customWidth="1" style="51" min="3074" max="3074"/>
    <col width="8.28515625" customWidth="1" style="51" min="3075" max="3075"/>
    <col width="11.85546875" customWidth="1" style="51" min="3076" max="3076"/>
    <col width="8.28515625" customWidth="1" style="51" min="3077" max="3077"/>
    <col width="17.28515625" customWidth="1" style="51" min="3078" max="3078"/>
    <col width="6.140625" customWidth="1" style="51" min="3079" max="3079"/>
    <col width="15.140625" customWidth="1" style="51" min="3080" max="3080"/>
    <col width="9.140625" customWidth="1" style="51" min="3081" max="3081"/>
    <col width="15" customWidth="1" style="51" min="3082" max="3082"/>
    <col width="6.85546875" customWidth="1" style="51" min="3083" max="3083"/>
    <col width="13.28515625" customWidth="1" style="51" min="3084" max="3084"/>
    <col width="9.42578125" customWidth="1" style="51" min="3085" max="3085"/>
    <col width="11" customWidth="1" style="51" min="3086" max="3086"/>
    <col width="10.140625" customWidth="1" style="51" min="3087" max="3087"/>
    <col width="11.140625" customWidth="1" style="51" min="3088" max="3088"/>
    <col width="7" customWidth="1" style="51" min="3089" max="3089"/>
    <col width="10.85546875" customWidth="1" style="51" min="3090" max="3090"/>
    <col width="5.85546875" customWidth="1" style="51" min="3091" max="3091"/>
    <col width="10" customWidth="1" style="51" min="3092" max="3092"/>
    <col width="9.140625" customWidth="1" style="51" min="3093" max="3327"/>
    <col width="9.5703125" customWidth="1" style="51" min="3328" max="3328"/>
    <col width="30.7109375" customWidth="1" style="51" min="3329" max="3329"/>
    <col width="14.7109375" customWidth="1" style="51" min="3330" max="3330"/>
    <col width="8.28515625" customWidth="1" style="51" min="3331" max="3331"/>
    <col width="11.85546875" customWidth="1" style="51" min="3332" max="3332"/>
    <col width="8.28515625" customWidth="1" style="51" min="3333" max="3333"/>
    <col width="17.28515625" customWidth="1" style="51" min="3334" max="3334"/>
    <col width="6.140625" customWidth="1" style="51" min="3335" max="3335"/>
    <col width="15.140625" customWidth="1" style="51" min="3336" max="3336"/>
    <col width="9.140625" customWidth="1" style="51" min="3337" max="3337"/>
    <col width="15" customWidth="1" style="51" min="3338" max="3338"/>
    <col width="6.85546875" customWidth="1" style="51" min="3339" max="3339"/>
    <col width="13.28515625" customWidth="1" style="51" min="3340" max="3340"/>
    <col width="9.42578125" customWidth="1" style="51" min="3341" max="3341"/>
    <col width="11" customWidth="1" style="51" min="3342" max="3342"/>
    <col width="10.140625" customWidth="1" style="51" min="3343" max="3343"/>
    <col width="11.140625" customWidth="1" style="51" min="3344" max="3344"/>
    <col width="7" customWidth="1" style="51" min="3345" max="3345"/>
    <col width="10.85546875" customWidth="1" style="51" min="3346" max="3346"/>
    <col width="5.85546875" customWidth="1" style="51" min="3347" max="3347"/>
    <col width="10" customWidth="1" style="51" min="3348" max="3348"/>
    <col width="9.140625" customWidth="1" style="51" min="3349" max="3583"/>
    <col width="9.5703125" customWidth="1" style="51" min="3584" max="3584"/>
    <col width="30.7109375" customWidth="1" style="51" min="3585" max="3585"/>
    <col width="14.7109375" customWidth="1" style="51" min="3586" max="3586"/>
    <col width="8.28515625" customWidth="1" style="51" min="3587" max="3587"/>
    <col width="11.85546875" customWidth="1" style="51" min="3588" max="3588"/>
    <col width="8.28515625" customWidth="1" style="51" min="3589" max="3589"/>
    <col width="17.28515625" customWidth="1" style="51" min="3590" max="3590"/>
    <col width="6.140625" customWidth="1" style="51" min="3591" max="3591"/>
    <col width="15.140625" customWidth="1" style="51" min="3592" max="3592"/>
    <col width="9.140625" customWidth="1" style="51" min="3593" max="3593"/>
    <col width="15" customWidth="1" style="51" min="3594" max="3594"/>
    <col width="6.85546875" customWidth="1" style="51" min="3595" max="3595"/>
    <col width="13.28515625" customWidth="1" style="51" min="3596" max="3596"/>
    <col width="9.42578125" customWidth="1" style="51" min="3597" max="3597"/>
    <col width="11" customWidth="1" style="51" min="3598" max="3598"/>
    <col width="10.140625" customWidth="1" style="51" min="3599" max="3599"/>
    <col width="11.140625" customWidth="1" style="51" min="3600" max="3600"/>
    <col width="7" customWidth="1" style="51" min="3601" max="3601"/>
    <col width="10.85546875" customWidth="1" style="51" min="3602" max="3602"/>
    <col width="5.85546875" customWidth="1" style="51" min="3603" max="3603"/>
    <col width="10" customWidth="1" style="51" min="3604" max="3604"/>
    <col width="9.140625" customWidth="1" style="51" min="3605" max="3839"/>
    <col width="9.5703125" customWidth="1" style="51" min="3840" max="3840"/>
    <col width="30.7109375" customWidth="1" style="51" min="3841" max="3841"/>
    <col width="14.7109375" customWidth="1" style="51" min="3842" max="3842"/>
    <col width="8.28515625" customWidth="1" style="51" min="3843" max="3843"/>
    <col width="11.85546875" customWidth="1" style="51" min="3844" max="3844"/>
    <col width="8.28515625" customWidth="1" style="51" min="3845" max="3845"/>
    <col width="17.28515625" customWidth="1" style="51" min="3846" max="3846"/>
    <col width="6.140625" customWidth="1" style="51" min="3847" max="3847"/>
    <col width="15.140625" customWidth="1" style="51" min="3848" max="3848"/>
    <col width="9.140625" customWidth="1" style="51" min="3849" max="3849"/>
    <col width="15" customWidth="1" style="51" min="3850" max="3850"/>
    <col width="6.85546875" customWidth="1" style="51" min="3851" max="3851"/>
    <col width="13.28515625" customWidth="1" style="51" min="3852" max="3852"/>
    <col width="9.42578125" customWidth="1" style="51" min="3853" max="3853"/>
    <col width="11" customWidth="1" style="51" min="3854" max="3854"/>
    <col width="10.140625" customWidth="1" style="51" min="3855" max="3855"/>
    <col width="11.140625" customWidth="1" style="51" min="3856" max="3856"/>
    <col width="7" customWidth="1" style="51" min="3857" max="3857"/>
    <col width="10.85546875" customWidth="1" style="51" min="3858" max="3858"/>
    <col width="5.85546875" customWidth="1" style="51" min="3859" max="3859"/>
    <col width="10" customWidth="1" style="51" min="3860" max="3860"/>
    <col width="9.140625" customWidth="1" style="51" min="3861" max="4095"/>
    <col width="9.5703125" customWidth="1" style="51" min="4096" max="4096"/>
    <col width="30.7109375" customWidth="1" style="51" min="4097" max="4097"/>
    <col width="14.7109375" customWidth="1" style="51" min="4098" max="4098"/>
    <col width="8.28515625" customWidth="1" style="51" min="4099" max="4099"/>
    <col width="11.85546875" customWidth="1" style="51" min="4100" max="4100"/>
    <col width="8.28515625" customWidth="1" style="51" min="4101" max="4101"/>
    <col width="17.28515625" customWidth="1" style="51" min="4102" max="4102"/>
    <col width="6.140625" customWidth="1" style="51" min="4103" max="4103"/>
    <col width="15.140625" customWidth="1" style="51" min="4104" max="4104"/>
    <col width="9.140625" customWidth="1" style="51" min="4105" max="4105"/>
    <col width="15" customWidth="1" style="51" min="4106" max="4106"/>
    <col width="6.85546875" customWidth="1" style="51" min="4107" max="4107"/>
    <col width="13.28515625" customWidth="1" style="51" min="4108" max="4108"/>
    <col width="9.42578125" customWidth="1" style="51" min="4109" max="4109"/>
    <col width="11" customWidth="1" style="51" min="4110" max="4110"/>
    <col width="10.140625" customWidth="1" style="51" min="4111" max="4111"/>
    <col width="11.140625" customWidth="1" style="51" min="4112" max="4112"/>
    <col width="7" customWidth="1" style="51" min="4113" max="4113"/>
    <col width="10.85546875" customWidth="1" style="51" min="4114" max="4114"/>
    <col width="5.85546875" customWidth="1" style="51" min="4115" max="4115"/>
    <col width="10" customWidth="1" style="51" min="4116" max="4116"/>
    <col width="9.140625" customWidth="1" style="51" min="4117" max="4351"/>
    <col width="9.5703125" customWidth="1" style="51" min="4352" max="4352"/>
    <col width="30.7109375" customWidth="1" style="51" min="4353" max="4353"/>
    <col width="14.7109375" customWidth="1" style="51" min="4354" max="4354"/>
    <col width="8.28515625" customWidth="1" style="51" min="4355" max="4355"/>
    <col width="11.85546875" customWidth="1" style="51" min="4356" max="4356"/>
    <col width="8.28515625" customWidth="1" style="51" min="4357" max="4357"/>
    <col width="17.28515625" customWidth="1" style="51" min="4358" max="4358"/>
    <col width="6.140625" customWidth="1" style="51" min="4359" max="4359"/>
    <col width="15.140625" customWidth="1" style="51" min="4360" max="4360"/>
    <col width="9.140625" customWidth="1" style="51" min="4361" max="4361"/>
    <col width="15" customWidth="1" style="51" min="4362" max="4362"/>
    <col width="6.85546875" customWidth="1" style="51" min="4363" max="4363"/>
    <col width="13.28515625" customWidth="1" style="51" min="4364" max="4364"/>
    <col width="9.42578125" customWidth="1" style="51" min="4365" max="4365"/>
    <col width="11" customWidth="1" style="51" min="4366" max="4366"/>
    <col width="10.140625" customWidth="1" style="51" min="4367" max="4367"/>
    <col width="11.140625" customWidth="1" style="51" min="4368" max="4368"/>
    <col width="7" customWidth="1" style="51" min="4369" max="4369"/>
    <col width="10.85546875" customWidth="1" style="51" min="4370" max="4370"/>
    <col width="5.85546875" customWidth="1" style="51" min="4371" max="4371"/>
    <col width="10" customWidth="1" style="51" min="4372" max="4372"/>
    <col width="9.140625" customWidth="1" style="51" min="4373" max="4607"/>
    <col width="9.5703125" customWidth="1" style="51" min="4608" max="4608"/>
    <col width="30.7109375" customWidth="1" style="51" min="4609" max="4609"/>
    <col width="14.7109375" customWidth="1" style="51" min="4610" max="4610"/>
    <col width="8.28515625" customWidth="1" style="51" min="4611" max="4611"/>
    <col width="11.85546875" customWidth="1" style="51" min="4612" max="4612"/>
    <col width="8.28515625" customWidth="1" style="51" min="4613" max="4613"/>
    <col width="17.28515625" customWidth="1" style="51" min="4614" max="4614"/>
    <col width="6.140625" customWidth="1" style="51" min="4615" max="4615"/>
    <col width="15.140625" customWidth="1" style="51" min="4616" max="4616"/>
    <col width="9.140625" customWidth="1" style="51" min="4617" max="4617"/>
    <col width="15" customWidth="1" style="51" min="4618" max="4618"/>
    <col width="6.85546875" customWidth="1" style="51" min="4619" max="4619"/>
    <col width="13.28515625" customWidth="1" style="51" min="4620" max="4620"/>
    <col width="9.42578125" customWidth="1" style="51" min="4621" max="4621"/>
    <col width="11" customWidth="1" style="51" min="4622" max="4622"/>
    <col width="10.140625" customWidth="1" style="51" min="4623" max="4623"/>
    <col width="11.140625" customWidth="1" style="51" min="4624" max="4624"/>
    <col width="7" customWidth="1" style="51" min="4625" max="4625"/>
    <col width="10.85546875" customWidth="1" style="51" min="4626" max="4626"/>
    <col width="5.85546875" customWidth="1" style="51" min="4627" max="4627"/>
    <col width="10" customWidth="1" style="51" min="4628" max="4628"/>
    <col width="9.140625" customWidth="1" style="51" min="4629" max="4863"/>
    <col width="9.5703125" customWidth="1" style="51" min="4864" max="4864"/>
    <col width="30.7109375" customWidth="1" style="51" min="4865" max="4865"/>
    <col width="14.7109375" customWidth="1" style="51" min="4866" max="4866"/>
    <col width="8.28515625" customWidth="1" style="51" min="4867" max="4867"/>
    <col width="11.85546875" customWidth="1" style="51" min="4868" max="4868"/>
    <col width="8.28515625" customWidth="1" style="51" min="4869" max="4869"/>
    <col width="17.28515625" customWidth="1" style="51" min="4870" max="4870"/>
    <col width="6.140625" customWidth="1" style="51" min="4871" max="4871"/>
    <col width="15.140625" customWidth="1" style="51" min="4872" max="4872"/>
    <col width="9.140625" customWidth="1" style="51" min="4873" max="4873"/>
    <col width="15" customWidth="1" style="51" min="4874" max="4874"/>
    <col width="6.85546875" customWidth="1" style="51" min="4875" max="4875"/>
    <col width="13.28515625" customWidth="1" style="51" min="4876" max="4876"/>
    <col width="9.42578125" customWidth="1" style="51" min="4877" max="4877"/>
    <col width="11" customWidth="1" style="51" min="4878" max="4878"/>
    <col width="10.140625" customWidth="1" style="51" min="4879" max="4879"/>
    <col width="11.140625" customWidth="1" style="51" min="4880" max="4880"/>
    <col width="7" customWidth="1" style="51" min="4881" max="4881"/>
    <col width="10.85546875" customWidth="1" style="51" min="4882" max="4882"/>
    <col width="5.85546875" customWidth="1" style="51" min="4883" max="4883"/>
    <col width="10" customWidth="1" style="51" min="4884" max="4884"/>
    <col width="9.140625" customWidth="1" style="51" min="4885" max="5119"/>
    <col width="9.5703125" customWidth="1" style="51" min="5120" max="5120"/>
    <col width="30.7109375" customWidth="1" style="51" min="5121" max="5121"/>
    <col width="14.7109375" customWidth="1" style="51" min="5122" max="5122"/>
    <col width="8.28515625" customWidth="1" style="51" min="5123" max="5123"/>
    <col width="11.85546875" customWidth="1" style="51" min="5124" max="5124"/>
    <col width="8.28515625" customWidth="1" style="51" min="5125" max="5125"/>
    <col width="17.28515625" customWidth="1" style="51" min="5126" max="5126"/>
    <col width="6.140625" customWidth="1" style="51" min="5127" max="5127"/>
    <col width="15.140625" customWidth="1" style="51" min="5128" max="5128"/>
    <col width="9.140625" customWidth="1" style="51" min="5129" max="5129"/>
    <col width="15" customWidth="1" style="51" min="5130" max="5130"/>
    <col width="6.85546875" customWidth="1" style="51" min="5131" max="5131"/>
    <col width="13.28515625" customWidth="1" style="51" min="5132" max="5132"/>
    <col width="9.42578125" customWidth="1" style="51" min="5133" max="5133"/>
    <col width="11" customWidth="1" style="51" min="5134" max="5134"/>
    <col width="10.140625" customWidth="1" style="51" min="5135" max="5135"/>
    <col width="11.140625" customWidth="1" style="51" min="5136" max="5136"/>
    <col width="7" customWidth="1" style="51" min="5137" max="5137"/>
    <col width="10.85546875" customWidth="1" style="51" min="5138" max="5138"/>
    <col width="5.85546875" customWidth="1" style="51" min="5139" max="5139"/>
    <col width="10" customWidth="1" style="51" min="5140" max="5140"/>
    <col width="9.140625" customWidth="1" style="51" min="5141" max="5375"/>
    <col width="9.5703125" customWidth="1" style="51" min="5376" max="5376"/>
    <col width="30.7109375" customWidth="1" style="51" min="5377" max="5377"/>
    <col width="14.7109375" customWidth="1" style="51" min="5378" max="5378"/>
    <col width="8.28515625" customWidth="1" style="51" min="5379" max="5379"/>
    <col width="11.85546875" customWidth="1" style="51" min="5380" max="5380"/>
    <col width="8.28515625" customWidth="1" style="51" min="5381" max="5381"/>
    <col width="17.28515625" customWidth="1" style="51" min="5382" max="5382"/>
    <col width="6.140625" customWidth="1" style="51" min="5383" max="5383"/>
    <col width="15.140625" customWidth="1" style="51" min="5384" max="5384"/>
    <col width="9.140625" customWidth="1" style="51" min="5385" max="5385"/>
    <col width="15" customWidth="1" style="51" min="5386" max="5386"/>
    <col width="6.85546875" customWidth="1" style="51" min="5387" max="5387"/>
    <col width="13.28515625" customWidth="1" style="51" min="5388" max="5388"/>
    <col width="9.42578125" customWidth="1" style="51" min="5389" max="5389"/>
    <col width="11" customWidth="1" style="51" min="5390" max="5390"/>
    <col width="10.140625" customWidth="1" style="51" min="5391" max="5391"/>
    <col width="11.140625" customWidth="1" style="51" min="5392" max="5392"/>
    <col width="7" customWidth="1" style="51" min="5393" max="5393"/>
    <col width="10.85546875" customWidth="1" style="51" min="5394" max="5394"/>
    <col width="5.85546875" customWidth="1" style="51" min="5395" max="5395"/>
    <col width="10" customWidth="1" style="51" min="5396" max="5396"/>
    <col width="9.140625" customWidth="1" style="51" min="5397" max="5631"/>
    <col width="9.5703125" customWidth="1" style="51" min="5632" max="5632"/>
    <col width="30.7109375" customWidth="1" style="51" min="5633" max="5633"/>
    <col width="14.7109375" customWidth="1" style="51" min="5634" max="5634"/>
    <col width="8.28515625" customWidth="1" style="51" min="5635" max="5635"/>
    <col width="11.85546875" customWidth="1" style="51" min="5636" max="5636"/>
    <col width="8.28515625" customWidth="1" style="51" min="5637" max="5637"/>
    <col width="17.28515625" customWidth="1" style="51" min="5638" max="5638"/>
    <col width="6.140625" customWidth="1" style="51" min="5639" max="5639"/>
    <col width="15.140625" customWidth="1" style="51" min="5640" max="5640"/>
    <col width="9.140625" customWidth="1" style="51" min="5641" max="5641"/>
    <col width="15" customWidth="1" style="51" min="5642" max="5642"/>
    <col width="6.85546875" customWidth="1" style="51" min="5643" max="5643"/>
    <col width="13.28515625" customWidth="1" style="51" min="5644" max="5644"/>
    <col width="9.42578125" customWidth="1" style="51" min="5645" max="5645"/>
    <col width="11" customWidth="1" style="51" min="5646" max="5646"/>
    <col width="10.140625" customWidth="1" style="51" min="5647" max="5647"/>
    <col width="11.140625" customWidth="1" style="51" min="5648" max="5648"/>
    <col width="7" customWidth="1" style="51" min="5649" max="5649"/>
    <col width="10.85546875" customWidth="1" style="51" min="5650" max="5650"/>
    <col width="5.85546875" customWidth="1" style="51" min="5651" max="5651"/>
    <col width="10" customWidth="1" style="51" min="5652" max="5652"/>
    <col width="9.140625" customWidth="1" style="51" min="5653" max="5887"/>
    <col width="9.5703125" customWidth="1" style="51" min="5888" max="5888"/>
    <col width="30.7109375" customWidth="1" style="51" min="5889" max="5889"/>
    <col width="14.7109375" customWidth="1" style="51" min="5890" max="5890"/>
    <col width="8.28515625" customWidth="1" style="51" min="5891" max="5891"/>
    <col width="11.85546875" customWidth="1" style="51" min="5892" max="5892"/>
    <col width="8.28515625" customWidth="1" style="51" min="5893" max="5893"/>
    <col width="17.28515625" customWidth="1" style="51" min="5894" max="5894"/>
    <col width="6.140625" customWidth="1" style="51" min="5895" max="5895"/>
    <col width="15.140625" customWidth="1" style="51" min="5896" max="5896"/>
    <col width="9.140625" customWidth="1" style="51" min="5897" max="5897"/>
    <col width="15" customWidth="1" style="51" min="5898" max="5898"/>
    <col width="6.85546875" customWidth="1" style="51" min="5899" max="5899"/>
    <col width="13.28515625" customWidth="1" style="51" min="5900" max="5900"/>
    <col width="9.42578125" customWidth="1" style="51" min="5901" max="5901"/>
    <col width="11" customWidth="1" style="51" min="5902" max="5902"/>
    <col width="10.140625" customWidth="1" style="51" min="5903" max="5903"/>
    <col width="11.140625" customWidth="1" style="51" min="5904" max="5904"/>
    <col width="7" customWidth="1" style="51" min="5905" max="5905"/>
    <col width="10.85546875" customWidth="1" style="51" min="5906" max="5906"/>
    <col width="5.85546875" customWidth="1" style="51" min="5907" max="5907"/>
    <col width="10" customWidth="1" style="51" min="5908" max="5908"/>
    <col width="9.140625" customWidth="1" style="51" min="5909" max="6143"/>
    <col width="9.5703125" customWidth="1" style="51" min="6144" max="6144"/>
    <col width="30.7109375" customWidth="1" style="51" min="6145" max="6145"/>
    <col width="14.7109375" customWidth="1" style="51" min="6146" max="6146"/>
    <col width="8.28515625" customWidth="1" style="51" min="6147" max="6147"/>
    <col width="11.85546875" customWidth="1" style="51" min="6148" max="6148"/>
    <col width="8.28515625" customWidth="1" style="51" min="6149" max="6149"/>
    <col width="17.28515625" customWidth="1" style="51" min="6150" max="6150"/>
    <col width="6.140625" customWidth="1" style="51" min="6151" max="6151"/>
    <col width="15.140625" customWidth="1" style="51" min="6152" max="6152"/>
    <col width="9.140625" customWidth="1" style="51" min="6153" max="6153"/>
    <col width="15" customWidth="1" style="51" min="6154" max="6154"/>
    <col width="6.85546875" customWidth="1" style="51" min="6155" max="6155"/>
    <col width="13.28515625" customWidth="1" style="51" min="6156" max="6156"/>
    <col width="9.42578125" customWidth="1" style="51" min="6157" max="6157"/>
    <col width="11" customWidth="1" style="51" min="6158" max="6158"/>
    <col width="10.140625" customWidth="1" style="51" min="6159" max="6159"/>
    <col width="11.140625" customWidth="1" style="51" min="6160" max="6160"/>
    <col width="7" customWidth="1" style="51" min="6161" max="6161"/>
    <col width="10.85546875" customWidth="1" style="51" min="6162" max="6162"/>
    <col width="5.85546875" customWidth="1" style="51" min="6163" max="6163"/>
    <col width="10" customWidth="1" style="51" min="6164" max="6164"/>
    <col width="9.140625" customWidth="1" style="51" min="6165" max="6399"/>
    <col width="9.5703125" customWidth="1" style="51" min="6400" max="6400"/>
    <col width="30.7109375" customWidth="1" style="51" min="6401" max="6401"/>
    <col width="14.7109375" customWidth="1" style="51" min="6402" max="6402"/>
    <col width="8.28515625" customWidth="1" style="51" min="6403" max="6403"/>
    <col width="11.85546875" customWidth="1" style="51" min="6404" max="6404"/>
    <col width="8.28515625" customWidth="1" style="51" min="6405" max="6405"/>
    <col width="17.28515625" customWidth="1" style="51" min="6406" max="6406"/>
    <col width="6.140625" customWidth="1" style="51" min="6407" max="6407"/>
    <col width="15.140625" customWidth="1" style="51" min="6408" max="6408"/>
    <col width="9.140625" customWidth="1" style="51" min="6409" max="6409"/>
    <col width="15" customWidth="1" style="51" min="6410" max="6410"/>
    <col width="6.85546875" customWidth="1" style="51" min="6411" max="6411"/>
    <col width="13.28515625" customWidth="1" style="51" min="6412" max="6412"/>
    <col width="9.42578125" customWidth="1" style="51" min="6413" max="6413"/>
    <col width="11" customWidth="1" style="51" min="6414" max="6414"/>
    <col width="10.140625" customWidth="1" style="51" min="6415" max="6415"/>
    <col width="11.140625" customWidth="1" style="51" min="6416" max="6416"/>
    <col width="7" customWidth="1" style="51" min="6417" max="6417"/>
    <col width="10.85546875" customWidth="1" style="51" min="6418" max="6418"/>
    <col width="5.85546875" customWidth="1" style="51" min="6419" max="6419"/>
    <col width="10" customWidth="1" style="51" min="6420" max="6420"/>
    <col width="9.140625" customWidth="1" style="51" min="6421" max="6655"/>
    <col width="9.5703125" customWidth="1" style="51" min="6656" max="6656"/>
    <col width="30.7109375" customWidth="1" style="51" min="6657" max="6657"/>
    <col width="14.7109375" customWidth="1" style="51" min="6658" max="6658"/>
    <col width="8.28515625" customWidth="1" style="51" min="6659" max="6659"/>
    <col width="11.85546875" customWidth="1" style="51" min="6660" max="6660"/>
    <col width="8.28515625" customWidth="1" style="51" min="6661" max="6661"/>
    <col width="17.28515625" customWidth="1" style="51" min="6662" max="6662"/>
    <col width="6.140625" customWidth="1" style="51" min="6663" max="6663"/>
    <col width="15.140625" customWidth="1" style="51" min="6664" max="6664"/>
    <col width="9.140625" customWidth="1" style="51" min="6665" max="6665"/>
    <col width="15" customWidth="1" style="51" min="6666" max="6666"/>
    <col width="6.85546875" customWidth="1" style="51" min="6667" max="6667"/>
    <col width="13.28515625" customWidth="1" style="51" min="6668" max="6668"/>
    <col width="9.42578125" customWidth="1" style="51" min="6669" max="6669"/>
    <col width="11" customWidth="1" style="51" min="6670" max="6670"/>
    <col width="10.140625" customWidth="1" style="51" min="6671" max="6671"/>
    <col width="11.140625" customWidth="1" style="51" min="6672" max="6672"/>
    <col width="7" customWidth="1" style="51" min="6673" max="6673"/>
    <col width="10.85546875" customWidth="1" style="51" min="6674" max="6674"/>
    <col width="5.85546875" customWidth="1" style="51" min="6675" max="6675"/>
    <col width="10" customWidth="1" style="51" min="6676" max="6676"/>
    <col width="9.140625" customWidth="1" style="51" min="6677" max="6911"/>
    <col width="9.5703125" customWidth="1" style="51" min="6912" max="6912"/>
    <col width="30.7109375" customWidth="1" style="51" min="6913" max="6913"/>
    <col width="14.7109375" customWidth="1" style="51" min="6914" max="6914"/>
    <col width="8.28515625" customWidth="1" style="51" min="6915" max="6915"/>
    <col width="11.85546875" customWidth="1" style="51" min="6916" max="6916"/>
    <col width="8.28515625" customWidth="1" style="51" min="6917" max="6917"/>
    <col width="17.28515625" customWidth="1" style="51" min="6918" max="6918"/>
    <col width="6.140625" customWidth="1" style="51" min="6919" max="6919"/>
    <col width="15.140625" customWidth="1" style="51" min="6920" max="6920"/>
    <col width="9.140625" customWidth="1" style="51" min="6921" max="6921"/>
    <col width="15" customWidth="1" style="51" min="6922" max="6922"/>
    <col width="6.85546875" customWidth="1" style="51" min="6923" max="6923"/>
    <col width="13.28515625" customWidth="1" style="51" min="6924" max="6924"/>
    <col width="9.42578125" customWidth="1" style="51" min="6925" max="6925"/>
    <col width="11" customWidth="1" style="51" min="6926" max="6926"/>
    <col width="10.140625" customWidth="1" style="51" min="6927" max="6927"/>
    <col width="11.140625" customWidth="1" style="51" min="6928" max="6928"/>
    <col width="7" customWidth="1" style="51" min="6929" max="6929"/>
    <col width="10.85546875" customWidth="1" style="51" min="6930" max="6930"/>
    <col width="5.85546875" customWidth="1" style="51" min="6931" max="6931"/>
    <col width="10" customWidth="1" style="51" min="6932" max="6932"/>
    <col width="9.140625" customWidth="1" style="51" min="6933" max="7167"/>
    <col width="9.5703125" customWidth="1" style="51" min="7168" max="7168"/>
    <col width="30.7109375" customWidth="1" style="51" min="7169" max="7169"/>
    <col width="14.7109375" customWidth="1" style="51" min="7170" max="7170"/>
    <col width="8.28515625" customWidth="1" style="51" min="7171" max="7171"/>
    <col width="11.85546875" customWidth="1" style="51" min="7172" max="7172"/>
    <col width="8.28515625" customWidth="1" style="51" min="7173" max="7173"/>
    <col width="17.28515625" customWidth="1" style="51" min="7174" max="7174"/>
    <col width="6.140625" customWidth="1" style="51" min="7175" max="7175"/>
    <col width="15.140625" customWidth="1" style="51" min="7176" max="7176"/>
    <col width="9.140625" customWidth="1" style="51" min="7177" max="7177"/>
    <col width="15" customWidth="1" style="51" min="7178" max="7178"/>
    <col width="6.85546875" customWidth="1" style="51" min="7179" max="7179"/>
    <col width="13.28515625" customWidth="1" style="51" min="7180" max="7180"/>
    <col width="9.42578125" customWidth="1" style="51" min="7181" max="7181"/>
    <col width="11" customWidth="1" style="51" min="7182" max="7182"/>
    <col width="10.140625" customWidth="1" style="51" min="7183" max="7183"/>
    <col width="11.140625" customWidth="1" style="51" min="7184" max="7184"/>
    <col width="7" customWidth="1" style="51" min="7185" max="7185"/>
    <col width="10.85546875" customWidth="1" style="51" min="7186" max="7186"/>
    <col width="5.85546875" customWidth="1" style="51" min="7187" max="7187"/>
    <col width="10" customWidth="1" style="51" min="7188" max="7188"/>
    <col width="9.140625" customWidth="1" style="51" min="7189" max="7423"/>
    <col width="9.5703125" customWidth="1" style="51" min="7424" max="7424"/>
    <col width="30.7109375" customWidth="1" style="51" min="7425" max="7425"/>
    <col width="14.7109375" customWidth="1" style="51" min="7426" max="7426"/>
    <col width="8.28515625" customWidth="1" style="51" min="7427" max="7427"/>
    <col width="11.85546875" customWidth="1" style="51" min="7428" max="7428"/>
    <col width="8.28515625" customWidth="1" style="51" min="7429" max="7429"/>
    <col width="17.28515625" customWidth="1" style="51" min="7430" max="7430"/>
    <col width="6.140625" customWidth="1" style="51" min="7431" max="7431"/>
    <col width="15.140625" customWidth="1" style="51" min="7432" max="7432"/>
    <col width="9.140625" customWidth="1" style="51" min="7433" max="7433"/>
    <col width="15" customWidth="1" style="51" min="7434" max="7434"/>
    <col width="6.85546875" customWidth="1" style="51" min="7435" max="7435"/>
    <col width="13.28515625" customWidth="1" style="51" min="7436" max="7436"/>
    <col width="9.42578125" customWidth="1" style="51" min="7437" max="7437"/>
    <col width="11" customWidth="1" style="51" min="7438" max="7438"/>
    <col width="10.140625" customWidth="1" style="51" min="7439" max="7439"/>
    <col width="11.140625" customWidth="1" style="51" min="7440" max="7440"/>
    <col width="7" customWidth="1" style="51" min="7441" max="7441"/>
    <col width="10.85546875" customWidth="1" style="51" min="7442" max="7442"/>
    <col width="5.85546875" customWidth="1" style="51" min="7443" max="7443"/>
    <col width="10" customWidth="1" style="51" min="7444" max="7444"/>
    <col width="9.140625" customWidth="1" style="51" min="7445" max="7679"/>
    <col width="9.5703125" customWidth="1" style="51" min="7680" max="7680"/>
    <col width="30.7109375" customWidth="1" style="51" min="7681" max="7681"/>
    <col width="14.7109375" customWidth="1" style="51" min="7682" max="7682"/>
    <col width="8.28515625" customWidth="1" style="51" min="7683" max="7683"/>
    <col width="11.85546875" customWidth="1" style="51" min="7684" max="7684"/>
    <col width="8.28515625" customWidth="1" style="51" min="7685" max="7685"/>
    <col width="17.28515625" customWidth="1" style="51" min="7686" max="7686"/>
    <col width="6.140625" customWidth="1" style="51" min="7687" max="7687"/>
    <col width="15.140625" customWidth="1" style="51" min="7688" max="7688"/>
    <col width="9.140625" customWidth="1" style="51" min="7689" max="7689"/>
    <col width="15" customWidth="1" style="51" min="7690" max="7690"/>
    <col width="6.85546875" customWidth="1" style="51" min="7691" max="7691"/>
    <col width="13.28515625" customWidth="1" style="51" min="7692" max="7692"/>
    <col width="9.42578125" customWidth="1" style="51" min="7693" max="7693"/>
    <col width="11" customWidth="1" style="51" min="7694" max="7694"/>
    <col width="10.140625" customWidth="1" style="51" min="7695" max="7695"/>
    <col width="11.140625" customWidth="1" style="51" min="7696" max="7696"/>
    <col width="7" customWidth="1" style="51" min="7697" max="7697"/>
    <col width="10.85546875" customWidth="1" style="51" min="7698" max="7698"/>
    <col width="5.85546875" customWidth="1" style="51" min="7699" max="7699"/>
    <col width="10" customWidth="1" style="51" min="7700" max="7700"/>
    <col width="9.140625" customWidth="1" style="51" min="7701" max="7935"/>
    <col width="9.5703125" customWidth="1" style="51" min="7936" max="7936"/>
    <col width="30.7109375" customWidth="1" style="51" min="7937" max="7937"/>
    <col width="14.7109375" customWidth="1" style="51" min="7938" max="7938"/>
    <col width="8.28515625" customWidth="1" style="51" min="7939" max="7939"/>
    <col width="11.85546875" customWidth="1" style="51" min="7940" max="7940"/>
    <col width="8.28515625" customWidth="1" style="51" min="7941" max="7941"/>
    <col width="17.28515625" customWidth="1" style="51" min="7942" max="7942"/>
    <col width="6.140625" customWidth="1" style="51" min="7943" max="7943"/>
    <col width="15.140625" customWidth="1" style="51" min="7944" max="7944"/>
    <col width="9.140625" customWidth="1" style="51" min="7945" max="7945"/>
    <col width="15" customWidth="1" style="51" min="7946" max="7946"/>
    <col width="6.85546875" customWidth="1" style="51" min="7947" max="7947"/>
    <col width="13.28515625" customWidth="1" style="51" min="7948" max="7948"/>
    <col width="9.42578125" customWidth="1" style="51" min="7949" max="7949"/>
    <col width="11" customWidth="1" style="51" min="7950" max="7950"/>
    <col width="10.140625" customWidth="1" style="51" min="7951" max="7951"/>
    <col width="11.140625" customWidth="1" style="51" min="7952" max="7952"/>
    <col width="7" customWidth="1" style="51" min="7953" max="7953"/>
    <col width="10.85546875" customWidth="1" style="51" min="7954" max="7954"/>
    <col width="5.85546875" customWidth="1" style="51" min="7955" max="7955"/>
    <col width="10" customWidth="1" style="51" min="7956" max="7956"/>
    <col width="9.140625" customWidth="1" style="51" min="7957" max="8191"/>
    <col width="9.5703125" customWidth="1" style="51" min="8192" max="8192"/>
    <col width="30.7109375" customWidth="1" style="51" min="8193" max="8193"/>
    <col width="14.7109375" customWidth="1" style="51" min="8194" max="8194"/>
    <col width="8.28515625" customWidth="1" style="51" min="8195" max="8195"/>
    <col width="11.85546875" customWidth="1" style="51" min="8196" max="8196"/>
    <col width="8.28515625" customWidth="1" style="51" min="8197" max="8197"/>
    <col width="17.28515625" customWidth="1" style="51" min="8198" max="8198"/>
    <col width="6.140625" customWidth="1" style="51" min="8199" max="8199"/>
    <col width="15.140625" customWidth="1" style="51" min="8200" max="8200"/>
    <col width="9.140625" customWidth="1" style="51" min="8201" max="8201"/>
    <col width="15" customWidth="1" style="51" min="8202" max="8202"/>
    <col width="6.85546875" customWidth="1" style="51" min="8203" max="8203"/>
    <col width="13.28515625" customWidth="1" style="51" min="8204" max="8204"/>
    <col width="9.42578125" customWidth="1" style="51" min="8205" max="8205"/>
    <col width="11" customWidth="1" style="51" min="8206" max="8206"/>
    <col width="10.140625" customWidth="1" style="51" min="8207" max="8207"/>
    <col width="11.140625" customWidth="1" style="51" min="8208" max="8208"/>
    <col width="7" customWidth="1" style="51" min="8209" max="8209"/>
    <col width="10.85546875" customWidth="1" style="51" min="8210" max="8210"/>
    <col width="5.85546875" customWidth="1" style="51" min="8211" max="8211"/>
    <col width="10" customWidth="1" style="51" min="8212" max="8212"/>
    <col width="9.140625" customWidth="1" style="51" min="8213" max="8447"/>
    <col width="9.5703125" customWidth="1" style="51" min="8448" max="8448"/>
    <col width="30.7109375" customWidth="1" style="51" min="8449" max="8449"/>
    <col width="14.7109375" customWidth="1" style="51" min="8450" max="8450"/>
    <col width="8.28515625" customWidth="1" style="51" min="8451" max="8451"/>
    <col width="11.85546875" customWidth="1" style="51" min="8452" max="8452"/>
    <col width="8.28515625" customWidth="1" style="51" min="8453" max="8453"/>
    <col width="17.28515625" customWidth="1" style="51" min="8454" max="8454"/>
    <col width="6.140625" customWidth="1" style="51" min="8455" max="8455"/>
    <col width="15.140625" customWidth="1" style="51" min="8456" max="8456"/>
    <col width="9.140625" customWidth="1" style="51" min="8457" max="8457"/>
    <col width="15" customWidth="1" style="51" min="8458" max="8458"/>
    <col width="6.85546875" customWidth="1" style="51" min="8459" max="8459"/>
    <col width="13.28515625" customWidth="1" style="51" min="8460" max="8460"/>
    <col width="9.42578125" customWidth="1" style="51" min="8461" max="8461"/>
    <col width="11" customWidth="1" style="51" min="8462" max="8462"/>
    <col width="10.140625" customWidth="1" style="51" min="8463" max="8463"/>
    <col width="11.140625" customWidth="1" style="51" min="8464" max="8464"/>
    <col width="7" customWidth="1" style="51" min="8465" max="8465"/>
    <col width="10.85546875" customWidth="1" style="51" min="8466" max="8466"/>
    <col width="5.85546875" customWidth="1" style="51" min="8467" max="8467"/>
    <col width="10" customWidth="1" style="51" min="8468" max="8468"/>
    <col width="9.140625" customWidth="1" style="51" min="8469" max="8703"/>
    <col width="9.5703125" customWidth="1" style="51" min="8704" max="8704"/>
    <col width="30.7109375" customWidth="1" style="51" min="8705" max="8705"/>
    <col width="14.7109375" customWidth="1" style="51" min="8706" max="8706"/>
    <col width="8.28515625" customWidth="1" style="51" min="8707" max="8707"/>
    <col width="11.85546875" customWidth="1" style="51" min="8708" max="8708"/>
    <col width="8.28515625" customWidth="1" style="51" min="8709" max="8709"/>
    <col width="17.28515625" customWidth="1" style="51" min="8710" max="8710"/>
    <col width="6.140625" customWidth="1" style="51" min="8711" max="8711"/>
    <col width="15.140625" customWidth="1" style="51" min="8712" max="8712"/>
    <col width="9.140625" customWidth="1" style="51" min="8713" max="8713"/>
    <col width="15" customWidth="1" style="51" min="8714" max="8714"/>
    <col width="6.85546875" customWidth="1" style="51" min="8715" max="8715"/>
    <col width="13.28515625" customWidth="1" style="51" min="8716" max="8716"/>
    <col width="9.42578125" customWidth="1" style="51" min="8717" max="8717"/>
    <col width="11" customWidth="1" style="51" min="8718" max="8718"/>
    <col width="10.140625" customWidth="1" style="51" min="8719" max="8719"/>
    <col width="11.140625" customWidth="1" style="51" min="8720" max="8720"/>
    <col width="7" customWidth="1" style="51" min="8721" max="8721"/>
    <col width="10.85546875" customWidth="1" style="51" min="8722" max="8722"/>
    <col width="5.85546875" customWidth="1" style="51" min="8723" max="8723"/>
    <col width="10" customWidth="1" style="51" min="8724" max="8724"/>
    <col width="9.140625" customWidth="1" style="51" min="8725" max="8959"/>
    <col width="9.5703125" customWidth="1" style="51" min="8960" max="8960"/>
    <col width="30.7109375" customWidth="1" style="51" min="8961" max="8961"/>
    <col width="14.7109375" customWidth="1" style="51" min="8962" max="8962"/>
    <col width="8.28515625" customWidth="1" style="51" min="8963" max="8963"/>
    <col width="11.85546875" customWidth="1" style="51" min="8964" max="8964"/>
    <col width="8.28515625" customWidth="1" style="51" min="8965" max="8965"/>
    <col width="17.28515625" customWidth="1" style="51" min="8966" max="8966"/>
    <col width="6.140625" customWidth="1" style="51" min="8967" max="8967"/>
    <col width="15.140625" customWidth="1" style="51" min="8968" max="8968"/>
    <col width="9.140625" customWidth="1" style="51" min="8969" max="8969"/>
    <col width="15" customWidth="1" style="51" min="8970" max="8970"/>
    <col width="6.85546875" customWidth="1" style="51" min="8971" max="8971"/>
    <col width="13.28515625" customWidth="1" style="51" min="8972" max="8972"/>
    <col width="9.42578125" customWidth="1" style="51" min="8973" max="8973"/>
    <col width="11" customWidth="1" style="51" min="8974" max="8974"/>
    <col width="10.140625" customWidth="1" style="51" min="8975" max="8975"/>
    <col width="11.140625" customWidth="1" style="51" min="8976" max="8976"/>
    <col width="7" customWidth="1" style="51" min="8977" max="8977"/>
    <col width="10.85546875" customWidth="1" style="51" min="8978" max="8978"/>
    <col width="5.85546875" customWidth="1" style="51" min="8979" max="8979"/>
    <col width="10" customWidth="1" style="51" min="8980" max="8980"/>
    <col width="9.140625" customWidth="1" style="51" min="8981" max="9215"/>
    <col width="9.5703125" customWidth="1" style="51" min="9216" max="9216"/>
    <col width="30.7109375" customWidth="1" style="51" min="9217" max="9217"/>
    <col width="14.7109375" customWidth="1" style="51" min="9218" max="9218"/>
    <col width="8.28515625" customWidth="1" style="51" min="9219" max="9219"/>
    <col width="11.85546875" customWidth="1" style="51" min="9220" max="9220"/>
    <col width="8.28515625" customWidth="1" style="51" min="9221" max="9221"/>
    <col width="17.28515625" customWidth="1" style="51" min="9222" max="9222"/>
    <col width="6.140625" customWidth="1" style="51" min="9223" max="9223"/>
    <col width="15.140625" customWidth="1" style="51" min="9224" max="9224"/>
    <col width="9.140625" customWidth="1" style="51" min="9225" max="9225"/>
    <col width="15" customWidth="1" style="51" min="9226" max="9226"/>
    <col width="6.85546875" customWidth="1" style="51" min="9227" max="9227"/>
    <col width="13.28515625" customWidth="1" style="51" min="9228" max="9228"/>
    <col width="9.42578125" customWidth="1" style="51" min="9229" max="9229"/>
    <col width="11" customWidth="1" style="51" min="9230" max="9230"/>
    <col width="10.140625" customWidth="1" style="51" min="9231" max="9231"/>
    <col width="11.140625" customWidth="1" style="51" min="9232" max="9232"/>
    <col width="7" customWidth="1" style="51" min="9233" max="9233"/>
    <col width="10.85546875" customWidth="1" style="51" min="9234" max="9234"/>
    <col width="5.85546875" customWidth="1" style="51" min="9235" max="9235"/>
    <col width="10" customWidth="1" style="51" min="9236" max="9236"/>
    <col width="9.140625" customWidth="1" style="51" min="9237" max="9471"/>
    <col width="9.5703125" customWidth="1" style="51" min="9472" max="9472"/>
    <col width="30.7109375" customWidth="1" style="51" min="9473" max="9473"/>
    <col width="14.7109375" customWidth="1" style="51" min="9474" max="9474"/>
    <col width="8.28515625" customWidth="1" style="51" min="9475" max="9475"/>
    <col width="11.85546875" customWidth="1" style="51" min="9476" max="9476"/>
    <col width="8.28515625" customWidth="1" style="51" min="9477" max="9477"/>
    <col width="17.28515625" customWidth="1" style="51" min="9478" max="9478"/>
    <col width="6.140625" customWidth="1" style="51" min="9479" max="9479"/>
    <col width="15.140625" customWidth="1" style="51" min="9480" max="9480"/>
    <col width="9.140625" customWidth="1" style="51" min="9481" max="9481"/>
    <col width="15" customWidth="1" style="51" min="9482" max="9482"/>
    <col width="6.85546875" customWidth="1" style="51" min="9483" max="9483"/>
    <col width="13.28515625" customWidth="1" style="51" min="9484" max="9484"/>
    <col width="9.42578125" customWidth="1" style="51" min="9485" max="9485"/>
    <col width="11" customWidth="1" style="51" min="9486" max="9486"/>
    <col width="10.140625" customWidth="1" style="51" min="9487" max="9487"/>
    <col width="11.140625" customWidth="1" style="51" min="9488" max="9488"/>
    <col width="7" customWidth="1" style="51" min="9489" max="9489"/>
    <col width="10.85546875" customWidth="1" style="51" min="9490" max="9490"/>
    <col width="5.85546875" customWidth="1" style="51" min="9491" max="9491"/>
    <col width="10" customWidth="1" style="51" min="9492" max="9492"/>
    <col width="9.140625" customWidth="1" style="51" min="9493" max="9727"/>
    <col width="9.5703125" customWidth="1" style="51" min="9728" max="9728"/>
    <col width="30.7109375" customWidth="1" style="51" min="9729" max="9729"/>
    <col width="14.7109375" customWidth="1" style="51" min="9730" max="9730"/>
    <col width="8.28515625" customWidth="1" style="51" min="9731" max="9731"/>
    <col width="11.85546875" customWidth="1" style="51" min="9732" max="9732"/>
    <col width="8.28515625" customWidth="1" style="51" min="9733" max="9733"/>
    <col width="17.28515625" customWidth="1" style="51" min="9734" max="9734"/>
    <col width="6.140625" customWidth="1" style="51" min="9735" max="9735"/>
    <col width="15.140625" customWidth="1" style="51" min="9736" max="9736"/>
    <col width="9.140625" customWidth="1" style="51" min="9737" max="9737"/>
    <col width="15" customWidth="1" style="51" min="9738" max="9738"/>
    <col width="6.85546875" customWidth="1" style="51" min="9739" max="9739"/>
    <col width="13.28515625" customWidth="1" style="51" min="9740" max="9740"/>
    <col width="9.42578125" customWidth="1" style="51" min="9741" max="9741"/>
    <col width="11" customWidth="1" style="51" min="9742" max="9742"/>
    <col width="10.140625" customWidth="1" style="51" min="9743" max="9743"/>
    <col width="11.140625" customWidth="1" style="51" min="9744" max="9744"/>
    <col width="7" customWidth="1" style="51" min="9745" max="9745"/>
    <col width="10.85546875" customWidth="1" style="51" min="9746" max="9746"/>
    <col width="5.85546875" customWidth="1" style="51" min="9747" max="9747"/>
    <col width="10" customWidth="1" style="51" min="9748" max="9748"/>
    <col width="9.140625" customWidth="1" style="51" min="9749" max="9983"/>
    <col width="9.5703125" customWidth="1" style="51" min="9984" max="9984"/>
    <col width="30.7109375" customWidth="1" style="51" min="9985" max="9985"/>
    <col width="14.7109375" customWidth="1" style="51" min="9986" max="9986"/>
    <col width="8.28515625" customWidth="1" style="51" min="9987" max="9987"/>
    <col width="11.85546875" customWidth="1" style="51" min="9988" max="9988"/>
    <col width="8.28515625" customWidth="1" style="51" min="9989" max="9989"/>
    <col width="17.28515625" customWidth="1" style="51" min="9990" max="9990"/>
    <col width="6.140625" customWidth="1" style="51" min="9991" max="9991"/>
    <col width="15.140625" customWidth="1" style="51" min="9992" max="9992"/>
    <col width="9.140625" customWidth="1" style="51" min="9993" max="9993"/>
    <col width="15" customWidth="1" style="51" min="9994" max="9994"/>
    <col width="6.85546875" customWidth="1" style="51" min="9995" max="9995"/>
    <col width="13.28515625" customWidth="1" style="51" min="9996" max="9996"/>
    <col width="9.42578125" customWidth="1" style="51" min="9997" max="9997"/>
    <col width="11" customWidth="1" style="51" min="9998" max="9998"/>
    <col width="10.140625" customWidth="1" style="51" min="9999" max="9999"/>
    <col width="11.140625" customWidth="1" style="51" min="10000" max="10000"/>
    <col width="7" customWidth="1" style="51" min="10001" max="10001"/>
    <col width="10.85546875" customWidth="1" style="51" min="10002" max="10002"/>
    <col width="5.85546875" customWidth="1" style="51" min="10003" max="10003"/>
    <col width="10" customWidth="1" style="51" min="10004" max="10004"/>
    <col width="9.140625" customWidth="1" style="51" min="10005" max="10239"/>
    <col width="9.5703125" customWidth="1" style="51" min="10240" max="10240"/>
    <col width="30.7109375" customWidth="1" style="51" min="10241" max="10241"/>
    <col width="14.7109375" customWidth="1" style="51" min="10242" max="10242"/>
    <col width="8.28515625" customWidth="1" style="51" min="10243" max="10243"/>
    <col width="11.85546875" customWidth="1" style="51" min="10244" max="10244"/>
    <col width="8.28515625" customWidth="1" style="51" min="10245" max="10245"/>
    <col width="17.28515625" customWidth="1" style="51" min="10246" max="10246"/>
    <col width="6.140625" customWidth="1" style="51" min="10247" max="10247"/>
    <col width="15.140625" customWidth="1" style="51" min="10248" max="10248"/>
    <col width="9.140625" customWidth="1" style="51" min="10249" max="10249"/>
    <col width="15" customWidth="1" style="51" min="10250" max="10250"/>
    <col width="6.85546875" customWidth="1" style="51" min="10251" max="10251"/>
    <col width="13.28515625" customWidth="1" style="51" min="10252" max="10252"/>
    <col width="9.42578125" customWidth="1" style="51" min="10253" max="10253"/>
    <col width="11" customWidth="1" style="51" min="10254" max="10254"/>
    <col width="10.140625" customWidth="1" style="51" min="10255" max="10255"/>
    <col width="11.140625" customWidth="1" style="51" min="10256" max="10256"/>
    <col width="7" customWidth="1" style="51" min="10257" max="10257"/>
    <col width="10.85546875" customWidth="1" style="51" min="10258" max="10258"/>
    <col width="5.85546875" customWidth="1" style="51" min="10259" max="10259"/>
    <col width="10" customWidth="1" style="51" min="10260" max="10260"/>
    <col width="9.140625" customWidth="1" style="51" min="10261" max="10495"/>
    <col width="9.5703125" customWidth="1" style="51" min="10496" max="10496"/>
    <col width="30.7109375" customWidth="1" style="51" min="10497" max="10497"/>
    <col width="14.7109375" customWidth="1" style="51" min="10498" max="10498"/>
    <col width="8.28515625" customWidth="1" style="51" min="10499" max="10499"/>
    <col width="11.85546875" customWidth="1" style="51" min="10500" max="10500"/>
    <col width="8.28515625" customWidth="1" style="51" min="10501" max="10501"/>
    <col width="17.28515625" customWidth="1" style="51" min="10502" max="10502"/>
    <col width="6.140625" customWidth="1" style="51" min="10503" max="10503"/>
    <col width="15.140625" customWidth="1" style="51" min="10504" max="10504"/>
    <col width="9.140625" customWidth="1" style="51" min="10505" max="10505"/>
    <col width="15" customWidth="1" style="51" min="10506" max="10506"/>
    <col width="6.85546875" customWidth="1" style="51" min="10507" max="10507"/>
    <col width="13.28515625" customWidth="1" style="51" min="10508" max="10508"/>
    <col width="9.42578125" customWidth="1" style="51" min="10509" max="10509"/>
    <col width="11" customWidth="1" style="51" min="10510" max="10510"/>
    <col width="10.140625" customWidth="1" style="51" min="10511" max="10511"/>
    <col width="11.140625" customWidth="1" style="51" min="10512" max="10512"/>
    <col width="7" customWidth="1" style="51" min="10513" max="10513"/>
    <col width="10.85546875" customWidth="1" style="51" min="10514" max="10514"/>
    <col width="5.85546875" customWidth="1" style="51" min="10515" max="10515"/>
    <col width="10" customWidth="1" style="51" min="10516" max="10516"/>
    <col width="9.140625" customWidth="1" style="51" min="10517" max="10751"/>
    <col width="9.5703125" customWidth="1" style="51" min="10752" max="10752"/>
    <col width="30.7109375" customWidth="1" style="51" min="10753" max="10753"/>
    <col width="14.7109375" customWidth="1" style="51" min="10754" max="10754"/>
    <col width="8.28515625" customWidth="1" style="51" min="10755" max="10755"/>
    <col width="11.85546875" customWidth="1" style="51" min="10756" max="10756"/>
    <col width="8.28515625" customWidth="1" style="51" min="10757" max="10757"/>
    <col width="17.28515625" customWidth="1" style="51" min="10758" max="10758"/>
    <col width="6.140625" customWidth="1" style="51" min="10759" max="10759"/>
    <col width="15.140625" customWidth="1" style="51" min="10760" max="10760"/>
    <col width="9.140625" customWidth="1" style="51" min="10761" max="10761"/>
    <col width="15" customWidth="1" style="51" min="10762" max="10762"/>
    <col width="6.85546875" customWidth="1" style="51" min="10763" max="10763"/>
    <col width="13.28515625" customWidth="1" style="51" min="10764" max="10764"/>
    <col width="9.42578125" customWidth="1" style="51" min="10765" max="10765"/>
    <col width="11" customWidth="1" style="51" min="10766" max="10766"/>
    <col width="10.140625" customWidth="1" style="51" min="10767" max="10767"/>
    <col width="11.140625" customWidth="1" style="51" min="10768" max="10768"/>
    <col width="7" customWidth="1" style="51" min="10769" max="10769"/>
    <col width="10.85546875" customWidth="1" style="51" min="10770" max="10770"/>
    <col width="5.85546875" customWidth="1" style="51" min="10771" max="10771"/>
    <col width="10" customWidth="1" style="51" min="10772" max="10772"/>
    <col width="9.140625" customWidth="1" style="51" min="10773" max="11007"/>
    <col width="9.5703125" customWidth="1" style="51" min="11008" max="11008"/>
    <col width="30.7109375" customWidth="1" style="51" min="11009" max="11009"/>
    <col width="14.7109375" customWidth="1" style="51" min="11010" max="11010"/>
    <col width="8.28515625" customWidth="1" style="51" min="11011" max="11011"/>
    <col width="11.85546875" customWidth="1" style="51" min="11012" max="11012"/>
    <col width="8.28515625" customWidth="1" style="51" min="11013" max="11013"/>
    <col width="17.28515625" customWidth="1" style="51" min="11014" max="11014"/>
    <col width="6.140625" customWidth="1" style="51" min="11015" max="11015"/>
    <col width="15.140625" customWidth="1" style="51" min="11016" max="11016"/>
    <col width="9.140625" customWidth="1" style="51" min="11017" max="11017"/>
    <col width="15" customWidth="1" style="51" min="11018" max="11018"/>
    <col width="6.85546875" customWidth="1" style="51" min="11019" max="11019"/>
    <col width="13.28515625" customWidth="1" style="51" min="11020" max="11020"/>
    <col width="9.42578125" customWidth="1" style="51" min="11021" max="11021"/>
    <col width="11" customWidth="1" style="51" min="11022" max="11022"/>
    <col width="10.140625" customWidth="1" style="51" min="11023" max="11023"/>
    <col width="11.140625" customWidth="1" style="51" min="11024" max="11024"/>
    <col width="7" customWidth="1" style="51" min="11025" max="11025"/>
    <col width="10.85546875" customWidth="1" style="51" min="11026" max="11026"/>
    <col width="5.85546875" customWidth="1" style="51" min="11027" max="11027"/>
    <col width="10" customWidth="1" style="51" min="11028" max="11028"/>
    <col width="9.140625" customWidth="1" style="51" min="11029" max="11263"/>
    <col width="9.5703125" customWidth="1" style="51" min="11264" max="11264"/>
    <col width="30.7109375" customWidth="1" style="51" min="11265" max="11265"/>
    <col width="14.7109375" customWidth="1" style="51" min="11266" max="11266"/>
    <col width="8.28515625" customWidth="1" style="51" min="11267" max="11267"/>
    <col width="11.85546875" customWidth="1" style="51" min="11268" max="11268"/>
    <col width="8.28515625" customWidth="1" style="51" min="11269" max="11269"/>
    <col width="17.28515625" customWidth="1" style="51" min="11270" max="11270"/>
    <col width="6.140625" customWidth="1" style="51" min="11271" max="11271"/>
    <col width="15.140625" customWidth="1" style="51" min="11272" max="11272"/>
    <col width="9.140625" customWidth="1" style="51" min="11273" max="11273"/>
    <col width="15" customWidth="1" style="51" min="11274" max="11274"/>
    <col width="6.85546875" customWidth="1" style="51" min="11275" max="11275"/>
    <col width="13.28515625" customWidth="1" style="51" min="11276" max="11276"/>
    <col width="9.42578125" customWidth="1" style="51" min="11277" max="11277"/>
    <col width="11" customWidth="1" style="51" min="11278" max="11278"/>
    <col width="10.140625" customWidth="1" style="51" min="11279" max="11279"/>
    <col width="11.140625" customWidth="1" style="51" min="11280" max="11280"/>
    <col width="7" customWidth="1" style="51" min="11281" max="11281"/>
    <col width="10.85546875" customWidth="1" style="51" min="11282" max="11282"/>
    <col width="5.85546875" customWidth="1" style="51" min="11283" max="11283"/>
    <col width="10" customWidth="1" style="51" min="11284" max="11284"/>
    <col width="9.140625" customWidth="1" style="51" min="11285" max="11519"/>
    <col width="9.5703125" customWidth="1" style="51" min="11520" max="11520"/>
    <col width="30.7109375" customWidth="1" style="51" min="11521" max="11521"/>
    <col width="14.7109375" customWidth="1" style="51" min="11522" max="11522"/>
    <col width="8.28515625" customWidth="1" style="51" min="11523" max="11523"/>
    <col width="11.85546875" customWidth="1" style="51" min="11524" max="11524"/>
    <col width="8.28515625" customWidth="1" style="51" min="11525" max="11525"/>
    <col width="17.28515625" customWidth="1" style="51" min="11526" max="11526"/>
    <col width="6.140625" customWidth="1" style="51" min="11527" max="11527"/>
    <col width="15.140625" customWidth="1" style="51" min="11528" max="11528"/>
    <col width="9.140625" customWidth="1" style="51" min="11529" max="11529"/>
    <col width="15" customWidth="1" style="51" min="11530" max="11530"/>
    <col width="6.85546875" customWidth="1" style="51" min="11531" max="11531"/>
    <col width="13.28515625" customWidth="1" style="51" min="11532" max="11532"/>
    <col width="9.42578125" customWidth="1" style="51" min="11533" max="11533"/>
    <col width="11" customWidth="1" style="51" min="11534" max="11534"/>
    <col width="10.140625" customWidth="1" style="51" min="11535" max="11535"/>
    <col width="11.140625" customWidth="1" style="51" min="11536" max="11536"/>
    <col width="7" customWidth="1" style="51" min="11537" max="11537"/>
    <col width="10.85546875" customWidth="1" style="51" min="11538" max="11538"/>
    <col width="5.85546875" customWidth="1" style="51" min="11539" max="11539"/>
    <col width="10" customWidth="1" style="51" min="11540" max="11540"/>
    <col width="9.140625" customWidth="1" style="51" min="11541" max="11775"/>
    <col width="9.5703125" customWidth="1" style="51" min="11776" max="11776"/>
    <col width="30.7109375" customWidth="1" style="51" min="11777" max="11777"/>
    <col width="14.7109375" customWidth="1" style="51" min="11778" max="11778"/>
    <col width="8.28515625" customWidth="1" style="51" min="11779" max="11779"/>
    <col width="11.85546875" customWidth="1" style="51" min="11780" max="11780"/>
    <col width="8.28515625" customWidth="1" style="51" min="11781" max="11781"/>
    <col width="17.28515625" customWidth="1" style="51" min="11782" max="11782"/>
    <col width="6.140625" customWidth="1" style="51" min="11783" max="11783"/>
    <col width="15.140625" customWidth="1" style="51" min="11784" max="11784"/>
    <col width="9.140625" customWidth="1" style="51" min="11785" max="11785"/>
    <col width="15" customWidth="1" style="51" min="11786" max="11786"/>
    <col width="6.85546875" customWidth="1" style="51" min="11787" max="11787"/>
    <col width="13.28515625" customWidth="1" style="51" min="11788" max="11788"/>
    <col width="9.42578125" customWidth="1" style="51" min="11789" max="11789"/>
    <col width="11" customWidth="1" style="51" min="11790" max="11790"/>
    <col width="10.140625" customWidth="1" style="51" min="11791" max="11791"/>
    <col width="11.140625" customWidth="1" style="51" min="11792" max="11792"/>
    <col width="7" customWidth="1" style="51" min="11793" max="11793"/>
    <col width="10.85546875" customWidth="1" style="51" min="11794" max="11794"/>
    <col width="5.85546875" customWidth="1" style="51" min="11795" max="11795"/>
    <col width="10" customWidth="1" style="51" min="11796" max="11796"/>
    <col width="9.140625" customWidth="1" style="51" min="11797" max="12031"/>
    <col width="9.5703125" customWidth="1" style="51" min="12032" max="12032"/>
    <col width="30.7109375" customWidth="1" style="51" min="12033" max="12033"/>
    <col width="14.7109375" customWidth="1" style="51" min="12034" max="12034"/>
    <col width="8.28515625" customWidth="1" style="51" min="12035" max="12035"/>
    <col width="11.85546875" customWidth="1" style="51" min="12036" max="12036"/>
    <col width="8.28515625" customWidth="1" style="51" min="12037" max="12037"/>
    <col width="17.28515625" customWidth="1" style="51" min="12038" max="12038"/>
    <col width="6.140625" customWidth="1" style="51" min="12039" max="12039"/>
    <col width="15.140625" customWidth="1" style="51" min="12040" max="12040"/>
    <col width="9.140625" customWidth="1" style="51" min="12041" max="12041"/>
    <col width="15" customWidth="1" style="51" min="12042" max="12042"/>
    <col width="6.85546875" customWidth="1" style="51" min="12043" max="12043"/>
    <col width="13.28515625" customWidth="1" style="51" min="12044" max="12044"/>
    <col width="9.42578125" customWidth="1" style="51" min="12045" max="12045"/>
    <col width="11" customWidth="1" style="51" min="12046" max="12046"/>
    <col width="10.140625" customWidth="1" style="51" min="12047" max="12047"/>
    <col width="11.140625" customWidth="1" style="51" min="12048" max="12048"/>
    <col width="7" customWidth="1" style="51" min="12049" max="12049"/>
    <col width="10.85546875" customWidth="1" style="51" min="12050" max="12050"/>
    <col width="5.85546875" customWidth="1" style="51" min="12051" max="12051"/>
    <col width="10" customWidth="1" style="51" min="12052" max="12052"/>
    <col width="9.140625" customWidth="1" style="51" min="12053" max="12287"/>
    <col width="9.5703125" customWidth="1" style="51" min="12288" max="12288"/>
    <col width="30.7109375" customWidth="1" style="51" min="12289" max="12289"/>
    <col width="14.7109375" customWidth="1" style="51" min="12290" max="12290"/>
    <col width="8.28515625" customWidth="1" style="51" min="12291" max="12291"/>
    <col width="11.85546875" customWidth="1" style="51" min="12292" max="12292"/>
    <col width="8.28515625" customWidth="1" style="51" min="12293" max="12293"/>
    <col width="17.28515625" customWidth="1" style="51" min="12294" max="12294"/>
    <col width="6.140625" customWidth="1" style="51" min="12295" max="12295"/>
    <col width="15.140625" customWidth="1" style="51" min="12296" max="12296"/>
    <col width="9.140625" customWidth="1" style="51" min="12297" max="12297"/>
    <col width="15" customWidth="1" style="51" min="12298" max="12298"/>
    <col width="6.85546875" customWidth="1" style="51" min="12299" max="12299"/>
    <col width="13.28515625" customWidth="1" style="51" min="12300" max="12300"/>
    <col width="9.42578125" customWidth="1" style="51" min="12301" max="12301"/>
    <col width="11" customWidth="1" style="51" min="12302" max="12302"/>
    <col width="10.140625" customWidth="1" style="51" min="12303" max="12303"/>
    <col width="11.140625" customWidth="1" style="51" min="12304" max="12304"/>
    <col width="7" customWidth="1" style="51" min="12305" max="12305"/>
    <col width="10.85546875" customWidth="1" style="51" min="12306" max="12306"/>
    <col width="5.85546875" customWidth="1" style="51" min="12307" max="12307"/>
    <col width="10" customWidth="1" style="51" min="12308" max="12308"/>
    <col width="9.140625" customWidth="1" style="51" min="12309" max="12543"/>
    <col width="9.5703125" customWidth="1" style="51" min="12544" max="12544"/>
    <col width="30.7109375" customWidth="1" style="51" min="12545" max="12545"/>
    <col width="14.7109375" customWidth="1" style="51" min="12546" max="12546"/>
    <col width="8.28515625" customWidth="1" style="51" min="12547" max="12547"/>
    <col width="11.85546875" customWidth="1" style="51" min="12548" max="12548"/>
    <col width="8.28515625" customWidth="1" style="51" min="12549" max="12549"/>
    <col width="17.28515625" customWidth="1" style="51" min="12550" max="12550"/>
    <col width="6.140625" customWidth="1" style="51" min="12551" max="12551"/>
    <col width="15.140625" customWidth="1" style="51" min="12552" max="12552"/>
    <col width="9.140625" customWidth="1" style="51" min="12553" max="12553"/>
    <col width="15" customWidth="1" style="51" min="12554" max="12554"/>
    <col width="6.85546875" customWidth="1" style="51" min="12555" max="12555"/>
    <col width="13.28515625" customWidth="1" style="51" min="12556" max="12556"/>
    <col width="9.42578125" customWidth="1" style="51" min="12557" max="12557"/>
    <col width="11" customWidth="1" style="51" min="12558" max="12558"/>
    <col width="10.140625" customWidth="1" style="51" min="12559" max="12559"/>
    <col width="11.140625" customWidth="1" style="51" min="12560" max="12560"/>
    <col width="7" customWidth="1" style="51" min="12561" max="12561"/>
    <col width="10.85546875" customWidth="1" style="51" min="12562" max="12562"/>
    <col width="5.85546875" customWidth="1" style="51" min="12563" max="12563"/>
    <col width="10" customWidth="1" style="51" min="12564" max="12564"/>
    <col width="9.140625" customWidth="1" style="51" min="12565" max="12799"/>
    <col width="9.5703125" customWidth="1" style="51" min="12800" max="12800"/>
    <col width="30.7109375" customWidth="1" style="51" min="12801" max="12801"/>
    <col width="14.7109375" customWidth="1" style="51" min="12802" max="12802"/>
    <col width="8.28515625" customWidth="1" style="51" min="12803" max="12803"/>
    <col width="11.85546875" customWidth="1" style="51" min="12804" max="12804"/>
    <col width="8.28515625" customWidth="1" style="51" min="12805" max="12805"/>
    <col width="17.28515625" customWidth="1" style="51" min="12806" max="12806"/>
    <col width="6.140625" customWidth="1" style="51" min="12807" max="12807"/>
    <col width="15.140625" customWidth="1" style="51" min="12808" max="12808"/>
    <col width="9.140625" customWidth="1" style="51" min="12809" max="12809"/>
    <col width="15" customWidth="1" style="51" min="12810" max="12810"/>
    <col width="6.85546875" customWidth="1" style="51" min="12811" max="12811"/>
    <col width="13.28515625" customWidth="1" style="51" min="12812" max="12812"/>
    <col width="9.42578125" customWidth="1" style="51" min="12813" max="12813"/>
    <col width="11" customWidth="1" style="51" min="12814" max="12814"/>
    <col width="10.140625" customWidth="1" style="51" min="12815" max="12815"/>
    <col width="11.140625" customWidth="1" style="51" min="12816" max="12816"/>
    <col width="7" customWidth="1" style="51" min="12817" max="12817"/>
    <col width="10.85546875" customWidth="1" style="51" min="12818" max="12818"/>
    <col width="5.85546875" customWidth="1" style="51" min="12819" max="12819"/>
    <col width="10" customWidth="1" style="51" min="12820" max="12820"/>
    <col width="9.140625" customWidth="1" style="51" min="12821" max="13055"/>
    <col width="9.5703125" customWidth="1" style="51" min="13056" max="13056"/>
    <col width="30.7109375" customWidth="1" style="51" min="13057" max="13057"/>
    <col width="14.7109375" customWidth="1" style="51" min="13058" max="13058"/>
    <col width="8.28515625" customWidth="1" style="51" min="13059" max="13059"/>
    <col width="11.85546875" customWidth="1" style="51" min="13060" max="13060"/>
    <col width="8.28515625" customWidth="1" style="51" min="13061" max="13061"/>
    <col width="17.28515625" customWidth="1" style="51" min="13062" max="13062"/>
    <col width="6.140625" customWidth="1" style="51" min="13063" max="13063"/>
    <col width="15.140625" customWidth="1" style="51" min="13064" max="13064"/>
    <col width="9.140625" customWidth="1" style="51" min="13065" max="13065"/>
    <col width="15" customWidth="1" style="51" min="13066" max="13066"/>
    <col width="6.85546875" customWidth="1" style="51" min="13067" max="13067"/>
    <col width="13.28515625" customWidth="1" style="51" min="13068" max="13068"/>
    <col width="9.42578125" customWidth="1" style="51" min="13069" max="13069"/>
    <col width="11" customWidth="1" style="51" min="13070" max="13070"/>
    <col width="10.140625" customWidth="1" style="51" min="13071" max="13071"/>
    <col width="11.140625" customWidth="1" style="51" min="13072" max="13072"/>
    <col width="7" customWidth="1" style="51" min="13073" max="13073"/>
    <col width="10.85546875" customWidth="1" style="51" min="13074" max="13074"/>
    <col width="5.85546875" customWidth="1" style="51" min="13075" max="13075"/>
    <col width="10" customWidth="1" style="51" min="13076" max="13076"/>
    <col width="9.140625" customWidth="1" style="51" min="13077" max="13311"/>
    <col width="9.5703125" customWidth="1" style="51" min="13312" max="13312"/>
    <col width="30.7109375" customWidth="1" style="51" min="13313" max="13313"/>
    <col width="14.7109375" customWidth="1" style="51" min="13314" max="13314"/>
    <col width="8.28515625" customWidth="1" style="51" min="13315" max="13315"/>
    <col width="11.85546875" customWidth="1" style="51" min="13316" max="13316"/>
    <col width="8.28515625" customWidth="1" style="51" min="13317" max="13317"/>
    <col width="17.28515625" customWidth="1" style="51" min="13318" max="13318"/>
    <col width="6.140625" customWidth="1" style="51" min="13319" max="13319"/>
    <col width="15.140625" customWidth="1" style="51" min="13320" max="13320"/>
    <col width="9.140625" customWidth="1" style="51" min="13321" max="13321"/>
    <col width="15" customWidth="1" style="51" min="13322" max="13322"/>
    <col width="6.85546875" customWidth="1" style="51" min="13323" max="13323"/>
    <col width="13.28515625" customWidth="1" style="51" min="13324" max="13324"/>
    <col width="9.42578125" customWidth="1" style="51" min="13325" max="13325"/>
    <col width="11" customWidth="1" style="51" min="13326" max="13326"/>
    <col width="10.140625" customWidth="1" style="51" min="13327" max="13327"/>
    <col width="11.140625" customWidth="1" style="51" min="13328" max="13328"/>
    <col width="7" customWidth="1" style="51" min="13329" max="13329"/>
    <col width="10.85546875" customWidth="1" style="51" min="13330" max="13330"/>
    <col width="5.85546875" customWidth="1" style="51" min="13331" max="13331"/>
    <col width="10" customWidth="1" style="51" min="13332" max="13332"/>
    <col width="9.140625" customWidth="1" style="51" min="13333" max="13567"/>
    <col width="9.5703125" customWidth="1" style="51" min="13568" max="13568"/>
    <col width="30.7109375" customWidth="1" style="51" min="13569" max="13569"/>
    <col width="14.7109375" customWidth="1" style="51" min="13570" max="13570"/>
    <col width="8.28515625" customWidth="1" style="51" min="13571" max="13571"/>
    <col width="11.85546875" customWidth="1" style="51" min="13572" max="13572"/>
    <col width="8.28515625" customWidth="1" style="51" min="13573" max="13573"/>
    <col width="17.28515625" customWidth="1" style="51" min="13574" max="13574"/>
    <col width="6.140625" customWidth="1" style="51" min="13575" max="13575"/>
    <col width="15.140625" customWidth="1" style="51" min="13576" max="13576"/>
    <col width="9.140625" customWidth="1" style="51" min="13577" max="13577"/>
    <col width="15" customWidth="1" style="51" min="13578" max="13578"/>
    <col width="6.85546875" customWidth="1" style="51" min="13579" max="13579"/>
    <col width="13.28515625" customWidth="1" style="51" min="13580" max="13580"/>
    <col width="9.42578125" customWidth="1" style="51" min="13581" max="13581"/>
    <col width="11" customWidth="1" style="51" min="13582" max="13582"/>
    <col width="10.140625" customWidth="1" style="51" min="13583" max="13583"/>
    <col width="11.140625" customWidth="1" style="51" min="13584" max="13584"/>
    <col width="7" customWidth="1" style="51" min="13585" max="13585"/>
    <col width="10.85546875" customWidth="1" style="51" min="13586" max="13586"/>
    <col width="5.85546875" customWidth="1" style="51" min="13587" max="13587"/>
    <col width="10" customWidth="1" style="51" min="13588" max="13588"/>
    <col width="9.140625" customWidth="1" style="51" min="13589" max="13823"/>
    <col width="9.5703125" customWidth="1" style="51" min="13824" max="13824"/>
    <col width="30.7109375" customWidth="1" style="51" min="13825" max="13825"/>
    <col width="14.7109375" customWidth="1" style="51" min="13826" max="13826"/>
    <col width="8.28515625" customWidth="1" style="51" min="13827" max="13827"/>
    <col width="11.85546875" customWidth="1" style="51" min="13828" max="13828"/>
    <col width="8.28515625" customWidth="1" style="51" min="13829" max="13829"/>
    <col width="17.28515625" customWidth="1" style="51" min="13830" max="13830"/>
    <col width="6.140625" customWidth="1" style="51" min="13831" max="13831"/>
    <col width="15.140625" customWidth="1" style="51" min="13832" max="13832"/>
    <col width="9.140625" customWidth="1" style="51" min="13833" max="13833"/>
    <col width="15" customWidth="1" style="51" min="13834" max="13834"/>
    <col width="6.85546875" customWidth="1" style="51" min="13835" max="13835"/>
    <col width="13.28515625" customWidth="1" style="51" min="13836" max="13836"/>
    <col width="9.42578125" customWidth="1" style="51" min="13837" max="13837"/>
    <col width="11" customWidth="1" style="51" min="13838" max="13838"/>
    <col width="10.140625" customWidth="1" style="51" min="13839" max="13839"/>
    <col width="11.140625" customWidth="1" style="51" min="13840" max="13840"/>
    <col width="7" customWidth="1" style="51" min="13841" max="13841"/>
    <col width="10.85546875" customWidth="1" style="51" min="13842" max="13842"/>
    <col width="5.85546875" customWidth="1" style="51" min="13843" max="13843"/>
    <col width="10" customWidth="1" style="51" min="13844" max="13844"/>
    <col width="9.140625" customWidth="1" style="51" min="13845" max="14079"/>
    <col width="9.5703125" customWidth="1" style="51" min="14080" max="14080"/>
    <col width="30.7109375" customWidth="1" style="51" min="14081" max="14081"/>
    <col width="14.7109375" customWidth="1" style="51" min="14082" max="14082"/>
    <col width="8.28515625" customWidth="1" style="51" min="14083" max="14083"/>
    <col width="11.85546875" customWidth="1" style="51" min="14084" max="14084"/>
    <col width="8.28515625" customWidth="1" style="51" min="14085" max="14085"/>
    <col width="17.28515625" customWidth="1" style="51" min="14086" max="14086"/>
    <col width="6.140625" customWidth="1" style="51" min="14087" max="14087"/>
    <col width="15.140625" customWidth="1" style="51" min="14088" max="14088"/>
    <col width="9.140625" customWidth="1" style="51" min="14089" max="14089"/>
    <col width="15" customWidth="1" style="51" min="14090" max="14090"/>
    <col width="6.85546875" customWidth="1" style="51" min="14091" max="14091"/>
    <col width="13.28515625" customWidth="1" style="51" min="14092" max="14092"/>
    <col width="9.42578125" customWidth="1" style="51" min="14093" max="14093"/>
    <col width="11" customWidth="1" style="51" min="14094" max="14094"/>
    <col width="10.140625" customWidth="1" style="51" min="14095" max="14095"/>
    <col width="11.140625" customWidth="1" style="51" min="14096" max="14096"/>
    <col width="7" customWidth="1" style="51" min="14097" max="14097"/>
    <col width="10.85546875" customWidth="1" style="51" min="14098" max="14098"/>
    <col width="5.85546875" customWidth="1" style="51" min="14099" max="14099"/>
    <col width="10" customWidth="1" style="51" min="14100" max="14100"/>
    <col width="9.140625" customWidth="1" style="51" min="14101" max="14335"/>
    <col width="9.5703125" customWidth="1" style="51" min="14336" max="14336"/>
    <col width="30.7109375" customWidth="1" style="51" min="14337" max="14337"/>
    <col width="14.7109375" customWidth="1" style="51" min="14338" max="14338"/>
    <col width="8.28515625" customWidth="1" style="51" min="14339" max="14339"/>
    <col width="11.85546875" customWidth="1" style="51" min="14340" max="14340"/>
    <col width="8.28515625" customWidth="1" style="51" min="14341" max="14341"/>
    <col width="17.28515625" customWidth="1" style="51" min="14342" max="14342"/>
    <col width="6.140625" customWidth="1" style="51" min="14343" max="14343"/>
    <col width="15.140625" customWidth="1" style="51" min="14344" max="14344"/>
    <col width="9.140625" customWidth="1" style="51" min="14345" max="14345"/>
    <col width="15" customWidth="1" style="51" min="14346" max="14346"/>
    <col width="6.85546875" customWidth="1" style="51" min="14347" max="14347"/>
    <col width="13.28515625" customWidth="1" style="51" min="14348" max="14348"/>
    <col width="9.42578125" customWidth="1" style="51" min="14349" max="14349"/>
    <col width="11" customWidth="1" style="51" min="14350" max="14350"/>
    <col width="10.140625" customWidth="1" style="51" min="14351" max="14351"/>
    <col width="11.140625" customWidth="1" style="51" min="14352" max="14352"/>
    <col width="7" customWidth="1" style="51" min="14353" max="14353"/>
    <col width="10.85546875" customWidth="1" style="51" min="14354" max="14354"/>
    <col width="5.85546875" customWidth="1" style="51" min="14355" max="14355"/>
    <col width="10" customWidth="1" style="51" min="14356" max="14356"/>
    <col width="9.140625" customWidth="1" style="51" min="14357" max="14591"/>
    <col width="9.5703125" customWidth="1" style="51" min="14592" max="14592"/>
    <col width="30.7109375" customWidth="1" style="51" min="14593" max="14593"/>
    <col width="14.7109375" customWidth="1" style="51" min="14594" max="14594"/>
    <col width="8.28515625" customWidth="1" style="51" min="14595" max="14595"/>
    <col width="11.85546875" customWidth="1" style="51" min="14596" max="14596"/>
    <col width="8.28515625" customWidth="1" style="51" min="14597" max="14597"/>
    <col width="17.28515625" customWidth="1" style="51" min="14598" max="14598"/>
    <col width="6.140625" customWidth="1" style="51" min="14599" max="14599"/>
    <col width="15.140625" customWidth="1" style="51" min="14600" max="14600"/>
    <col width="9.140625" customWidth="1" style="51" min="14601" max="14601"/>
    <col width="15" customWidth="1" style="51" min="14602" max="14602"/>
    <col width="6.85546875" customWidth="1" style="51" min="14603" max="14603"/>
    <col width="13.28515625" customWidth="1" style="51" min="14604" max="14604"/>
    <col width="9.42578125" customWidth="1" style="51" min="14605" max="14605"/>
    <col width="11" customWidth="1" style="51" min="14606" max="14606"/>
    <col width="10.140625" customWidth="1" style="51" min="14607" max="14607"/>
    <col width="11.140625" customWidth="1" style="51" min="14608" max="14608"/>
    <col width="7" customWidth="1" style="51" min="14609" max="14609"/>
    <col width="10.85546875" customWidth="1" style="51" min="14610" max="14610"/>
    <col width="5.85546875" customWidth="1" style="51" min="14611" max="14611"/>
    <col width="10" customWidth="1" style="51" min="14612" max="14612"/>
    <col width="9.140625" customWidth="1" style="51" min="14613" max="14847"/>
    <col width="9.5703125" customWidth="1" style="51" min="14848" max="14848"/>
    <col width="30.7109375" customWidth="1" style="51" min="14849" max="14849"/>
    <col width="14.7109375" customWidth="1" style="51" min="14850" max="14850"/>
    <col width="8.28515625" customWidth="1" style="51" min="14851" max="14851"/>
    <col width="11.85546875" customWidth="1" style="51" min="14852" max="14852"/>
    <col width="8.28515625" customWidth="1" style="51" min="14853" max="14853"/>
    <col width="17.28515625" customWidth="1" style="51" min="14854" max="14854"/>
    <col width="6.140625" customWidth="1" style="51" min="14855" max="14855"/>
    <col width="15.140625" customWidth="1" style="51" min="14856" max="14856"/>
    <col width="9.140625" customWidth="1" style="51" min="14857" max="14857"/>
    <col width="15" customWidth="1" style="51" min="14858" max="14858"/>
    <col width="6.85546875" customWidth="1" style="51" min="14859" max="14859"/>
    <col width="13.28515625" customWidth="1" style="51" min="14860" max="14860"/>
    <col width="9.42578125" customWidth="1" style="51" min="14861" max="14861"/>
    <col width="11" customWidth="1" style="51" min="14862" max="14862"/>
    <col width="10.140625" customWidth="1" style="51" min="14863" max="14863"/>
    <col width="11.140625" customWidth="1" style="51" min="14864" max="14864"/>
    <col width="7" customWidth="1" style="51" min="14865" max="14865"/>
    <col width="10.85546875" customWidth="1" style="51" min="14866" max="14866"/>
    <col width="5.85546875" customWidth="1" style="51" min="14867" max="14867"/>
    <col width="10" customWidth="1" style="51" min="14868" max="14868"/>
    <col width="9.140625" customWidth="1" style="51" min="14869" max="15103"/>
    <col width="9.5703125" customWidth="1" style="51" min="15104" max="15104"/>
    <col width="30.7109375" customWidth="1" style="51" min="15105" max="15105"/>
    <col width="14.7109375" customWidth="1" style="51" min="15106" max="15106"/>
    <col width="8.28515625" customWidth="1" style="51" min="15107" max="15107"/>
    <col width="11.85546875" customWidth="1" style="51" min="15108" max="15108"/>
    <col width="8.28515625" customWidth="1" style="51" min="15109" max="15109"/>
    <col width="17.28515625" customWidth="1" style="51" min="15110" max="15110"/>
    <col width="6.140625" customWidth="1" style="51" min="15111" max="15111"/>
    <col width="15.140625" customWidth="1" style="51" min="15112" max="15112"/>
    <col width="9.140625" customWidth="1" style="51" min="15113" max="15113"/>
    <col width="15" customWidth="1" style="51" min="15114" max="15114"/>
    <col width="6.85546875" customWidth="1" style="51" min="15115" max="15115"/>
    <col width="13.28515625" customWidth="1" style="51" min="15116" max="15116"/>
    <col width="9.42578125" customWidth="1" style="51" min="15117" max="15117"/>
    <col width="11" customWidth="1" style="51" min="15118" max="15118"/>
    <col width="10.140625" customWidth="1" style="51" min="15119" max="15119"/>
    <col width="11.140625" customWidth="1" style="51" min="15120" max="15120"/>
    <col width="7" customWidth="1" style="51" min="15121" max="15121"/>
    <col width="10.85546875" customWidth="1" style="51" min="15122" max="15122"/>
    <col width="5.85546875" customWidth="1" style="51" min="15123" max="15123"/>
    <col width="10" customWidth="1" style="51" min="15124" max="15124"/>
    <col width="9.140625" customWidth="1" style="51" min="15125" max="15359"/>
    <col width="9.5703125" customWidth="1" style="51" min="15360" max="15360"/>
    <col width="30.7109375" customWidth="1" style="51" min="15361" max="15361"/>
    <col width="14.7109375" customWidth="1" style="51" min="15362" max="15362"/>
    <col width="8.28515625" customWidth="1" style="51" min="15363" max="15363"/>
    <col width="11.85546875" customWidth="1" style="51" min="15364" max="15364"/>
    <col width="8.28515625" customWidth="1" style="51" min="15365" max="15365"/>
    <col width="17.28515625" customWidth="1" style="51" min="15366" max="15366"/>
    <col width="6.140625" customWidth="1" style="51" min="15367" max="15367"/>
    <col width="15.140625" customWidth="1" style="51" min="15368" max="15368"/>
    <col width="9.140625" customWidth="1" style="51" min="15369" max="15369"/>
    <col width="15" customWidth="1" style="51" min="15370" max="15370"/>
    <col width="6.85546875" customWidth="1" style="51" min="15371" max="15371"/>
    <col width="13.28515625" customWidth="1" style="51" min="15372" max="15372"/>
    <col width="9.42578125" customWidth="1" style="51" min="15373" max="15373"/>
    <col width="11" customWidth="1" style="51" min="15374" max="15374"/>
    <col width="10.140625" customWidth="1" style="51" min="15375" max="15375"/>
    <col width="11.140625" customWidth="1" style="51" min="15376" max="15376"/>
    <col width="7" customWidth="1" style="51" min="15377" max="15377"/>
    <col width="10.85546875" customWidth="1" style="51" min="15378" max="15378"/>
    <col width="5.85546875" customWidth="1" style="51" min="15379" max="15379"/>
    <col width="10" customWidth="1" style="51" min="15380" max="15380"/>
    <col width="9.140625" customWidth="1" style="51" min="15381" max="15615"/>
    <col width="9.5703125" customWidth="1" style="51" min="15616" max="15616"/>
    <col width="30.7109375" customWidth="1" style="51" min="15617" max="15617"/>
    <col width="14.7109375" customWidth="1" style="51" min="15618" max="15618"/>
    <col width="8.28515625" customWidth="1" style="51" min="15619" max="15619"/>
    <col width="11.85546875" customWidth="1" style="51" min="15620" max="15620"/>
    <col width="8.28515625" customWidth="1" style="51" min="15621" max="15621"/>
    <col width="17.28515625" customWidth="1" style="51" min="15622" max="15622"/>
    <col width="6.140625" customWidth="1" style="51" min="15623" max="15623"/>
    <col width="15.140625" customWidth="1" style="51" min="15624" max="15624"/>
    <col width="9.140625" customWidth="1" style="51" min="15625" max="15625"/>
    <col width="15" customWidth="1" style="51" min="15626" max="15626"/>
    <col width="6.85546875" customWidth="1" style="51" min="15627" max="15627"/>
    <col width="13.28515625" customWidth="1" style="51" min="15628" max="15628"/>
    <col width="9.42578125" customWidth="1" style="51" min="15629" max="15629"/>
    <col width="11" customWidth="1" style="51" min="15630" max="15630"/>
    <col width="10.140625" customWidth="1" style="51" min="15631" max="15631"/>
    <col width="11.140625" customWidth="1" style="51" min="15632" max="15632"/>
    <col width="7" customWidth="1" style="51" min="15633" max="15633"/>
    <col width="10.85546875" customWidth="1" style="51" min="15634" max="15634"/>
    <col width="5.85546875" customWidth="1" style="51" min="15635" max="15635"/>
    <col width="10" customWidth="1" style="51" min="15636" max="15636"/>
    <col width="9.140625" customWidth="1" style="51" min="15637" max="15871"/>
    <col width="9.5703125" customWidth="1" style="51" min="15872" max="15872"/>
    <col width="30.7109375" customWidth="1" style="51" min="15873" max="15873"/>
    <col width="14.7109375" customWidth="1" style="51" min="15874" max="15874"/>
    <col width="8.28515625" customWidth="1" style="51" min="15875" max="15875"/>
    <col width="11.85546875" customWidth="1" style="51" min="15876" max="15876"/>
    <col width="8.28515625" customWidth="1" style="51" min="15877" max="15877"/>
    <col width="17.28515625" customWidth="1" style="51" min="15878" max="15878"/>
    <col width="6.140625" customWidth="1" style="51" min="15879" max="15879"/>
    <col width="15.140625" customWidth="1" style="51" min="15880" max="15880"/>
    <col width="9.140625" customWidth="1" style="51" min="15881" max="15881"/>
    <col width="15" customWidth="1" style="51" min="15882" max="15882"/>
    <col width="6.85546875" customWidth="1" style="51" min="15883" max="15883"/>
    <col width="13.28515625" customWidth="1" style="51" min="15884" max="15884"/>
    <col width="9.42578125" customWidth="1" style="51" min="15885" max="15885"/>
    <col width="11" customWidth="1" style="51" min="15886" max="15886"/>
    <col width="10.140625" customWidth="1" style="51" min="15887" max="15887"/>
    <col width="11.140625" customWidth="1" style="51" min="15888" max="15888"/>
    <col width="7" customWidth="1" style="51" min="15889" max="15889"/>
    <col width="10.85546875" customWidth="1" style="51" min="15890" max="15890"/>
    <col width="5.85546875" customWidth="1" style="51" min="15891" max="15891"/>
    <col width="10" customWidth="1" style="51" min="15892" max="15892"/>
    <col width="9.140625" customWidth="1" style="51" min="15893" max="16127"/>
    <col width="9.5703125" customWidth="1" style="51" min="16128" max="16128"/>
    <col width="30.7109375" customWidth="1" style="51" min="16129" max="16129"/>
    <col width="14.7109375" customWidth="1" style="51" min="16130" max="16130"/>
    <col width="8.28515625" customWidth="1" style="51" min="16131" max="16131"/>
    <col width="11.85546875" customWidth="1" style="51" min="16132" max="16132"/>
    <col width="8.28515625" customWidth="1" style="51" min="16133" max="16133"/>
    <col width="17.28515625" customWidth="1" style="51" min="16134" max="16134"/>
    <col width="6.140625" customWidth="1" style="51" min="16135" max="16135"/>
    <col width="15.140625" customWidth="1" style="51" min="16136" max="16136"/>
    <col width="9.140625" customWidth="1" style="51" min="16137" max="16137"/>
    <col width="15" customWidth="1" style="51" min="16138" max="16138"/>
    <col width="6.85546875" customWidth="1" style="51" min="16139" max="16139"/>
    <col width="13.28515625" customWidth="1" style="51" min="16140" max="16140"/>
    <col width="9.42578125" customWidth="1" style="51" min="16141" max="16141"/>
    <col width="11" customWidth="1" style="51" min="16142" max="16142"/>
    <col width="10.140625" customWidth="1" style="51" min="16143" max="16143"/>
    <col width="11.140625" customWidth="1" style="51" min="16144" max="16144"/>
    <col width="7" customWidth="1" style="51" min="16145" max="16145"/>
    <col width="10.85546875" customWidth="1" style="51" min="16146" max="16146"/>
    <col width="5.85546875" customWidth="1" style="51" min="16147" max="16147"/>
    <col width="10" customWidth="1" style="51" min="16148" max="16148"/>
    <col width="9.140625" customWidth="1" style="51" min="16149" max="16384"/>
  </cols>
  <sheetData>
    <row r="1">
      <c r="A1" s="99" t="inlineStr">
        <is>
          <t>Weekly Issued (Buffer Stock POMI)- POH 1</t>
        </is>
      </c>
    </row>
    <row r="2" ht="15" customHeight="1">
      <c r="A2" s="3" t="inlineStr">
        <is>
          <t>Mnth</t>
        </is>
      </c>
      <c r="B2" s="4" t="n">
        <v>45992</v>
      </c>
      <c r="C2" s="5" t="n"/>
      <c r="D2" s="6" t="n"/>
      <c r="E2" s="116" t="n"/>
      <c r="F2" s="53" t="n"/>
      <c r="G2" s="7" t="n"/>
      <c r="H2" s="53" t="n"/>
      <c r="I2" s="8" t="n"/>
      <c r="J2" s="53" t="n"/>
      <c r="K2" s="7" t="n"/>
      <c r="L2" s="9" t="n"/>
      <c r="M2" s="7" t="n"/>
      <c r="N2" s="99" t="n"/>
      <c r="O2" s="10" t="n"/>
      <c r="P2" s="99" t="n"/>
      <c r="Q2" s="7" t="n"/>
      <c r="R2" s="99" t="n"/>
      <c r="S2" s="99" t="n"/>
      <c r="T2" s="99" t="n"/>
    </row>
    <row r="3">
      <c r="A3" s="11" t="inlineStr">
        <is>
          <t>Week</t>
        </is>
      </c>
      <c r="B3" s="49" t="inlineStr">
        <is>
          <t>V</t>
        </is>
      </c>
      <c r="G3" s="100" t="n"/>
      <c r="H3" s="117" t="n"/>
      <c r="I3" s="117" t="n"/>
      <c r="J3" s="117" t="n"/>
      <c r="K3" s="117" t="n"/>
      <c r="L3" s="117" t="n"/>
      <c r="M3" s="117" t="n"/>
      <c r="N3" s="117" t="n"/>
    </row>
    <row r="4">
      <c r="A4" s="22" t="inlineStr">
        <is>
          <t>No.</t>
        </is>
      </c>
      <c r="B4" s="79" t="inlineStr">
        <is>
          <t xml:space="preserve">Nama Barang </t>
        </is>
      </c>
      <c r="C4" s="18" t="inlineStr">
        <is>
          <t>Satuan</t>
        </is>
      </c>
      <c r="D4" s="77" t="inlineStr">
        <is>
          <t>Stock Awal</t>
        </is>
      </c>
      <c r="E4" s="118" t="inlineStr">
        <is>
          <t xml:space="preserve">Tanggal Buffer Stock </t>
        </is>
      </c>
      <c r="F4" s="64" t="inlineStr">
        <is>
          <t>Jumlah</t>
        </is>
      </c>
      <c r="G4" s="119" t="n">
        <v>46018</v>
      </c>
      <c r="H4" s="120" t="n"/>
      <c r="I4" s="119" t="n">
        <v>46019</v>
      </c>
      <c r="J4" s="120" t="n"/>
      <c r="K4" s="119" t="n">
        <v>46020</v>
      </c>
      <c r="L4" s="120" t="n"/>
      <c r="M4" s="119" t="n">
        <v>46021</v>
      </c>
      <c r="N4" s="120" t="n"/>
      <c r="O4" s="119" t="n">
        <v>46022</v>
      </c>
      <c r="P4" s="120" t="n"/>
      <c r="Q4" s="119" t="n">
        <v>46023</v>
      </c>
      <c r="R4" s="120" t="n"/>
      <c r="S4" s="119" t="n">
        <v>46024</v>
      </c>
      <c r="T4" s="120" t="n"/>
      <c r="U4" s="71" t="inlineStr">
        <is>
          <t>Ending Stock</t>
        </is>
      </c>
      <c r="V4" t="inlineStr">
        <is>
          <t>KATEGORI</t>
        </is>
      </c>
    </row>
    <row r="5">
      <c r="A5" s="121" t="n"/>
      <c r="B5" s="121" t="n"/>
      <c r="C5" s="121" t="n"/>
      <c r="D5" s="121" t="n"/>
      <c r="E5" s="121" t="n"/>
      <c r="F5" s="121" t="n"/>
      <c r="G5" s="17" t="inlineStr">
        <is>
          <t xml:space="preserve">Lokasi </t>
        </is>
      </c>
      <c r="H5" s="54" t="inlineStr">
        <is>
          <t>Jumlah</t>
        </is>
      </c>
      <c r="I5" s="19" t="inlineStr">
        <is>
          <t xml:space="preserve">Lokasi </t>
        </is>
      </c>
      <c r="J5" s="54" t="inlineStr">
        <is>
          <t>Jumlah</t>
        </is>
      </c>
      <c r="K5" s="73" t="inlineStr">
        <is>
          <t xml:space="preserve">Lokasi </t>
        </is>
      </c>
      <c r="L5" s="21" t="inlineStr">
        <is>
          <t>Jumlah</t>
        </is>
      </c>
      <c r="M5" s="73" t="inlineStr">
        <is>
          <t xml:space="preserve">Lokasi </t>
        </is>
      </c>
      <c r="N5" s="18" t="inlineStr">
        <is>
          <t>Jumlah</t>
        </is>
      </c>
      <c r="O5" s="19" t="inlineStr">
        <is>
          <t xml:space="preserve">Lokasi </t>
        </is>
      </c>
      <c r="P5" s="18" t="inlineStr">
        <is>
          <t>Jumlah</t>
        </is>
      </c>
      <c r="Q5" s="73" t="inlineStr">
        <is>
          <t xml:space="preserve">Lokasi </t>
        </is>
      </c>
      <c r="R5" s="18" t="inlineStr">
        <is>
          <t>Jumlah</t>
        </is>
      </c>
      <c r="S5" s="18" t="inlineStr">
        <is>
          <t xml:space="preserve">Lokasi </t>
        </is>
      </c>
      <c r="T5" s="18" t="inlineStr">
        <is>
          <t>Jumlah</t>
        </is>
      </c>
      <c r="U5" s="121" t="n"/>
    </row>
    <row r="6" ht="30" customHeight="1">
      <c r="A6" s="22" t="n">
        <v>1</v>
      </c>
      <c r="B6" s="122" t="inlineStr">
        <is>
          <t>AC Compressor 1 PK, PANASONIC R 22</t>
        </is>
      </c>
      <c r="C6" s="123" t="inlineStr">
        <is>
          <t>Unit</t>
        </is>
      </c>
      <c r="D6" s="26">
        <f>'Week  (4)'!U6</f>
        <v/>
      </c>
      <c r="E6" s="26" t="n"/>
      <c r="F6" s="26" t="n"/>
      <c r="G6" s="26" t="n"/>
      <c r="H6" s="26" t="n"/>
      <c r="I6" s="26" t="n"/>
      <c r="J6" s="26" t="n"/>
      <c r="K6" s="18" t="n"/>
      <c r="L6" s="73" t="n"/>
      <c r="M6" s="73" t="n"/>
      <c r="N6" s="73" t="n"/>
      <c r="O6" s="19" t="n"/>
      <c r="P6" s="18" t="n"/>
      <c r="Q6" s="18" t="n"/>
      <c r="R6" s="73" t="n"/>
      <c r="S6" s="18" t="n"/>
      <c r="T6" s="18" t="n"/>
      <c r="U6" s="26">
        <f>D6+F6+-(H6+J6+L6+N6+P6+R6+T6)</f>
        <v/>
      </c>
      <c r="V6" t="inlineStr">
        <is>
          <t>AC</t>
        </is>
      </c>
    </row>
    <row r="7" ht="30" customHeight="1">
      <c r="A7" s="22">
        <f>A6+1</f>
        <v/>
      </c>
      <c r="B7" s="122" t="inlineStr">
        <is>
          <t>AC Compressor 1,5  PK, PANASONIC R 22</t>
        </is>
      </c>
      <c r="C7" s="123" t="inlineStr">
        <is>
          <t>Unit</t>
        </is>
      </c>
      <c r="D7" s="26">
        <f>'Week  (4)'!U7</f>
        <v/>
      </c>
      <c r="E7" s="124" t="n"/>
      <c r="F7" s="62" t="n"/>
      <c r="G7" s="25" t="n"/>
      <c r="H7" s="56" t="n"/>
      <c r="I7" s="19" t="n"/>
      <c r="J7" s="64" t="n"/>
      <c r="K7" s="18" t="n"/>
      <c r="L7" s="73" t="n"/>
      <c r="M7" s="73" t="n"/>
      <c r="N7" s="73" t="n"/>
      <c r="O7" s="19" t="n"/>
      <c r="P7" s="18" t="n"/>
      <c r="Q7" s="18" t="n"/>
      <c r="R7" s="73" t="n"/>
      <c r="S7" s="18" t="n"/>
      <c r="T7" s="18" t="n"/>
      <c r="U7" s="26">
        <f>D7+F7+-(H7+J7+L7+N7+P7+R7+T7)</f>
        <v/>
      </c>
      <c r="V7" t="inlineStr">
        <is>
          <t>AC</t>
        </is>
      </c>
    </row>
    <row r="8" ht="30" customHeight="1">
      <c r="A8" s="22">
        <f>A7+1</f>
        <v/>
      </c>
      <c r="B8" s="122" t="inlineStr">
        <is>
          <t>AC Compressor 2 PK, PANASONIC</t>
        </is>
      </c>
      <c r="C8" s="123" t="inlineStr">
        <is>
          <t>Unit</t>
        </is>
      </c>
      <c r="D8" s="26">
        <f>'Week  (4)'!U8</f>
        <v/>
      </c>
      <c r="E8" s="125" t="n"/>
      <c r="F8" s="55" t="n"/>
      <c r="G8" s="52" t="n"/>
      <c r="H8" s="55" t="n"/>
      <c r="I8" s="71" t="n"/>
      <c r="J8" s="55" t="n"/>
      <c r="K8" s="18" t="n"/>
      <c r="L8" s="73" t="n"/>
      <c r="M8" s="73" t="n"/>
      <c r="N8" s="73" t="n"/>
      <c r="O8" s="19" t="n"/>
      <c r="P8" s="18" t="n"/>
      <c r="Q8" s="18" t="n"/>
      <c r="R8" s="73" t="n"/>
      <c r="S8" s="18" t="n"/>
      <c r="T8" s="18" t="n"/>
      <c r="U8" s="26">
        <f>D8+F8+-(H8+J8+L8+N8+P8+R8+T8)</f>
        <v/>
      </c>
      <c r="V8" t="inlineStr">
        <is>
          <t>AC</t>
        </is>
      </c>
    </row>
    <row r="9" ht="30" customHeight="1">
      <c r="A9" s="22">
        <f>A8+1</f>
        <v/>
      </c>
      <c r="B9" s="122" t="inlineStr">
        <is>
          <t>AC Compressor 3 PK, PANASONIC</t>
        </is>
      </c>
      <c r="C9" s="123" t="inlineStr">
        <is>
          <t>Unit</t>
        </is>
      </c>
      <c r="D9" s="26">
        <f>'Week  (4)'!U9</f>
        <v/>
      </c>
      <c r="E9" s="124" t="n"/>
      <c r="F9" s="62" t="n"/>
      <c r="G9" s="25" t="n"/>
      <c r="H9" s="56" t="n"/>
      <c r="I9" s="19" t="n"/>
      <c r="J9" s="64" t="n"/>
      <c r="K9" s="18" t="n"/>
      <c r="L9" s="73" t="n"/>
      <c r="M9" s="73" t="n"/>
      <c r="N9" s="73" t="n"/>
      <c r="O9" s="19" t="n"/>
      <c r="P9" s="18" t="n"/>
      <c r="Q9" s="18" t="n"/>
      <c r="R9" s="73" t="n"/>
      <c r="S9" s="18" t="n"/>
      <c r="T9" s="18" t="n"/>
      <c r="U9" s="26">
        <f>D9+F9+-(H9+J9+L9+N9+P9+R9+T9)</f>
        <v/>
      </c>
      <c r="V9" t="inlineStr">
        <is>
          <t>AC</t>
        </is>
      </c>
    </row>
    <row r="10" ht="30" customHeight="1">
      <c r="A10" s="22">
        <f>A9+1</f>
        <v/>
      </c>
      <c r="B10" s="122" t="inlineStr">
        <is>
          <t>AC Compressor 1 PK, PANASONIC R 32</t>
        </is>
      </c>
      <c r="C10" s="123" t="inlineStr">
        <is>
          <t>Unit</t>
        </is>
      </c>
      <c r="D10" s="26">
        <f>'Week  (4)'!U10</f>
        <v/>
      </c>
      <c r="E10" s="125" t="n"/>
      <c r="F10" s="55" t="n"/>
      <c r="G10" s="52" t="n"/>
      <c r="H10" s="55" t="n"/>
      <c r="I10" s="71" t="n"/>
      <c r="J10" s="55" t="n"/>
      <c r="K10" s="18" t="n"/>
      <c r="L10" s="73" t="n"/>
      <c r="M10" s="73" t="n"/>
      <c r="N10" s="73" t="n"/>
      <c r="O10" s="19" t="n"/>
      <c r="P10" s="18" t="n"/>
      <c r="Q10" s="18" t="n"/>
      <c r="R10" s="73" t="n"/>
      <c r="S10" s="18" t="n"/>
      <c r="T10" s="18" t="n"/>
      <c r="U10" s="26">
        <f>D10+F10+-(H10+J10+L10+N10+P10+R10+T10)</f>
        <v/>
      </c>
      <c r="V10" t="inlineStr">
        <is>
          <t>AC</t>
        </is>
      </c>
    </row>
    <row r="11" ht="30" customHeight="1">
      <c r="A11" s="22">
        <f>A10+1</f>
        <v/>
      </c>
      <c r="B11" s="122" t="inlineStr">
        <is>
          <t>AC Compressor 1,5  PK, PANASONIC R 32</t>
        </is>
      </c>
      <c r="C11" s="123" t="inlineStr">
        <is>
          <t>Unit</t>
        </is>
      </c>
      <c r="D11" s="26">
        <f>'Week  (4)'!U11</f>
        <v/>
      </c>
      <c r="E11" s="124" t="n"/>
      <c r="F11" s="62" t="n"/>
      <c r="G11" s="25" t="n"/>
      <c r="H11" s="56" t="n"/>
      <c r="I11" s="19" t="n"/>
      <c r="J11" s="64" t="n"/>
      <c r="K11" s="18" t="n"/>
      <c r="L11" s="73" t="n"/>
      <c r="M11" s="73" t="n"/>
      <c r="N11" s="73" t="n"/>
      <c r="O11" s="19" t="n"/>
      <c r="P11" s="18" t="n"/>
      <c r="Q11" s="18" t="n"/>
      <c r="R11" s="73" t="n"/>
      <c r="S11" s="18" t="n"/>
      <c r="T11" s="18" t="n"/>
      <c r="U11" s="26">
        <f>D11+F11+-(H11+J11+L11+N11+P11+R11+T11)</f>
        <v/>
      </c>
      <c r="V11" t="inlineStr">
        <is>
          <t>AC</t>
        </is>
      </c>
    </row>
    <row r="12" ht="15" customHeight="1">
      <c r="A12" s="22">
        <f>A11+1</f>
        <v/>
      </c>
      <c r="B12" s="27" t="inlineStr">
        <is>
          <t>Amplas NO 1</t>
        </is>
      </c>
      <c r="C12" s="123" t="inlineStr">
        <is>
          <t xml:space="preserve">Lbr </t>
        </is>
      </c>
      <c r="D12" s="26">
        <f>'Week  (4)'!U12</f>
        <v/>
      </c>
      <c r="E12" s="125" t="n"/>
      <c r="F12" s="55" t="n"/>
      <c r="G12" s="52" t="n"/>
      <c r="H12" s="55" t="n"/>
      <c r="I12" s="71" t="n"/>
      <c r="J12" s="55" t="n"/>
      <c r="K12" s="52" t="n"/>
      <c r="L12" s="55" t="n"/>
      <c r="M12" s="73" t="n"/>
      <c r="N12" s="73" t="n"/>
      <c r="O12" s="19" t="inlineStr">
        <is>
          <t>Lombok 18</t>
        </is>
      </c>
      <c r="P12" s="18" t="n">
        <v>1</v>
      </c>
      <c r="Q12" s="18" t="n"/>
      <c r="R12" s="73" t="n"/>
      <c r="S12" s="18" t="n"/>
      <c r="T12" s="18" t="n"/>
      <c r="U12" s="26">
        <f>D12+F12+-(H12+J12+L12+N12+P12+R12+T12)</f>
        <v/>
      </c>
      <c r="V12" t="inlineStr">
        <is>
          <t>CONSUMABLE</t>
        </is>
      </c>
    </row>
    <row r="13" ht="15" customHeight="1">
      <c r="A13" s="22">
        <f>A12+1</f>
        <v/>
      </c>
      <c r="B13" s="27" t="inlineStr">
        <is>
          <t>Amplas NO 180</t>
        </is>
      </c>
      <c r="C13" s="123" t="inlineStr">
        <is>
          <t xml:space="preserve">Lbr </t>
        </is>
      </c>
      <c r="D13" s="26">
        <f>'Week  (4)'!U13</f>
        <v/>
      </c>
      <c r="E13" s="124" t="n"/>
      <c r="F13" s="62" t="n"/>
      <c r="G13" s="52" t="n"/>
      <c r="H13" s="56" t="n"/>
      <c r="I13" s="71" t="n"/>
      <c r="J13" s="64" t="n"/>
      <c r="K13" s="52" t="inlineStr">
        <is>
          <t>Sulawesi 4</t>
        </is>
      </c>
      <c r="L13" s="55" t="n">
        <v>1</v>
      </c>
      <c r="M13" s="73" t="n"/>
      <c r="N13" s="73" t="n"/>
      <c r="O13" s="19" t="n"/>
      <c r="P13" s="18" t="n"/>
      <c r="Q13" s="18" t="n"/>
      <c r="R13" s="73" t="n"/>
      <c r="S13" s="18" t="n"/>
      <c r="T13" s="18" t="n"/>
      <c r="U13" s="26">
        <f>D13+F13+-(H13+J13+L13+N13+P13+R13+T13)</f>
        <v/>
      </c>
      <c r="V13" t="inlineStr">
        <is>
          <t>CONSUMABLE</t>
        </is>
      </c>
    </row>
    <row r="14" ht="15" customHeight="1">
      <c r="A14" s="22">
        <f>A13+1</f>
        <v/>
      </c>
      <c r="B14" s="27" t="inlineStr">
        <is>
          <t>Avur bak cuci piring</t>
        </is>
      </c>
      <c r="C14" s="123" t="inlineStr">
        <is>
          <t>pcs</t>
        </is>
      </c>
      <c r="D14" s="26">
        <f>'Week  (4)'!U14</f>
        <v/>
      </c>
      <c r="E14" s="125" t="n"/>
      <c r="F14" s="55" t="n"/>
      <c r="G14" s="52" t="n"/>
      <c r="H14" s="55" t="n"/>
      <c r="I14" s="71" t="n"/>
      <c r="J14" s="55" t="n"/>
      <c r="K14" s="18" t="n"/>
      <c r="L14" s="73" t="n"/>
      <c r="M14" s="73" t="n"/>
      <c r="N14" s="73" t="n"/>
      <c r="O14" s="19" t="n"/>
      <c r="P14" s="18" t="n"/>
      <c r="Q14" s="18" t="n"/>
      <c r="R14" s="73" t="n"/>
      <c r="S14" s="18" t="n"/>
      <c r="T14" s="18" t="n"/>
      <c r="U14" s="26">
        <f>D14+F14+-(H14+J14+L14+N14+P14+R14+T14)</f>
        <v/>
      </c>
      <c r="V14" t="inlineStr">
        <is>
          <t>SANITARY</t>
        </is>
      </c>
    </row>
    <row r="15" ht="15" customHeight="1">
      <c r="A15" s="22">
        <f>A14+1</f>
        <v/>
      </c>
      <c r="B15" s="27" t="inlineStr">
        <is>
          <t>RESIBON CUTTING WHEEL</t>
        </is>
      </c>
      <c r="C15" s="123" t="inlineStr">
        <is>
          <t xml:space="preserve">Lbr </t>
        </is>
      </c>
      <c r="D15" s="26">
        <f>'Week  (4)'!U15</f>
        <v/>
      </c>
      <c r="E15" s="125" t="n"/>
      <c r="F15" s="62" t="n"/>
      <c r="G15" s="25" t="n"/>
      <c r="H15" s="56" t="n"/>
      <c r="I15" s="25" t="n"/>
      <c r="J15" s="56" t="n"/>
      <c r="K15" s="25" t="n"/>
      <c r="L15" s="56" t="n"/>
      <c r="M15" s="25" t="n"/>
      <c r="N15" s="56" t="n"/>
      <c r="O15" s="25" t="n"/>
      <c r="P15" s="18" t="n"/>
      <c r="Q15" s="25" t="n"/>
      <c r="R15" s="18" t="n"/>
      <c r="S15" s="18" t="n"/>
      <c r="T15" s="18" t="n"/>
      <c r="U15" s="26">
        <f>D15+F15+-(H15+J15+L15+N15+P15+R15+T15)</f>
        <v/>
      </c>
      <c r="V15" t="inlineStr">
        <is>
          <t>CONSUMABLE</t>
        </is>
      </c>
    </row>
    <row r="16" ht="15" customHeight="1">
      <c r="A16" s="22">
        <f>A15+1</f>
        <v/>
      </c>
      <c r="B16" s="27" t="inlineStr">
        <is>
          <t>RESIBON GRINDING WHEEL</t>
        </is>
      </c>
      <c r="C16" s="123" t="inlineStr">
        <is>
          <t xml:space="preserve">Lbr </t>
        </is>
      </c>
      <c r="D16" s="26">
        <f>'Week  (4)'!U16</f>
        <v/>
      </c>
      <c r="E16" s="125" t="n"/>
      <c r="F16" s="55" t="n"/>
      <c r="G16" s="25" t="n"/>
      <c r="H16" s="55" t="n"/>
      <c r="I16" s="19" t="n"/>
      <c r="J16" s="55" t="n"/>
      <c r="K16" s="18" t="n"/>
      <c r="L16" s="73" t="n"/>
      <c r="M16" s="25" t="n"/>
      <c r="N16" s="56" t="n"/>
      <c r="O16" s="19" t="n"/>
      <c r="P16" s="18" t="n"/>
      <c r="Q16" s="18" t="n"/>
      <c r="R16" s="73" t="n"/>
      <c r="S16" s="18" t="n"/>
      <c r="T16" s="18" t="n"/>
      <c r="U16" s="26">
        <f>D16+F16+-(H16+J16+L16+N16+P16+R16+T16)</f>
        <v/>
      </c>
      <c r="V16" t="inlineStr">
        <is>
          <t>CONSUMABLE</t>
        </is>
      </c>
    </row>
    <row r="17" ht="13.5" customHeight="1">
      <c r="A17" s="22">
        <f>A16+1</f>
        <v/>
      </c>
      <c r="B17" s="79" t="inlineStr">
        <is>
          <t>Ball Valve 1/2" ONDA Kuningan</t>
        </is>
      </c>
      <c r="C17" s="29" t="inlineStr">
        <is>
          <t>Pcs</t>
        </is>
      </c>
      <c r="D17" s="26">
        <f>'Week  (4)'!U17</f>
        <v/>
      </c>
      <c r="E17" s="124" t="n"/>
      <c r="F17" s="62" t="n"/>
      <c r="G17" s="25" t="n"/>
      <c r="H17" s="56" t="n"/>
      <c r="I17" s="19" t="n"/>
      <c r="J17" s="64" t="n"/>
      <c r="K17" s="18" t="n"/>
      <c r="L17" s="73" t="n"/>
      <c r="M17" s="73" t="n"/>
      <c r="N17" s="73" t="n"/>
      <c r="O17" s="19" t="n"/>
      <c r="P17" s="18" t="n"/>
      <c r="Q17" s="18" t="n"/>
      <c r="R17" s="73" t="n"/>
      <c r="S17" s="18" t="n"/>
      <c r="T17" s="18" t="n"/>
      <c r="U17" s="26">
        <f>D17+F17+-(H17+J17+L17+N17+P17+R17+T17)</f>
        <v/>
      </c>
      <c r="V17" t="inlineStr">
        <is>
          <t>VALVE AND PIPE</t>
        </is>
      </c>
    </row>
    <row r="18" ht="13.5" customHeight="1">
      <c r="A18" s="22">
        <f>A17+1</f>
        <v/>
      </c>
      <c r="B18" s="79" t="inlineStr">
        <is>
          <t>Ball Valve 3/4" ONDA Kuningan</t>
        </is>
      </c>
      <c r="C18" s="29" t="inlineStr">
        <is>
          <t>Pcs</t>
        </is>
      </c>
      <c r="D18" s="26">
        <f>'Week  (4)'!U18</f>
        <v/>
      </c>
      <c r="E18" s="124" t="n"/>
      <c r="F18" s="55" t="n"/>
      <c r="G18" s="52" t="n"/>
      <c r="H18" s="55" t="n"/>
      <c r="I18" s="71" t="n"/>
      <c r="J18" s="55" t="n"/>
      <c r="K18" s="18" t="n"/>
      <c r="L18" s="73" t="n"/>
      <c r="M18" s="73" t="n"/>
      <c r="N18" s="73" t="n"/>
      <c r="O18" s="19" t="n"/>
      <c r="P18" s="18" t="n"/>
      <c r="Q18" s="18" t="n"/>
      <c r="R18" s="73" t="n"/>
      <c r="S18" s="18" t="n"/>
      <c r="T18" s="18" t="n"/>
      <c r="U18" s="26">
        <f>D18+F18+-(H18+J18+L18+N18+P18+R18+T18)</f>
        <v/>
      </c>
      <c r="V18" t="inlineStr">
        <is>
          <t>VALVE AND PIPE</t>
        </is>
      </c>
    </row>
    <row r="19" ht="15" customHeight="1">
      <c r="A19" s="22">
        <f>A18+1</f>
        <v/>
      </c>
      <c r="B19" s="30" t="inlineStr">
        <is>
          <t>BATTERY ALKALINE AA</t>
        </is>
      </c>
      <c r="C19" s="31" t="inlineStr">
        <is>
          <t>PCS</t>
        </is>
      </c>
      <c r="D19" s="26">
        <f>'Week  (4)'!U19</f>
        <v/>
      </c>
      <c r="E19" s="124" t="n"/>
      <c r="F19" s="62" t="n"/>
      <c r="G19" s="25" t="n"/>
      <c r="H19" s="56" t="n"/>
      <c r="I19" s="68" t="n"/>
      <c r="J19" s="56" t="n"/>
      <c r="K19" s="18" t="n"/>
      <c r="L19" s="73" t="n"/>
      <c r="M19" s="73" t="n"/>
      <c r="N19" s="73" t="n"/>
      <c r="O19" s="19" t="n"/>
      <c r="P19" s="18" t="n"/>
      <c r="Q19" s="19" t="n"/>
      <c r="R19" s="73" t="n"/>
      <c r="S19" s="18" t="n"/>
      <c r="T19" s="18" t="n"/>
      <c r="U19" s="26">
        <f>D19+F19+-(H19+J19+L19+N19+P19+R19+T19)</f>
        <v/>
      </c>
      <c r="V19" t="inlineStr">
        <is>
          <t>CONSUMABLE</t>
        </is>
      </c>
    </row>
    <row r="20" ht="45.75" customHeight="1">
      <c r="A20" s="22">
        <f>A19+1</f>
        <v/>
      </c>
      <c r="B20" s="30" t="inlineStr">
        <is>
          <t>BATTERY ALKALINE AAA</t>
        </is>
      </c>
      <c r="C20" s="123" t="inlineStr">
        <is>
          <t>PCS</t>
        </is>
      </c>
      <c r="D20" s="26">
        <f>'Week  (4)'!U20</f>
        <v/>
      </c>
      <c r="E20" s="124" t="n"/>
      <c r="F20" s="55" t="n"/>
      <c r="G20" s="25" t="n"/>
      <c r="H20" s="55" t="n"/>
      <c r="I20" s="71" t="n"/>
      <c r="J20" s="55" t="n"/>
      <c r="K20" s="18" t="n"/>
      <c r="L20" s="73" t="n"/>
      <c r="M20" s="73" t="n"/>
      <c r="N20" s="73" t="n"/>
      <c r="O20" s="19" t="n"/>
      <c r="P20" s="18" t="n"/>
      <c r="Q20" s="21" t="n"/>
      <c r="R20" s="73" t="n"/>
      <c r="S20" s="18" t="n"/>
      <c r="T20" s="18" t="n"/>
      <c r="U20" s="26">
        <f>D20+F20+-(H20+J20+L20+N20+P20+R20+T20)</f>
        <v/>
      </c>
      <c r="V20" t="inlineStr">
        <is>
          <t>CONSUMABLE</t>
        </is>
      </c>
    </row>
    <row r="21" ht="15" customHeight="1">
      <c r="A21" s="22">
        <f>A20+1</f>
        <v/>
      </c>
      <c r="B21" s="30" t="inlineStr">
        <is>
          <t>BATTERY KERING 6 VOLT</t>
        </is>
      </c>
      <c r="C21" s="123" t="inlineStr">
        <is>
          <t>PCS</t>
        </is>
      </c>
      <c r="D21" s="26">
        <f>'Week  (4)'!U21</f>
        <v/>
      </c>
      <c r="E21" s="124" t="n"/>
      <c r="F21" s="62" t="n"/>
      <c r="G21" s="25" t="n"/>
      <c r="H21" s="56" t="n"/>
      <c r="I21" s="19" t="n"/>
      <c r="J21" s="64" t="n"/>
      <c r="K21" s="18" t="n"/>
      <c r="L21" s="73" t="n"/>
      <c r="M21" s="73" t="n"/>
      <c r="N21" s="73" t="n"/>
      <c r="O21" s="19" t="n"/>
      <c r="P21" s="18" t="n"/>
      <c r="Q21" s="18" t="n"/>
      <c r="R21" s="73" t="n"/>
      <c r="S21" s="18" t="n"/>
      <c r="T21" s="18" t="n"/>
      <c r="U21" s="26">
        <f>D21+F21+-(H21+J21+L21+N21+P21+R21+T21)</f>
        <v/>
      </c>
      <c r="V21" t="inlineStr">
        <is>
          <t>CONSUMABLE</t>
        </is>
      </c>
    </row>
    <row r="22" ht="15" customFormat="1" customHeight="1" s="32">
      <c r="A22" s="22">
        <f>A21+1</f>
        <v/>
      </c>
      <c r="B22" s="122" t="inlineStr">
        <is>
          <t>Battery Kotak 9 Volt</t>
        </is>
      </c>
      <c r="C22" s="123" t="inlineStr">
        <is>
          <t>PCS</t>
        </is>
      </c>
      <c r="D22" s="26">
        <f>'Week  (4)'!U22</f>
        <v/>
      </c>
      <c r="E22" s="125" t="n"/>
      <c r="F22" s="55" t="n"/>
      <c r="G22" s="52" t="n"/>
      <c r="H22" s="55" t="n"/>
      <c r="I22" s="71" t="n"/>
      <c r="J22" s="55" t="n"/>
      <c r="K22" s="19" t="n"/>
      <c r="L22" s="73" t="n"/>
      <c r="M22" s="73" t="n"/>
      <c r="N22" s="73" t="n"/>
      <c r="O22" s="19" t="n"/>
      <c r="P22" s="18" t="n"/>
      <c r="Q22" s="19" t="n"/>
      <c r="R22" s="73" t="n"/>
      <c r="S22" s="18" t="n"/>
      <c r="T22" s="18" t="n"/>
      <c r="U22" s="26">
        <f>D22+F22+-(H22+J22+L22+N22+P22+R22+T22)</f>
        <v/>
      </c>
      <c r="V22" s="51" t="inlineStr">
        <is>
          <t>CONSUMABLE</t>
        </is>
      </c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  <c r="FX22" s="51" t="n"/>
      <c r="FY22" s="51" t="n"/>
      <c r="FZ22" s="51" t="n"/>
      <c r="GA22" s="51" t="n"/>
      <c r="GB22" s="51" t="n"/>
      <c r="GC22" s="51" t="n"/>
      <c r="GD22" s="51" t="n"/>
      <c r="GE22" s="51" t="n"/>
      <c r="GF22" s="51" t="n"/>
      <c r="GG22" s="51" t="n"/>
      <c r="GH22" s="51" t="n"/>
      <c r="GI22" s="51" t="n"/>
      <c r="GJ22" s="51" t="n"/>
      <c r="GK22" s="51" t="n"/>
      <c r="GL22" s="51" t="n"/>
      <c r="GM22" s="51" t="n"/>
      <c r="GN22" s="51" t="n"/>
      <c r="GO22" s="51" t="n"/>
      <c r="GP22" s="51" t="n"/>
      <c r="GQ22" s="51" t="n"/>
      <c r="GR22" s="51" t="n"/>
      <c r="GS22" s="51" t="n"/>
      <c r="GT22" s="51" t="n"/>
      <c r="GU22" s="51" t="n"/>
      <c r="GV22" s="51" t="n"/>
      <c r="GW22" s="51" t="n"/>
      <c r="GX22" s="51" t="n"/>
      <c r="GY22" s="51" t="n"/>
      <c r="GZ22" s="51" t="n"/>
      <c r="HA22" s="51" t="n"/>
      <c r="HB22" s="51" t="n"/>
      <c r="HC22" s="51" t="n"/>
      <c r="HD22" s="51" t="n"/>
      <c r="HE22" s="51" t="n"/>
      <c r="HF22" s="51" t="n"/>
      <c r="HG22" s="51" t="n"/>
      <c r="HH22" s="51" t="n"/>
      <c r="HI22" s="51" t="n"/>
      <c r="HJ22" s="51" t="n"/>
      <c r="HK22" s="51" t="n"/>
      <c r="HL22" s="51" t="n"/>
      <c r="HM22" s="51" t="n"/>
      <c r="HN22" s="51" t="n"/>
      <c r="HO22" s="51" t="n"/>
      <c r="HP22" s="51" t="n"/>
      <c r="HQ22" s="51" t="n"/>
      <c r="HR22" s="51" t="n"/>
      <c r="HS22" s="51" t="n"/>
      <c r="HT22" s="51" t="n"/>
      <c r="HU22" s="51" t="n"/>
      <c r="HV22" s="51" t="n"/>
      <c r="HW22" s="51" t="n"/>
      <c r="HX22" s="51" t="n"/>
      <c r="HY22" s="51" t="n"/>
      <c r="HZ22" s="51" t="n"/>
      <c r="IA22" s="51" t="n"/>
      <c r="IB22" s="51" t="n"/>
      <c r="IC22" s="51" t="n"/>
      <c r="ID22" s="51" t="n"/>
      <c r="IE22" s="51" t="n"/>
      <c r="IF22" s="51" t="n"/>
      <c r="IG22" s="51" t="n"/>
      <c r="IH22" s="51" t="n"/>
      <c r="II22" s="51" t="n"/>
      <c r="IJ22" s="51" t="n"/>
      <c r="IK22" s="51" t="n"/>
      <c r="IL22" s="51" t="n"/>
      <c r="IM22" s="51" t="n"/>
      <c r="IN22" s="51" t="n"/>
      <c r="IO22" s="51" t="n"/>
      <c r="IP22" s="51" t="n"/>
      <c r="IQ22" s="51" t="n"/>
      <c r="IR22" s="51" t="n"/>
      <c r="IS22" s="51" t="n"/>
      <c r="IT22" s="51" t="n"/>
      <c r="IU22" s="51" t="n"/>
      <c r="IV22" s="51" t="n"/>
      <c r="IW22" s="51" t="n"/>
      <c r="IX22" s="51" t="n"/>
      <c r="IY22" s="51" t="n"/>
      <c r="IZ22" s="51" t="n"/>
      <c r="JA22" s="51" t="n"/>
      <c r="JB22" s="51" t="n"/>
      <c r="JC22" s="51" t="n"/>
      <c r="JD22" s="51" t="n"/>
      <c r="JE22" s="51" t="n"/>
      <c r="JF22" s="51" t="n"/>
      <c r="JG22" s="51" t="n"/>
      <c r="JH22" s="51" t="n"/>
      <c r="JI22" s="51" t="n"/>
      <c r="JJ22" s="51" t="n"/>
      <c r="JK22" s="51" t="n"/>
      <c r="JL22" s="51" t="n"/>
      <c r="JM22" s="51" t="n"/>
      <c r="JN22" s="51" t="n"/>
      <c r="JO22" s="51" t="n"/>
      <c r="JP22" s="51" t="n"/>
      <c r="JQ22" s="51" t="n"/>
      <c r="JR22" s="51" t="n"/>
      <c r="JS22" s="51" t="n"/>
      <c r="JT22" s="51" t="n"/>
      <c r="JU22" s="51" t="n"/>
      <c r="JV22" s="51" t="n"/>
      <c r="JW22" s="51" t="n"/>
      <c r="JX22" s="51" t="n"/>
      <c r="JY22" s="51" t="n"/>
      <c r="JZ22" s="51" t="n"/>
      <c r="KA22" s="51" t="n"/>
      <c r="KB22" s="51" t="n"/>
      <c r="KC22" s="51" t="n"/>
      <c r="KD22" s="51" t="n"/>
      <c r="KE22" s="51" t="n"/>
      <c r="KF22" s="51" t="n"/>
      <c r="KG22" s="51" t="n"/>
      <c r="KH22" s="51" t="n"/>
      <c r="KI22" s="51" t="n"/>
      <c r="KJ22" s="51" t="n"/>
      <c r="KK22" s="51" t="n"/>
      <c r="KL22" s="51" t="n"/>
      <c r="KM22" s="51" t="n"/>
      <c r="KN22" s="51" t="n"/>
      <c r="KO22" s="51" t="n"/>
      <c r="KP22" s="51" t="n"/>
      <c r="KQ22" s="51" t="n"/>
      <c r="KR22" s="51" t="n"/>
      <c r="KS22" s="51" t="n"/>
      <c r="KT22" s="51" t="n"/>
      <c r="KU22" s="51" t="n"/>
      <c r="KV22" s="51" t="n"/>
      <c r="KW22" s="51" t="n"/>
      <c r="KX22" s="51" t="n"/>
      <c r="KY22" s="51" t="n"/>
      <c r="KZ22" s="51" t="n"/>
      <c r="LA22" s="51" t="n"/>
      <c r="LB22" s="51" t="n"/>
      <c r="LC22" s="51" t="n"/>
      <c r="LD22" s="51" t="n"/>
      <c r="LE22" s="51" t="n"/>
      <c r="LF22" s="51" t="n"/>
      <c r="LG22" s="51" t="n"/>
      <c r="LH22" s="51" t="n"/>
      <c r="LI22" s="51" t="n"/>
      <c r="LJ22" s="51" t="n"/>
      <c r="LK22" s="51" t="n"/>
      <c r="LL22" s="51" t="n"/>
      <c r="LM22" s="51" t="n"/>
      <c r="LN22" s="51" t="n"/>
      <c r="LO22" s="51" t="n"/>
      <c r="LP22" s="51" t="n"/>
      <c r="LQ22" s="51" t="n"/>
      <c r="LR22" s="51" t="n"/>
      <c r="LS22" s="51" t="n"/>
      <c r="LT22" s="51" t="n"/>
      <c r="LU22" s="51" t="n"/>
      <c r="LV22" s="51" t="n"/>
      <c r="LW22" s="51" t="n"/>
      <c r="LX22" s="51" t="n"/>
      <c r="LY22" s="51" t="n"/>
      <c r="LZ22" s="51" t="n"/>
      <c r="MA22" s="51" t="n"/>
      <c r="MB22" s="51" t="n"/>
      <c r="MC22" s="51" t="n"/>
      <c r="MD22" s="51" t="n"/>
      <c r="ME22" s="51" t="n"/>
      <c r="MF22" s="51" t="n"/>
      <c r="MG22" s="51" t="n"/>
      <c r="MH22" s="51" t="n"/>
      <c r="MI22" s="51" t="n"/>
      <c r="MJ22" s="51" t="n"/>
      <c r="MK22" s="51" t="n"/>
      <c r="ML22" s="51" t="n"/>
      <c r="MM22" s="51" t="n"/>
      <c r="MN22" s="51" t="n"/>
      <c r="MO22" s="51" t="n"/>
      <c r="MP22" s="51" t="n"/>
      <c r="MQ22" s="51" t="n"/>
      <c r="MR22" s="51" t="n"/>
      <c r="MS22" s="51" t="n"/>
      <c r="MT22" s="51" t="n"/>
      <c r="MU22" s="51" t="n"/>
      <c r="MV22" s="51" t="n"/>
      <c r="MW22" s="51" t="n"/>
      <c r="MX22" s="51" t="n"/>
      <c r="MY22" s="51" t="n"/>
      <c r="MZ22" s="51" t="n"/>
      <c r="NA22" s="51" t="n"/>
      <c r="NB22" s="51" t="n"/>
      <c r="NC22" s="51" t="n"/>
      <c r="ND22" s="51" t="n"/>
      <c r="NE22" s="51" t="n"/>
      <c r="NF22" s="51" t="n"/>
      <c r="NG22" s="51" t="n"/>
      <c r="NH22" s="51" t="n"/>
      <c r="NI22" s="51" t="n"/>
      <c r="NJ22" s="51" t="n"/>
      <c r="NK22" s="51" t="n"/>
      <c r="NL22" s="51" t="n"/>
      <c r="NM22" s="51" t="n"/>
      <c r="NN22" s="51" t="n"/>
      <c r="NO22" s="51" t="n"/>
      <c r="NP22" s="51" t="n"/>
      <c r="NQ22" s="51" t="n"/>
      <c r="NR22" s="51" t="n"/>
      <c r="NS22" s="51" t="n"/>
      <c r="NT22" s="51" t="n"/>
      <c r="NU22" s="51" t="n"/>
      <c r="NV22" s="51" t="n"/>
      <c r="NW22" s="51" t="n"/>
      <c r="NX22" s="51" t="n"/>
      <c r="NY22" s="51" t="n"/>
      <c r="NZ22" s="51" t="n"/>
      <c r="OA22" s="51" t="n"/>
      <c r="OB22" s="51" t="n"/>
      <c r="OC22" s="51" t="n"/>
      <c r="OD22" s="51" t="n"/>
      <c r="OE22" s="51" t="n"/>
      <c r="OF22" s="51" t="n"/>
      <c r="OG22" s="51" t="n"/>
      <c r="OH22" s="51" t="n"/>
      <c r="OI22" s="51" t="n"/>
      <c r="OJ22" s="51" t="n"/>
      <c r="OK22" s="51" t="n"/>
      <c r="OL22" s="51" t="n"/>
      <c r="OM22" s="51" t="n"/>
      <c r="ON22" s="51" t="n"/>
      <c r="OO22" s="51" t="n"/>
      <c r="OP22" s="51" t="n"/>
      <c r="OQ22" s="51" t="n"/>
      <c r="OR22" s="51" t="n"/>
      <c r="OS22" s="51" t="n"/>
      <c r="OT22" s="51" t="n"/>
      <c r="OU22" s="51" t="n"/>
      <c r="OV22" s="51" t="n"/>
      <c r="OW22" s="51" t="n"/>
      <c r="OX22" s="51" t="n"/>
      <c r="OY22" s="51" t="n"/>
      <c r="OZ22" s="51" t="n"/>
      <c r="PA22" s="51" t="n"/>
      <c r="PB22" s="51" t="n"/>
      <c r="PC22" s="51" t="n"/>
      <c r="PD22" s="51" t="n"/>
      <c r="PE22" s="51" t="n"/>
      <c r="PF22" s="51" t="n"/>
      <c r="PG22" s="51" t="n"/>
      <c r="PH22" s="51" t="n"/>
      <c r="PI22" s="51" t="n"/>
      <c r="PJ22" s="51" t="n"/>
      <c r="PK22" s="51" t="n"/>
      <c r="PL22" s="51" t="n"/>
      <c r="PM22" s="51" t="n"/>
      <c r="PN22" s="51" t="n"/>
      <c r="PO22" s="51" t="n"/>
      <c r="PP22" s="51" t="n"/>
      <c r="PQ22" s="51" t="n"/>
      <c r="PR22" s="51" t="n"/>
      <c r="PS22" s="51" t="n"/>
      <c r="PT22" s="51" t="n"/>
      <c r="PU22" s="51" t="n"/>
      <c r="PV22" s="51" t="n"/>
      <c r="PW22" s="51" t="n"/>
      <c r="PX22" s="51" t="n"/>
      <c r="PY22" s="51" t="n"/>
      <c r="PZ22" s="51" t="n"/>
      <c r="QA22" s="51" t="n"/>
      <c r="QB22" s="51" t="n"/>
      <c r="QC22" s="51" t="n"/>
      <c r="QD22" s="51" t="n"/>
      <c r="QE22" s="51" t="n"/>
      <c r="QF22" s="51" t="n"/>
      <c r="QG22" s="51" t="n"/>
      <c r="QH22" s="51" t="n"/>
      <c r="QI22" s="51" t="n"/>
      <c r="QJ22" s="51" t="n"/>
      <c r="QK22" s="51" t="n"/>
      <c r="QL22" s="51" t="n"/>
      <c r="QM22" s="51" t="n"/>
      <c r="QN22" s="51" t="n"/>
      <c r="QO22" s="51" t="n"/>
      <c r="QP22" s="51" t="n"/>
      <c r="QQ22" s="51" t="n"/>
      <c r="QR22" s="51" t="n"/>
      <c r="QS22" s="51" t="n"/>
      <c r="QT22" s="51" t="n"/>
      <c r="QU22" s="51" t="n"/>
      <c r="QV22" s="51" t="n"/>
      <c r="QW22" s="51" t="n"/>
      <c r="QX22" s="51" t="n"/>
      <c r="QY22" s="51" t="n"/>
      <c r="QZ22" s="51" t="n"/>
      <c r="RA22" s="51" t="n"/>
      <c r="RB22" s="51" t="n"/>
      <c r="RC22" s="51" t="n"/>
      <c r="RD22" s="51" t="n"/>
      <c r="RE22" s="51" t="n"/>
      <c r="RF22" s="51" t="n"/>
      <c r="RG22" s="51" t="n"/>
      <c r="RH22" s="51" t="n"/>
      <c r="RI22" s="51" t="n"/>
      <c r="RJ22" s="51" t="n"/>
      <c r="RK22" s="51" t="n"/>
      <c r="RL22" s="51" t="n"/>
      <c r="RM22" s="51" t="n"/>
      <c r="RN22" s="51" t="n"/>
      <c r="RO22" s="51" t="n"/>
      <c r="RP22" s="51" t="n"/>
      <c r="RQ22" s="51" t="n"/>
      <c r="RR22" s="51" t="n"/>
      <c r="RS22" s="51" t="n"/>
      <c r="RT22" s="51" t="n"/>
      <c r="RU22" s="51" t="n"/>
      <c r="RV22" s="51" t="n"/>
      <c r="RW22" s="51" t="n"/>
      <c r="RX22" s="51" t="n"/>
      <c r="RY22" s="51" t="n"/>
      <c r="RZ22" s="51" t="n"/>
      <c r="SA22" s="51" t="n"/>
      <c r="SB22" s="51" t="n"/>
      <c r="SC22" s="51" t="n"/>
      <c r="SD22" s="51" t="n"/>
      <c r="SE22" s="51" t="n"/>
      <c r="SF22" s="51" t="n"/>
      <c r="SG22" s="51" t="n"/>
      <c r="SH22" s="51" t="n"/>
      <c r="SI22" s="51" t="n"/>
      <c r="SJ22" s="51" t="n"/>
      <c r="SK22" s="51" t="n"/>
      <c r="SL22" s="51" t="n"/>
      <c r="SM22" s="51" t="n"/>
      <c r="SN22" s="51" t="n"/>
      <c r="SO22" s="51" t="n"/>
      <c r="SP22" s="51" t="n"/>
      <c r="SQ22" s="51" t="n"/>
      <c r="SR22" s="51" t="n"/>
      <c r="SS22" s="51" t="n"/>
      <c r="ST22" s="51" t="n"/>
      <c r="SU22" s="51" t="n"/>
      <c r="SV22" s="51" t="n"/>
      <c r="SW22" s="51" t="n"/>
      <c r="SX22" s="51" t="n"/>
      <c r="SY22" s="51" t="n"/>
      <c r="SZ22" s="51" t="n"/>
      <c r="TA22" s="51" t="n"/>
      <c r="TB22" s="51" t="n"/>
      <c r="TC22" s="51" t="n"/>
      <c r="TD22" s="51" t="n"/>
      <c r="TE22" s="51" t="n"/>
      <c r="TF22" s="51" t="n"/>
      <c r="TG22" s="51" t="n"/>
      <c r="TH22" s="51" t="n"/>
      <c r="TI22" s="51" t="n"/>
      <c r="TJ22" s="51" t="n"/>
      <c r="TK22" s="51" t="n"/>
      <c r="TL22" s="51" t="n"/>
      <c r="TM22" s="51" t="n"/>
      <c r="TN22" s="51" t="n"/>
      <c r="TO22" s="51" t="n"/>
      <c r="TP22" s="51" t="n"/>
      <c r="TQ22" s="51" t="n"/>
      <c r="TR22" s="51" t="n"/>
      <c r="TS22" s="51" t="n"/>
      <c r="TT22" s="51" t="n"/>
      <c r="TU22" s="51" t="n"/>
      <c r="TV22" s="51" t="n"/>
      <c r="TW22" s="51" t="n"/>
      <c r="TX22" s="51" t="n"/>
      <c r="TY22" s="51" t="n"/>
      <c r="TZ22" s="51" t="n"/>
      <c r="UA22" s="51" t="n"/>
      <c r="UB22" s="51" t="n"/>
      <c r="UC22" s="51" t="n"/>
      <c r="UD22" s="51" t="n"/>
      <c r="UE22" s="51" t="n"/>
      <c r="UF22" s="51" t="n"/>
      <c r="UG22" s="51" t="n"/>
      <c r="UH22" s="51" t="n"/>
      <c r="UI22" s="51" t="n"/>
      <c r="UJ22" s="51" t="n"/>
      <c r="UK22" s="51" t="n"/>
      <c r="UL22" s="51" t="n"/>
      <c r="UM22" s="51" t="n"/>
      <c r="UN22" s="51" t="n"/>
      <c r="UO22" s="51" t="n"/>
      <c r="UP22" s="51" t="n"/>
      <c r="UQ22" s="51" t="n"/>
      <c r="UR22" s="51" t="n"/>
      <c r="US22" s="51" t="n"/>
      <c r="UT22" s="51" t="n"/>
      <c r="UU22" s="51" t="n"/>
      <c r="UV22" s="51" t="n"/>
      <c r="UW22" s="51" t="n"/>
      <c r="UX22" s="51" t="n"/>
      <c r="UY22" s="51" t="n"/>
      <c r="UZ22" s="51" t="n"/>
      <c r="VA22" s="51" t="n"/>
      <c r="VB22" s="51" t="n"/>
      <c r="VC22" s="51" t="n"/>
      <c r="VD22" s="51" t="n"/>
      <c r="VE22" s="51" t="n"/>
      <c r="VF22" s="51" t="n"/>
      <c r="VG22" s="51" t="n"/>
      <c r="VH22" s="51" t="n"/>
      <c r="VI22" s="51" t="n"/>
      <c r="VJ22" s="51" t="n"/>
      <c r="VK22" s="51" t="n"/>
      <c r="VL22" s="51" t="n"/>
      <c r="VM22" s="51" t="n"/>
      <c r="VN22" s="51" t="n"/>
      <c r="VO22" s="51" t="n"/>
      <c r="VP22" s="51" t="n"/>
      <c r="VQ22" s="51" t="n"/>
      <c r="VR22" s="51" t="n"/>
      <c r="VS22" s="51" t="n"/>
      <c r="VT22" s="51" t="n"/>
      <c r="VU22" s="51" t="n"/>
      <c r="VV22" s="51" t="n"/>
      <c r="VW22" s="51" t="n"/>
      <c r="VX22" s="51" t="n"/>
      <c r="VY22" s="51" t="n"/>
      <c r="VZ22" s="51" t="n"/>
      <c r="WA22" s="51" t="n"/>
      <c r="WB22" s="51" t="n"/>
      <c r="WC22" s="51" t="n"/>
      <c r="WD22" s="51" t="n"/>
      <c r="WE22" s="51" t="n"/>
      <c r="WF22" s="51" t="n"/>
      <c r="WG22" s="51" t="n"/>
      <c r="WH22" s="51" t="n"/>
      <c r="WI22" s="51" t="n"/>
      <c r="WJ22" s="51" t="n"/>
      <c r="WK22" s="51" t="n"/>
      <c r="WL22" s="51" t="n"/>
      <c r="WM22" s="51" t="n"/>
      <c r="WN22" s="51" t="n"/>
      <c r="WO22" s="51" t="n"/>
      <c r="WP22" s="51" t="n"/>
      <c r="WQ22" s="51" t="n"/>
      <c r="WR22" s="51" t="n"/>
      <c r="WS22" s="51" t="n"/>
      <c r="WT22" s="51" t="n"/>
      <c r="WU22" s="51" t="n"/>
      <c r="WV22" s="51" t="n"/>
      <c r="WW22" s="51" t="n"/>
      <c r="WX22" s="51" t="n"/>
      <c r="WY22" s="51" t="n"/>
      <c r="WZ22" s="51" t="n"/>
      <c r="XA22" s="51" t="n"/>
      <c r="XB22" s="51" t="n"/>
      <c r="XC22" s="51" t="n"/>
      <c r="XD22" s="51" t="n"/>
      <c r="XE22" s="51" t="n"/>
      <c r="XF22" s="51" t="n"/>
      <c r="XG22" s="51" t="n"/>
      <c r="XH22" s="51" t="n"/>
      <c r="XI22" s="51" t="n"/>
      <c r="XJ22" s="51" t="n"/>
      <c r="XK22" s="51" t="n"/>
      <c r="XL22" s="51" t="n"/>
      <c r="XM22" s="51" t="n"/>
      <c r="XN22" s="51" t="n"/>
      <c r="XO22" s="51" t="n"/>
      <c r="XP22" s="51" t="n"/>
      <c r="XQ22" s="51" t="n"/>
      <c r="XR22" s="51" t="n"/>
      <c r="XS22" s="51" t="n"/>
      <c r="XT22" s="51" t="n"/>
      <c r="XU22" s="51" t="n"/>
      <c r="XV22" s="51" t="n"/>
      <c r="XW22" s="51" t="n"/>
      <c r="XX22" s="51" t="n"/>
      <c r="XY22" s="51" t="n"/>
      <c r="XZ22" s="51" t="n"/>
      <c r="YA22" s="51" t="n"/>
      <c r="YB22" s="51" t="n"/>
      <c r="YC22" s="51" t="n"/>
      <c r="YD22" s="51" t="n"/>
      <c r="YE22" s="51" t="n"/>
      <c r="YF22" s="51" t="n"/>
      <c r="YG22" s="51" t="n"/>
      <c r="YH22" s="51" t="n"/>
      <c r="YI22" s="51" t="n"/>
      <c r="YJ22" s="51" t="n"/>
      <c r="YK22" s="51" t="n"/>
      <c r="YL22" s="51" t="n"/>
      <c r="YM22" s="51" t="n"/>
      <c r="YN22" s="51" t="n"/>
      <c r="YO22" s="51" t="n"/>
      <c r="YP22" s="51" t="n"/>
      <c r="YQ22" s="51" t="n"/>
      <c r="YR22" s="51" t="n"/>
      <c r="YS22" s="51" t="n"/>
      <c r="YT22" s="51" t="n"/>
      <c r="YU22" s="51" t="n"/>
      <c r="YV22" s="51" t="n"/>
      <c r="YW22" s="51" t="n"/>
      <c r="YX22" s="51" t="n"/>
      <c r="YY22" s="51" t="n"/>
      <c r="YZ22" s="51" t="n"/>
      <c r="ZA22" s="51" t="n"/>
      <c r="ZB22" s="51" t="n"/>
      <c r="ZC22" s="51" t="n"/>
      <c r="ZD22" s="51" t="n"/>
      <c r="ZE22" s="51" t="n"/>
      <c r="ZF22" s="51" t="n"/>
      <c r="ZG22" s="51" t="n"/>
      <c r="ZH22" s="51" t="n"/>
      <c r="ZI22" s="51" t="n"/>
      <c r="ZJ22" s="51" t="n"/>
      <c r="ZK22" s="51" t="n"/>
      <c r="ZL22" s="51" t="n"/>
      <c r="ZM22" s="51" t="n"/>
      <c r="ZN22" s="51" t="n"/>
      <c r="ZO22" s="51" t="n"/>
      <c r="ZP22" s="51" t="n"/>
      <c r="ZQ22" s="51" t="n"/>
      <c r="ZR22" s="51" t="n"/>
      <c r="ZS22" s="51" t="n"/>
      <c r="ZT22" s="51" t="n"/>
      <c r="ZU22" s="51" t="n"/>
      <c r="ZV22" s="51" t="n"/>
      <c r="ZW22" s="51" t="n"/>
      <c r="ZX22" s="51" t="n"/>
      <c r="ZY22" s="51" t="n"/>
      <c r="ZZ22" s="51" t="n"/>
      <c r="AAA22" s="51" t="n"/>
      <c r="AAB22" s="51" t="n"/>
      <c r="AAC22" s="51" t="n"/>
      <c r="AAD22" s="51" t="n"/>
      <c r="AAE22" s="51" t="n"/>
      <c r="AAF22" s="51" t="n"/>
      <c r="AAG22" s="51" t="n"/>
      <c r="AAH22" s="51" t="n"/>
      <c r="AAI22" s="51" t="n"/>
      <c r="AAJ22" s="51" t="n"/>
      <c r="AAK22" s="51" t="n"/>
      <c r="AAL22" s="51" t="n"/>
      <c r="AAM22" s="51" t="n"/>
      <c r="AAN22" s="51" t="n"/>
      <c r="AAO22" s="51" t="n"/>
      <c r="AAP22" s="51" t="n"/>
      <c r="AAQ22" s="51" t="n"/>
      <c r="AAR22" s="51" t="n"/>
      <c r="AAS22" s="51" t="n"/>
      <c r="AAT22" s="51" t="n"/>
      <c r="AAU22" s="51" t="n"/>
      <c r="AAV22" s="51" t="n"/>
      <c r="AAW22" s="51" t="n"/>
      <c r="AAX22" s="51" t="n"/>
      <c r="AAY22" s="51" t="n"/>
      <c r="AAZ22" s="51" t="n"/>
      <c r="ABA22" s="51" t="n"/>
      <c r="ABB22" s="51" t="n"/>
      <c r="ABC22" s="51" t="n"/>
      <c r="ABD22" s="51" t="n"/>
      <c r="ABE22" s="51" t="n"/>
      <c r="ABF22" s="51" t="n"/>
      <c r="ABG22" s="51" t="n"/>
      <c r="ABH22" s="51" t="n"/>
      <c r="ABI22" s="51" t="n"/>
      <c r="ABJ22" s="51" t="n"/>
      <c r="ABK22" s="51" t="n"/>
      <c r="ABL22" s="51" t="n"/>
      <c r="ABM22" s="51" t="n"/>
      <c r="ABN22" s="51" t="n"/>
      <c r="ABO22" s="51" t="n"/>
      <c r="ABP22" s="51" t="n"/>
      <c r="ABQ22" s="51" t="n"/>
      <c r="ABR22" s="51" t="n"/>
      <c r="ABS22" s="51" t="n"/>
      <c r="ABT22" s="51" t="n"/>
      <c r="ABU22" s="51" t="n"/>
      <c r="ABV22" s="51" t="n"/>
      <c r="ABW22" s="51" t="n"/>
      <c r="ABX22" s="51" t="n"/>
      <c r="ABY22" s="51" t="n"/>
      <c r="ABZ22" s="51" t="n"/>
      <c r="ACA22" s="51" t="n"/>
      <c r="ACB22" s="51" t="n"/>
      <c r="ACC22" s="51" t="n"/>
      <c r="ACD22" s="51" t="n"/>
      <c r="ACE22" s="51" t="n"/>
      <c r="ACF22" s="51" t="n"/>
      <c r="ACG22" s="51" t="n"/>
      <c r="ACH22" s="51" t="n"/>
      <c r="ACI22" s="51" t="n"/>
      <c r="ACJ22" s="51" t="n"/>
      <c r="ACK22" s="51" t="n"/>
      <c r="ACL22" s="51" t="n"/>
      <c r="ACM22" s="51" t="n"/>
      <c r="ACN22" s="51" t="n"/>
      <c r="ACO22" s="51" t="n"/>
      <c r="ACP22" s="51" t="n"/>
      <c r="ACQ22" s="51" t="n"/>
      <c r="ACR22" s="51" t="n"/>
      <c r="ACS22" s="51" t="n"/>
      <c r="ACT22" s="51" t="n"/>
      <c r="ACU22" s="51" t="n"/>
      <c r="ACV22" s="51" t="n"/>
      <c r="ACW22" s="51" t="n"/>
      <c r="ACX22" s="51" t="n"/>
      <c r="ACY22" s="51" t="n"/>
      <c r="ACZ22" s="51" t="n"/>
      <c r="ADA22" s="51" t="n"/>
      <c r="ADB22" s="51" t="n"/>
      <c r="ADC22" s="51" t="n"/>
      <c r="ADD22" s="51" t="n"/>
      <c r="ADE22" s="51" t="n"/>
      <c r="ADF22" s="51" t="n"/>
      <c r="ADG22" s="51" t="n"/>
      <c r="ADH22" s="51" t="n"/>
      <c r="ADI22" s="51" t="n"/>
      <c r="ADJ22" s="51" t="n"/>
      <c r="ADK22" s="51" t="n"/>
      <c r="ADL22" s="51" t="n"/>
      <c r="ADM22" s="51" t="n"/>
      <c r="ADN22" s="51" t="n"/>
      <c r="ADO22" s="51" t="n"/>
      <c r="ADP22" s="51" t="n"/>
      <c r="ADQ22" s="51" t="n"/>
      <c r="ADR22" s="51" t="n"/>
      <c r="ADS22" s="51" t="n"/>
      <c r="ADT22" s="51" t="n"/>
      <c r="ADU22" s="51" t="n"/>
      <c r="ADV22" s="51" t="n"/>
      <c r="ADW22" s="51" t="n"/>
      <c r="ADX22" s="51" t="n"/>
      <c r="ADY22" s="51" t="n"/>
      <c r="ADZ22" s="51" t="n"/>
      <c r="AEA22" s="51" t="n"/>
      <c r="AEB22" s="51" t="n"/>
      <c r="AEC22" s="51" t="n"/>
      <c r="AED22" s="51" t="n"/>
      <c r="AEE22" s="51" t="n"/>
      <c r="AEF22" s="51" t="n"/>
      <c r="AEG22" s="51" t="n"/>
      <c r="AEH22" s="51" t="n"/>
      <c r="AEI22" s="51" t="n"/>
      <c r="AEJ22" s="51" t="n"/>
      <c r="AEK22" s="51" t="n"/>
      <c r="AEL22" s="51" t="n"/>
      <c r="AEM22" s="51" t="n"/>
      <c r="AEN22" s="51" t="n"/>
      <c r="AEO22" s="51" t="n"/>
      <c r="AEP22" s="51" t="n"/>
      <c r="AEQ22" s="51" t="n"/>
      <c r="AER22" s="51" t="n"/>
      <c r="AES22" s="51" t="n"/>
      <c r="AET22" s="51" t="n"/>
      <c r="AEU22" s="51" t="n"/>
      <c r="AEV22" s="51" t="n"/>
      <c r="AEW22" s="51" t="n"/>
      <c r="AEX22" s="51" t="n"/>
      <c r="AEY22" s="51" t="n"/>
      <c r="AEZ22" s="51" t="n"/>
      <c r="AFA22" s="51" t="n"/>
      <c r="AFB22" s="51" t="n"/>
      <c r="AFC22" s="51" t="n"/>
      <c r="AFD22" s="51" t="n"/>
      <c r="AFE22" s="51" t="n"/>
      <c r="AFF22" s="51" t="n"/>
      <c r="AFG22" s="51" t="n"/>
      <c r="AFH22" s="51" t="n"/>
      <c r="AFI22" s="51" t="n"/>
      <c r="AFJ22" s="51" t="n"/>
      <c r="AFK22" s="51" t="n"/>
      <c r="AFL22" s="51" t="n"/>
      <c r="AFM22" s="51" t="n"/>
      <c r="AFN22" s="51" t="n"/>
      <c r="AFO22" s="51" t="n"/>
      <c r="AFP22" s="51" t="n"/>
      <c r="AFQ22" s="51" t="n"/>
      <c r="AFR22" s="51" t="n"/>
      <c r="AFS22" s="51" t="n"/>
      <c r="AFT22" s="51" t="n"/>
      <c r="AFU22" s="51" t="n"/>
      <c r="AFV22" s="51" t="n"/>
      <c r="AFW22" s="51" t="n"/>
      <c r="AFX22" s="51" t="n"/>
      <c r="AFY22" s="51" t="n"/>
      <c r="AFZ22" s="51" t="n"/>
      <c r="AGA22" s="51" t="n"/>
      <c r="AGB22" s="51" t="n"/>
      <c r="AGC22" s="51" t="n"/>
      <c r="AGD22" s="51" t="n"/>
      <c r="AGE22" s="51" t="n"/>
      <c r="AGF22" s="51" t="n"/>
      <c r="AGG22" s="51" t="n"/>
      <c r="AGH22" s="51" t="n"/>
      <c r="AGI22" s="51" t="n"/>
      <c r="AGJ22" s="51" t="n"/>
      <c r="AGK22" s="51" t="n"/>
      <c r="AGL22" s="51" t="n"/>
      <c r="AGM22" s="51" t="n"/>
      <c r="AGN22" s="51" t="n"/>
      <c r="AGO22" s="51" t="n"/>
      <c r="AGP22" s="51" t="n"/>
      <c r="AGQ22" s="51" t="n"/>
      <c r="AGR22" s="51" t="n"/>
      <c r="AGS22" s="51" t="n"/>
      <c r="AGT22" s="51" t="n"/>
      <c r="AGU22" s="51" t="n"/>
      <c r="AGV22" s="51" t="n"/>
      <c r="AGW22" s="51" t="n"/>
      <c r="AGX22" s="51" t="n"/>
      <c r="AGY22" s="51" t="n"/>
      <c r="AGZ22" s="51" t="n"/>
      <c r="AHA22" s="51" t="n"/>
      <c r="AHB22" s="51" t="n"/>
      <c r="AHC22" s="51" t="n"/>
      <c r="AHD22" s="51" t="n"/>
      <c r="AHE22" s="51" t="n"/>
      <c r="AHF22" s="51" t="n"/>
      <c r="AHG22" s="51" t="n"/>
      <c r="AHH22" s="51" t="n"/>
      <c r="AHI22" s="51" t="n"/>
      <c r="AHJ22" s="51" t="n"/>
      <c r="AHK22" s="51" t="n"/>
      <c r="AHL22" s="51" t="n"/>
      <c r="AHM22" s="51" t="n"/>
      <c r="AHN22" s="51" t="n"/>
      <c r="AHO22" s="51" t="n"/>
      <c r="AHP22" s="51" t="n"/>
      <c r="AHQ22" s="51" t="n"/>
      <c r="AHR22" s="51" t="n"/>
      <c r="AHS22" s="51" t="n"/>
      <c r="AHT22" s="51" t="n"/>
      <c r="AHU22" s="51" t="n"/>
      <c r="AHV22" s="51" t="n"/>
      <c r="AHW22" s="51" t="n"/>
      <c r="AHX22" s="51" t="n"/>
      <c r="AHY22" s="51" t="n"/>
      <c r="AHZ22" s="51" t="n"/>
      <c r="AIA22" s="51" t="n"/>
      <c r="AIB22" s="51" t="n"/>
      <c r="AIC22" s="51" t="n"/>
      <c r="AID22" s="51" t="n"/>
      <c r="AIE22" s="51" t="n"/>
      <c r="AIF22" s="51" t="n"/>
      <c r="AIG22" s="51" t="n"/>
      <c r="AIH22" s="51" t="n"/>
      <c r="AII22" s="51" t="n"/>
      <c r="AIJ22" s="51" t="n"/>
      <c r="AIK22" s="51" t="n"/>
      <c r="AIL22" s="51" t="n"/>
      <c r="AIM22" s="51" t="n"/>
      <c r="AIN22" s="51" t="n"/>
      <c r="AIO22" s="51" t="n"/>
      <c r="AIP22" s="51" t="n"/>
      <c r="AIQ22" s="51" t="n"/>
      <c r="AIR22" s="51" t="n"/>
      <c r="AIS22" s="51" t="n"/>
      <c r="AIT22" s="51" t="n"/>
      <c r="AIU22" s="51" t="n"/>
      <c r="AIV22" s="51" t="n"/>
      <c r="AIW22" s="51" t="n"/>
      <c r="AIX22" s="51" t="n"/>
      <c r="AIY22" s="51" t="n"/>
      <c r="AIZ22" s="51" t="n"/>
      <c r="AJA22" s="51" t="n"/>
      <c r="AJB22" s="51" t="n"/>
      <c r="AJC22" s="51" t="n"/>
      <c r="AJD22" s="51" t="n"/>
      <c r="AJE22" s="51" t="n"/>
      <c r="AJF22" s="51" t="n"/>
      <c r="AJG22" s="51" t="n"/>
      <c r="AJH22" s="51" t="n"/>
      <c r="AJI22" s="51" t="n"/>
      <c r="AJJ22" s="51" t="n"/>
      <c r="AJK22" s="51" t="n"/>
      <c r="AJL22" s="51" t="n"/>
      <c r="AJM22" s="51" t="n"/>
      <c r="AJN22" s="51" t="n"/>
      <c r="AJO22" s="51" t="n"/>
      <c r="AJP22" s="51" t="n"/>
      <c r="AJQ22" s="51" t="n"/>
      <c r="AJR22" s="51" t="n"/>
      <c r="AJS22" s="51" t="n"/>
      <c r="AJT22" s="51" t="n"/>
      <c r="AJU22" s="51" t="n"/>
      <c r="AJV22" s="51" t="n"/>
      <c r="AJW22" s="51" t="n"/>
      <c r="AJX22" s="51" t="n"/>
      <c r="AJY22" s="51" t="n"/>
      <c r="AJZ22" s="51" t="n"/>
      <c r="AKA22" s="51" t="n"/>
      <c r="AKB22" s="51" t="n"/>
      <c r="AKC22" s="51" t="n"/>
      <c r="AKD22" s="51" t="n"/>
      <c r="AKE22" s="51" t="n"/>
      <c r="AKF22" s="51" t="n"/>
      <c r="AKG22" s="51" t="n"/>
      <c r="AKH22" s="51" t="n"/>
      <c r="AKI22" s="51" t="n"/>
      <c r="AKJ22" s="51" t="n"/>
      <c r="AKK22" s="51" t="n"/>
      <c r="AKL22" s="51" t="n"/>
      <c r="AKM22" s="51" t="n"/>
      <c r="AKN22" s="51" t="n"/>
      <c r="AKO22" s="51" t="n"/>
      <c r="AKP22" s="51" t="n"/>
      <c r="AKQ22" s="51" t="n"/>
      <c r="AKR22" s="51" t="n"/>
      <c r="AKS22" s="51" t="n"/>
      <c r="AKT22" s="51" t="n"/>
      <c r="AKU22" s="51" t="n"/>
      <c r="AKV22" s="51" t="n"/>
      <c r="AKW22" s="51" t="n"/>
      <c r="AKX22" s="51" t="n"/>
      <c r="AKY22" s="51" t="n"/>
      <c r="AKZ22" s="51" t="n"/>
      <c r="ALA22" s="51" t="n"/>
      <c r="ALB22" s="51" t="n"/>
      <c r="ALC22" s="51" t="n"/>
      <c r="ALD22" s="51" t="n"/>
      <c r="ALE22" s="51" t="n"/>
      <c r="ALF22" s="51" t="n"/>
      <c r="ALG22" s="51" t="n"/>
      <c r="ALH22" s="51" t="n"/>
      <c r="ALI22" s="51" t="n"/>
      <c r="ALJ22" s="51" t="n"/>
      <c r="ALK22" s="51" t="n"/>
      <c r="ALL22" s="51" t="n"/>
      <c r="ALM22" s="51" t="n"/>
      <c r="ALN22" s="51" t="n"/>
      <c r="ALO22" s="51" t="n"/>
      <c r="ALP22" s="51" t="n"/>
      <c r="ALQ22" s="51" t="n"/>
      <c r="ALR22" s="51" t="n"/>
      <c r="ALS22" s="51" t="n"/>
      <c r="ALT22" s="51" t="n"/>
      <c r="ALU22" s="51" t="n"/>
      <c r="ALV22" s="51" t="n"/>
      <c r="ALW22" s="51" t="n"/>
      <c r="ALX22" s="51" t="n"/>
      <c r="ALY22" s="51" t="n"/>
      <c r="ALZ22" s="51" t="n"/>
      <c r="AMA22" s="51" t="n"/>
      <c r="AMB22" s="51" t="n"/>
      <c r="AMC22" s="51" t="n"/>
      <c r="AMD22" s="51" t="n"/>
      <c r="AME22" s="51" t="n"/>
      <c r="AMF22" s="51" t="n"/>
      <c r="AMG22" s="51" t="n"/>
      <c r="AMH22" s="51" t="n"/>
      <c r="AMI22" s="51" t="n"/>
      <c r="AMJ22" s="51" t="n"/>
      <c r="AMK22" s="51" t="n"/>
      <c r="AML22" s="51" t="n"/>
      <c r="AMM22" s="51" t="n"/>
      <c r="AMN22" s="51" t="n"/>
      <c r="AMO22" s="51" t="n"/>
      <c r="AMP22" s="51" t="n"/>
      <c r="AMQ22" s="51" t="n"/>
      <c r="AMR22" s="51" t="n"/>
      <c r="AMS22" s="51" t="n"/>
      <c r="AMT22" s="51" t="n"/>
      <c r="AMU22" s="51" t="n"/>
      <c r="AMV22" s="51" t="n"/>
      <c r="AMW22" s="51" t="n"/>
      <c r="AMX22" s="51" t="n"/>
      <c r="AMY22" s="51" t="n"/>
      <c r="AMZ22" s="51" t="n"/>
      <c r="ANA22" s="51" t="n"/>
      <c r="ANB22" s="51" t="n"/>
      <c r="ANC22" s="51" t="n"/>
      <c r="AND22" s="51" t="n"/>
      <c r="ANE22" s="51" t="n"/>
      <c r="ANF22" s="51" t="n"/>
      <c r="ANG22" s="51" t="n"/>
      <c r="ANH22" s="51" t="n"/>
      <c r="ANI22" s="51" t="n"/>
      <c r="ANJ22" s="51" t="n"/>
      <c r="ANK22" s="51" t="n"/>
      <c r="ANL22" s="51" t="n"/>
      <c r="ANM22" s="51" t="n"/>
      <c r="ANN22" s="51" t="n"/>
      <c r="ANO22" s="51" t="n"/>
      <c r="ANP22" s="51" t="n"/>
      <c r="ANQ22" s="51" t="n"/>
      <c r="ANR22" s="51" t="n"/>
      <c r="ANS22" s="51" t="n"/>
      <c r="ANT22" s="51" t="n"/>
      <c r="ANU22" s="51" t="n"/>
      <c r="ANV22" s="51" t="n"/>
      <c r="ANW22" s="51" t="n"/>
      <c r="ANX22" s="51" t="n"/>
      <c r="ANY22" s="51" t="n"/>
      <c r="ANZ22" s="51" t="n"/>
      <c r="AOA22" s="51" t="n"/>
      <c r="AOB22" s="51" t="n"/>
      <c r="AOC22" s="51" t="n"/>
      <c r="AOD22" s="51" t="n"/>
      <c r="AOE22" s="51" t="n"/>
      <c r="AOF22" s="51" t="n"/>
      <c r="AOG22" s="51" t="n"/>
      <c r="AOH22" s="51" t="n"/>
      <c r="AOI22" s="51" t="n"/>
      <c r="AOJ22" s="51" t="n"/>
      <c r="AOK22" s="51" t="n"/>
      <c r="AOL22" s="51" t="n"/>
      <c r="AOM22" s="51" t="n"/>
      <c r="AON22" s="51" t="n"/>
      <c r="AOO22" s="51" t="n"/>
      <c r="AOP22" s="51" t="n"/>
      <c r="AOQ22" s="51" t="n"/>
      <c r="AOR22" s="51" t="n"/>
      <c r="AOS22" s="51" t="n"/>
      <c r="AOT22" s="51" t="n"/>
      <c r="AOU22" s="51" t="n"/>
      <c r="AOV22" s="51" t="n"/>
      <c r="AOW22" s="51" t="n"/>
      <c r="AOX22" s="51" t="n"/>
      <c r="AOY22" s="51" t="n"/>
      <c r="AOZ22" s="51" t="n"/>
      <c r="APA22" s="51" t="n"/>
      <c r="APB22" s="51" t="n"/>
      <c r="APC22" s="51" t="n"/>
      <c r="APD22" s="51" t="n"/>
      <c r="APE22" s="51" t="n"/>
      <c r="APF22" s="51" t="n"/>
      <c r="APG22" s="51" t="n"/>
      <c r="APH22" s="51" t="n"/>
      <c r="API22" s="51" t="n"/>
      <c r="APJ22" s="51" t="n"/>
      <c r="APK22" s="51" t="n"/>
      <c r="APL22" s="51" t="n"/>
      <c r="APM22" s="51" t="n"/>
      <c r="APN22" s="51" t="n"/>
      <c r="APO22" s="51" t="n"/>
      <c r="APP22" s="51" t="n"/>
      <c r="APQ22" s="51" t="n"/>
      <c r="APR22" s="51" t="n"/>
      <c r="APS22" s="51" t="n"/>
      <c r="APT22" s="51" t="n"/>
      <c r="APU22" s="51" t="n"/>
      <c r="APV22" s="51" t="n"/>
      <c r="APW22" s="51" t="n"/>
      <c r="APX22" s="51" t="n"/>
      <c r="APY22" s="51" t="n"/>
      <c r="APZ22" s="51" t="n"/>
      <c r="AQA22" s="51" t="n"/>
      <c r="AQB22" s="51" t="n"/>
      <c r="AQC22" s="51" t="n"/>
      <c r="AQD22" s="51" t="n"/>
      <c r="AQE22" s="51" t="n"/>
      <c r="AQF22" s="51" t="n"/>
      <c r="AQG22" s="51" t="n"/>
      <c r="AQH22" s="51" t="n"/>
      <c r="AQI22" s="51" t="n"/>
      <c r="AQJ22" s="51" t="n"/>
      <c r="AQK22" s="51" t="n"/>
      <c r="AQL22" s="51" t="n"/>
      <c r="AQM22" s="51" t="n"/>
      <c r="AQN22" s="51" t="n"/>
      <c r="AQO22" s="51" t="n"/>
      <c r="AQP22" s="51" t="n"/>
      <c r="AQQ22" s="51" t="n"/>
      <c r="AQR22" s="51" t="n"/>
      <c r="AQS22" s="51" t="n"/>
      <c r="AQT22" s="51" t="n"/>
      <c r="AQU22" s="51" t="n"/>
      <c r="AQV22" s="51" t="n"/>
      <c r="AQW22" s="51" t="n"/>
      <c r="AQX22" s="51" t="n"/>
      <c r="AQY22" s="51" t="n"/>
      <c r="AQZ22" s="51" t="n"/>
      <c r="ARA22" s="51" t="n"/>
      <c r="ARB22" s="51" t="n"/>
      <c r="ARC22" s="51" t="n"/>
      <c r="ARD22" s="51" t="n"/>
      <c r="ARE22" s="51" t="n"/>
      <c r="ARF22" s="51" t="n"/>
      <c r="ARG22" s="51" t="n"/>
      <c r="ARH22" s="51" t="n"/>
      <c r="ARI22" s="51" t="n"/>
      <c r="ARJ22" s="51" t="n"/>
      <c r="ARK22" s="51" t="n"/>
      <c r="ARL22" s="51" t="n"/>
      <c r="ARM22" s="51" t="n"/>
      <c r="ARN22" s="51" t="n"/>
      <c r="ARO22" s="51" t="n"/>
      <c r="ARP22" s="51" t="n"/>
      <c r="ARQ22" s="51" t="n"/>
      <c r="ARR22" s="51" t="n"/>
      <c r="ARS22" s="51" t="n"/>
      <c r="ART22" s="51" t="n"/>
      <c r="ARU22" s="51" t="n"/>
      <c r="ARV22" s="51" t="n"/>
      <c r="ARW22" s="51" t="n"/>
      <c r="ARX22" s="51" t="n"/>
      <c r="ARY22" s="51" t="n"/>
      <c r="ARZ22" s="51" t="n"/>
      <c r="ASA22" s="51" t="n"/>
      <c r="ASB22" s="51" t="n"/>
      <c r="ASC22" s="51" t="n"/>
      <c r="ASD22" s="51" t="n"/>
      <c r="ASE22" s="51" t="n"/>
      <c r="ASF22" s="51" t="n"/>
      <c r="ASG22" s="51" t="n"/>
      <c r="ASH22" s="51" t="n"/>
      <c r="ASI22" s="51" t="n"/>
      <c r="ASJ22" s="51" t="n"/>
      <c r="ASK22" s="51" t="n"/>
      <c r="ASL22" s="51" t="n"/>
      <c r="ASM22" s="51" t="n"/>
      <c r="ASN22" s="51" t="n"/>
      <c r="ASO22" s="51" t="n"/>
      <c r="ASP22" s="51" t="n"/>
      <c r="ASQ22" s="51" t="n"/>
      <c r="ASR22" s="51" t="n"/>
      <c r="ASS22" s="51" t="n"/>
      <c r="AST22" s="51" t="n"/>
      <c r="ASU22" s="51" t="n"/>
      <c r="ASV22" s="51" t="n"/>
      <c r="ASW22" s="51" t="n"/>
      <c r="ASX22" s="51" t="n"/>
      <c r="ASY22" s="51" t="n"/>
      <c r="ASZ22" s="51" t="n"/>
      <c r="ATA22" s="51" t="n"/>
      <c r="ATB22" s="51" t="n"/>
      <c r="ATC22" s="51" t="n"/>
      <c r="ATD22" s="51" t="n"/>
      <c r="ATE22" s="51" t="n"/>
      <c r="ATF22" s="51" t="n"/>
      <c r="ATG22" s="51" t="n"/>
      <c r="ATH22" s="51" t="n"/>
      <c r="ATI22" s="51" t="n"/>
      <c r="ATJ22" s="51" t="n"/>
      <c r="ATK22" s="51" t="n"/>
      <c r="ATL22" s="51" t="n"/>
      <c r="ATM22" s="51" t="n"/>
      <c r="ATN22" s="51" t="n"/>
      <c r="ATO22" s="51" t="n"/>
      <c r="ATP22" s="51" t="n"/>
      <c r="ATQ22" s="51" t="n"/>
      <c r="ATR22" s="51" t="n"/>
      <c r="ATS22" s="51" t="n"/>
      <c r="ATT22" s="51" t="n"/>
      <c r="ATU22" s="51" t="n"/>
      <c r="ATV22" s="51" t="n"/>
      <c r="ATW22" s="51" t="n"/>
      <c r="ATX22" s="51" t="n"/>
      <c r="ATY22" s="51" t="n"/>
      <c r="ATZ22" s="51" t="n"/>
      <c r="AUA22" s="51" t="n"/>
      <c r="AUB22" s="51" t="n"/>
      <c r="AUC22" s="51" t="n"/>
      <c r="AUD22" s="51" t="n"/>
      <c r="AUE22" s="51" t="n"/>
      <c r="AUF22" s="51" t="n"/>
      <c r="AUG22" s="51" t="n"/>
      <c r="AUH22" s="51" t="n"/>
      <c r="AUI22" s="51" t="n"/>
      <c r="AUJ22" s="51" t="n"/>
      <c r="AUK22" s="51" t="n"/>
      <c r="AUL22" s="51" t="n"/>
      <c r="AUM22" s="51" t="n"/>
      <c r="AUN22" s="51" t="n"/>
      <c r="AUO22" s="51" t="n"/>
      <c r="AUP22" s="51" t="n"/>
      <c r="AUQ22" s="51" t="n"/>
      <c r="AUR22" s="51" t="n"/>
      <c r="AUS22" s="51" t="n"/>
      <c r="AUT22" s="51" t="n"/>
      <c r="AUU22" s="51" t="n"/>
      <c r="AUV22" s="51" t="n"/>
      <c r="AUW22" s="51" t="n"/>
      <c r="AUX22" s="51" t="n"/>
      <c r="AUY22" s="51" t="n"/>
      <c r="AUZ22" s="51" t="n"/>
      <c r="AVA22" s="51" t="n"/>
      <c r="AVB22" s="51" t="n"/>
      <c r="AVC22" s="51" t="n"/>
      <c r="AVD22" s="51" t="n"/>
      <c r="AVE22" s="51" t="n"/>
      <c r="AVF22" s="51" t="n"/>
      <c r="AVG22" s="51" t="n"/>
      <c r="AVH22" s="51" t="n"/>
      <c r="AVI22" s="51" t="n"/>
      <c r="AVJ22" s="51" t="n"/>
      <c r="AVK22" s="51" t="n"/>
      <c r="AVL22" s="51" t="n"/>
      <c r="AVM22" s="51" t="n"/>
      <c r="AVN22" s="51" t="n"/>
      <c r="AVO22" s="51" t="n"/>
      <c r="AVP22" s="51" t="n"/>
      <c r="AVQ22" s="51" t="n"/>
      <c r="AVR22" s="51" t="n"/>
      <c r="AVS22" s="51" t="n"/>
      <c r="AVT22" s="51" t="n"/>
      <c r="AVU22" s="51" t="n"/>
      <c r="AVV22" s="51" t="n"/>
      <c r="AVW22" s="51" t="n"/>
      <c r="AVX22" s="51" t="n"/>
      <c r="AVY22" s="51" t="n"/>
      <c r="AVZ22" s="51" t="n"/>
      <c r="AWA22" s="51" t="n"/>
      <c r="AWB22" s="51" t="n"/>
      <c r="AWC22" s="51" t="n"/>
      <c r="AWD22" s="51" t="n"/>
      <c r="AWE22" s="51" t="n"/>
      <c r="AWF22" s="51" t="n"/>
      <c r="AWG22" s="51" t="n"/>
      <c r="AWH22" s="51" t="n"/>
      <c r="AWI22" s="51" t="n"/>
      <c r="AWJ22" s="51" t="n"/>
      <c r="AWK22" s="51" t="n"/>
      <c r="AWL22" s="51" t="n"/>
      <c r="AWM22" s="51" t="n"/>
      <c r="AWN22" s="51" t="n"/>
      <c r="AWO22" s="51" t="n"/>
      <c r="AWP22" s="51" t="n"/>
      <c r="AWQ22" s="51" t="n"/>
      <c r="AWR22" s="51" t="n"/>
      <c r="AWS22" s="51" t="n"/>
      <c r="AWT22" s="51" t="n"/>
      <c r="AWU22" s="51" t="n"/>
      <c r="AWV22" s="51" t="n"/>
      <c r="AWW22" s="51" t="n"/>
      <c r="AWX22" s="51" t="n"/>
      <c r="AWY22" s="51" t="n"/>
      <c r="AWZ22" s="51" t="n"/>
      <c r="AXA22" s="51" t="n"/>
      <c r="AXB22" s="51" t="n"/>
      <c r="AXC22" s="51" t="n"/>
      <c r="AXD22" s="51" t="n"/>
      <c r="AXE22" s="51" t="n"/>
      <c r="AXF22" s="51" t="n"/>
      <c r="AXG22" s="51" t="n"/>
      <c r="AXH22" s="51" t="n"/>
      <c r="AXI22" s="51" t="n"/>
      <c r="AXJ22" s="51" t="n"/>
      <c r="AXK22" s="51" t="n"/>
      <c r="AXL22" s="51" t="n"/>
      <c r="AXM22" s="51" t="n"/>
      <c r="AXN22" s="51" t="n"/>
      <c r="AXO22" s="51" t="n"/>
      <c r="AXP22" s="51" t="n"/>
      <c r="AXQ22" s="51" t="n"/>
      <c r="AXR22" s="51" t="n"/>
      <c r="AXS22" s="51" t="n"/>
      <c r="AXT22" s="51" t="n"/>
      <c r="AXU22" s="51" t="n"/>
      <c r="AXV22" s="51" t="n"/>
      <c r="AXW22" s="51" t="n"/>
      <c r="AXX22" s="51" t="n"/>
      <c r="AXY22" s="51" t="n"/>
      <c r="AXZ22" s="51" t="n"/>
      <c r="AYA22" s="51" t="n"/>
      <c r="AYB22" s="51" t="n"/>
      <c r="AYC22" s="51" t="n"/>
      <c r="AYD22" s="51" t="n"/>
      <c r="AYE22" s="51" t="n"/>
      <c r="AYF22" s="51" t="n"/>
      <c r="AYG22" s="51" t="n"/>
      <c r="AYH22" s="51" t="n"/>
      <c r="AYI22" s="51" t="n"/>
      <c r="AYJ22" s="51" t="n"/>
      <c r="AYK22" s="51" t="n"/>
      <c r="AYL22" s="51" t="n"/>
      <c r="AYM22" s="51" t="n"/>
      <c r="AYN22" s="51" t="n"/>
      <c r="AYO22" s="51" t="n"/>
      <c r="AYP22" s="51" t="n"/>
      <c r="AYQ22" s="51" t="n"/>
      <c r="AYR22" s="51" t="n"/>
      <c r="AYS22" s="51" t="n"/>
      <c r="AYT22" s="51" t="n"/>
      <c r="AYU22" s="51" t="n"/>
      <c r="AYV22" s="51" t="n"/>
      <c r="AYW22" s="51" t="n"/>
      <c r="AYX22" s="51" t="n"/>
      <c r="AYY22" s="51" t="n"/>
      <c r="AYZ22" s="51" t="n"/>
      <c r="AZA22" s="51" t="n"/>
      <c r="AZB22" s="51" t="n"/>
      <c r="AZC22" s="51" t="n"/>
      <c r="AZD22" s="51" t="n"/>
      <c r="AZE22" s="51" t="n"/>
      <c r="AZF22" s="51" t="n"/>
      <c r="AZG22" s="51" t="n"/>
      <c r="AZH22" s="51" t="n"/>
      <c r="AZI22" s="51" t="n"/>
      <c r="AZJ22" s="51" t="n"/>
      <c r="AZK22" s="51" t="n"/>
      <c r="AZL22" s="51" t="n"/>
      <c r="AZM22" s="51" t="n"/>
      <c r="AZN22" s="51" t="n"/>
      <c r="AZO22" s="51" t="n"/>
      <c r="AZP22" s="51" t="n"/>
      <c r="AZQ22" s="51" t="n"/>
      <c r="AZR22" s="51" t="n"/>
      <c r="AZS22" s="51" t="n"/>
      <c r="AZT22" s="51" t="n"/>
      <c r="AZU22" s="51" t="n"/>
      <c r="AZV22" s="51" t="n"/>
      <c r="AZW22" s="51" t="n"/>
      <c r="AZX22" s="51" t="n"/>
      <c r="AZY22" s="51" t="n"/>
      <c r="AZZ22" s="51" t="n"/>
      <c r="BAA22" s="51" t="n"/>
      <c r="BAB22" s="51" t="n"/>
      <c r="BAC22" s="51" t="n"/>
      <c r="BAD22" s="51" t="n"/>
      <c r="BAE22" s="51" t="n"/>
      <c r="BAF22" s="51" t="n"/>
      <c r="BAG22" s="51" t="n"/>
      <c r="BAH22" s="51" t="n"/>
      <c r="BAI22" s="51" t="n"/>
      <c r="BAJ22" s="51" t="n"/>
      <c r="BAK22" s="51" t="n"/>
      <c r="BAL22" s="51" t="n"/>
      <c r="BAM22" s="51" t="n"/>
      <c r="BAN22" s="51" t="n"/>
      <c r="BAO22" s="51" t="n"/>
      <c r="BAP22" s="51" t="n"/>
      <c r="BAQ22" s="51" t="n"/>
      <c r="BAR22" s="51" t="n"/>
      <c r="BAS22" s="51" t="n"/>
      <c r="BAT22" s="51" t="n"/>
      <c r="BAU22" s="51" t="n"/>
      <c r="BAV22" s="51" t="n"/>
      <c r="BAW22" s="51" t="n"/>
      <c r="BAX22" s="51" t="n"/>
      <c r="BAY22" s="51" t="n"/>
      <c r="BAZ22" s="51" t="n"/>
      <c r="BBA22" s="51" t="n"/>
      <c r="BBB22" s="51" t="n"/>
      <c r="BBC22" s="51" t="n"/>
      <c r="BBD22" s="51" t="n"/>
      <c r="BBE22" s="51" t="n"/>
      <c r="BBF22" s="51" t="n"/>
      <c r="BBG22" s="51" t="n"/>
      <c r="BBH22" s="51" t="n"/>
      <c r="BBI22" s="51" t="n"/>
      <c r="BBJ22" s="51" t="n"/>
      <c r="BBK22" s="51" t="n"/>
      <c r="BBL22" s="51" t="n"/>
      <c r="BBM22" s="51" t="n"/>
      <c r="BBN22" s="51" t="n"/>
      <c r="BBO22" s="51" t="n"/>
      <c r="BBP22" s="51" t="n"/>
    </row>
    <row r="23" ht="13.5" customFormat="1" customHeight="1" s="32">
      <c r="A23" s="22">
        <f>A22+1</f>
        <v/>
      </c>
      <c r="B23" s="122" t="inlineStr">
        <is>
          <t>Baut Dipan</t>
        </is>
      </c>
      <c r="C23" s="123" t="inlineStr">
        <is>
          <t>PCS</t>
        </is>
      </c>
      <c r="D23" s="26">
        <f>'Week  (4)'!U23</f>
        <v/>
      </c>
      <c r="E23" s="124" t="n"/>
      <c r="F23" s="62" t="n"/>
      <c r="G23" s="25" t="n"/>
      <c r="H23" s="56" t="n"/>
      <c r="I23" s="19" t="n"/>
      <c r="J23" s="64" t="n"/>
      <c r="K23" s="25" t="n"/>
      <c r="L23" s="56" t="n"/>
      <c r="M23" s="73" t="n"/>
      <c r="N23" s="73" t="n"/>
      <c r="O23" s="19" t="n"/>
      <c r="P23" s="18" t="n"/>
      <c r="Q23" s="18" t="n"/>
      <c r="R23" s="73" t="n"/>
      <c r="S23" s="18" t="n"/>
      <c r="T23" s="18" t="n"/>
      <c r="U23" s="26">
        <f>D23+F23+-(H23+J23+L23+N23+P23+R23+T23)</f>
        <v/>
      </c>
      <c r="V23" s="51" t="inlineStr">
        <is>
          <t>CIVIL</t>
        </is>
      </c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  <c r="FX23" s="51" t="n"/>
      <c r="FY23" s="51" t="n"/>
      <c r="FZ23" s="51" t="n"/>
      <c r="GA23" s="51" t="n"/>
      <c r="GB23" s="51" t="n"/>
      <c r="GC23" s="51" t="n"/>
      <c r="GD23" s="51" t="n"/>
      <c r="GE23" s="51" t="n"/>
      <c r="GF23" s="51" t="n"/>
      <c r="GG23" s="51" t="n"/>
      <c r="GH23" s="51" t="n"/>
      <c r="GI23" s="51" t="n"/>
      <c r="GJ23" s="51" t="n"/>
      <c r="GK23" s="51" t="n"/>
      <c r="GL23" s="51" t="n"/>
      <c r="GM23" s="51" t="n"/>
      <c r="GN23" s="51" t="n"/>
      <c r="GO23" s="51" t="n"/>
      <c r="GP23" s="51" t="n"/>
      <c r="GQ23" s="51" t="n"/>
      <c r="GR23" s="51" t="n"/>
      <c r="GS23" s="51" t="n"/>
      <c r="GT23" s="51" t="n"/>
      <c r="GU23" s="51" t="n"/>
      <c r="GV23" s="51" t="n"/>
      <c r="GW23" s="51" t="n"/>
      <c r="GX23" s="51" t="n"/>
      <c r="GY23" s="51" t="n"/>
      <c r="GZ23" s="51" t="n"/>
      <c r="HA23" s="51" t="n"/>
      <c r="HB23" s="51" t="n"/>
      <c r="HC23" s="51" t="n"/>
      <c r="HD23" s="51" t="n"/>
      <c r="HE23" s="51" t="n"/>
      <c r="HF23" s="51" t="n"/>
      <c r="HG23" s="51" t="n"/>
      <c r="HH23" s="51" t="n"/>
      <c r="HI23" s="51" t="n"/>
      <c r="HJ23" s="51" t="n"/>
      <c r="HK23" s="51" t="n"/>
      <c r="HL23" s="51" t="n"/>
      <c r="HM23" s="51" t="n"/>
      <c r="HN23" s="51" t="n"/>
      <c r="HO23" s="51" t="n"/>
      <c r="HP23" s="51" t="n"/>
      <c r="HQ23" s="51" t="n"/>
      <c r="HR23" s="51" t="n"/>
      <c r="HS23" s="51" t="n"/>
      <c r="HT23" s="51" t="n"/>
      <c r="HU23" s="51" t="n"/>
      <c r="HV23" s="51" t="n"/>
      <c r="HW23" s="51" t="n"/>
      <c r="HX23" s="51" t="n"/>
      <c r="HY23" s="51" t="n"/>
      <c r="HZ23" s="51" t="n"/>
      <c r="IA23" s="51" t="n"/>
      <c r="IB23" s="51" t="n"/>
      <c r="IC23" s="51" t="n"/>
      <c r="ID23" s="51" t="n"/>
      <c r="IE23" s="51" t="n"/>
      <c r="IF23" s="51" t="n"/>
      <c r="IG23" s="51" t="n"/>
      <c r="IH23" s="51" t="n"/>
      <c r="II23" s="51" t="n"/>
      <c r="IJ23" s="51" t="n"/>
      <c r="IK23" s="51" t="n"/>
      <c r="IL23" s="51" t="n"/>
      <c r="IM23" s="51" t="n"/>
      <c r="IN23" s="51" t="n"/>
      <c r="IO23" s="51" t="n"/>
      <c r="IP23" s="51" t="n"/>
      <c r="IQ23" s="51" t="n"/>
      <c r="IR23" s="51" t="n"/>
      <c r="IS23" s="51" t="n"/>
      <c r="IT23" s="51" t="n"/>
      <c r="IU23" s="51" t="n"/>
      <c r="IV23" s="51" t="n"/>
      <c r="IW23" s="51" t="n"/>
      <c r="IX23" s="51" t="n"/>
      <c r="IY23" s="51" t="n"/>
      <c r="IZ23" s="51" t="n"/>
      <c r="JA23" s="51" t="n"/>
      <c r="JB23" s="51" t="n"/>
      <c r="JC23" s="51" t="n"/>
      <c r="JD23" s="51" t="n"/>
      <c r="JE23" s="51" t="n"/>
      <c r="JF23" s="51" t="n"/>
      <c r="JG23" s="51" t="n"/>
      <c r="JH23" s="51" t="n"/>
      <c r="JI23" s="51" t="n"/>
      <c r="JJ23" s="51" t="n"/>
      <c r="JK23" s="51" t="n"/>
      <c r="JL23" s="51" t="n"/>
      <c r="JM23" s="51" t="n"/>
      <c r="JN23" s="51" t="n"/>
      <c r="JO23" s="51" t="n"/>
      <c r="JP23" s="51" t="n"/>
      <c r="JQ23" s="51" t="n"/>
      <c r="JR23" s="51" t="n"/>
      <c r="JS23" s="51" t="n"/>
      <c r="JT23" s="51" t="n"/>
      <c r="JU23" s="51" t="n"/>
      <c r="JV23" s="51" t="n"/>
      <c r="JW23" s="51" t="n"/>
      <c r="JX23" s="51" t="n"/>
      <c r="JY23" s="51" t="n"/>
      <c r="JZ23" s="51" t="n"/>
      <c r="KA23" s="51" t="n"/>
      <c r="KB23" s="51" t="n"/>
      <c r="KC23" s="51" t="n"/>
      <c r="KD23" s="51" t="n"/>
      <c r="KE23" s="51" t="n"/>
      <c r="KF23" s="51" t="n"/>
      <c r="KG23" s="51" t="n"/>
      <c r="KH23" s="51" t="n"/>
      <c r="KI23" s="51" t="n"/>
      <c r="KJ23" s="51" t="n"/>
      <c r="KK23" s="51" t="n"/>
      <c r="KL23" s="51" t="n"/>
      <c r="KM23" s="51" t="n"/>
      <c r="KN23" s="51" t="n"/>
      <c r="KO23" s="51" t="n"/>
      <c r="KP23" s="51" t="n"/>
      <c r="KQ23" s="51" t="n"/>
      <c r="KR23" s="51" t="n"/>
      <c r="KS23" s="51" t="n"/>
      <c r="KT23" s="51" t="n"/>
      <c r="KU23" s="51" t="n"/>
      <c r="KV23" s="51" t="n"/>
      <c r="KW23" s="51" t="n"/>
      <c r="KX23" s="51" t="n"/>
      <c r="KY23" s="51" t="n"/>
      <c r="KZ23" s="51" t="n"/>
      <c r="LA23" s="51" t="n"/>
      <c r="LB23" s="51" t="n"/>
      <c r="LC23" s="51" t="n"/>
      <c r="LD23" s="51" t="n"/>
      <c r="LE23" s="51" t="n"/>
      <c r="LF23" s="51" t="n"/>
      <c r="LG23" s="51" t="n"/>
      <c r="LH23" s="51" t="n"/>
      <c r="LI23" s="51" t="n"/>
      <c r="LJ23" s="51" t="n"/>
      <c r="LK23" s="51" t="n"/>
      <c r="LL23" s="51" t="n"/>
      <c r="LM23" s="51" t="n"/>
      <c r="LN23" s="51" t="n"/>
      <c r="LO23" s="51" t="n"/>
      <c r="LP23" s="51" t="n"/>
      <c r="LQ23" s="51" t="n"/>
      <c r="LR23" s="51" t="n"/>
      <c r="LS23" s="51" t="n"/>
      <c r="LT23" s="51" t="n"/>
      <c r="LU23" s="51" t="n"/>
      <c r="LV23" s="51" t="n"/>
      <c r="LW23" s="51" t="n"/>
      <c r="LX23" s="51" t="n"/>
      <c r="LY23" s="51" t="n"/>
      <c r="LZ23" s="51" t="n"/>
      <c r="MA23" s="51" t="n"/>
      <c r="MB23" s="51" t="n"/>
      <c r="MC23" s="51" t="n"/>
      <c r="MD23" s="51" t="n"/>
      <c r="ME23" s="51" t="n"/>
      <c r="MF23" s="51" t="n"/>
      <c r="MG23" s="51" t="n"/>
      <c r="MH23" s="51" t="n"/>
      <c r="MI23" s="51" t="n"/>
      <c r="MJ23" s="51" t="n"/>
      <c r="MK23" s="51" t="n"/>
      <c r="ML23" s="51" t="n"/>
      <c r="MM23" s="51" t="n"/>
      <c r="MN23" s="51" t="n"/>
      <c r="MO23" s="51" t="n"/>
      <c r="MP23" s="51" t="n"/>
      <c r="MQ23" s="51" t="n"/>
      <c r="MR23" s="51" t="n"/>
      <c r="MS23" s="51" t="n"/>
      <c r="MT23" s="51" t="n"/>
      <c r="MU23" s="51" t="n"/>
      <c r="MV23" s="51" t="n"/>
      <c r="MW23" s="51" t="n"/>
      <c r="MX23" s="51" t="n"/>
      <c r="MY23" s="51" t="n"/>
      <c r="MZ23" s="51" t="n"/>
      <c r="NA23" s="51" t="n"/>
      <c r="NB23" s="51" t="n"/>
      <c r="NC23" s="51" t="n"/>
      <c r="ND23" s="51" t="n"/>
      <c r="NE23" s="51" t="n"/>
      <c r="NF23" s="51" t="n"/>
      <c r="NG23" s="51" t="n"/>
      <c r="NH23" s="51" t="n"/>
      <c r="NI23" s="51" t="n"/>
      <c r="NJ23" s="51" t="n"/>
      <c r="NK23" s="51" t="n"/>
      <c r="NL23" s="51" t="n"/>
      <c r="NM23" s="51" t="n"/>
      <c r="NN23" s="51" t="n"/>
      <c r="NO23" s="51" t="n"/>
      <c r="NP23" s="51" t="n"/>
      <c r="NQ23" s="51" t="n"/>
      <c r="NR23" s="51" t="n"/>
      <c r="NS23" s="51" t="n"/>
      <c r="NT23" s="51" t="n"/>
      <c r="NU23" s="51" t="n"/>
      <c r="NV23" s="51" t="n"/>
      <c r="NW23" s="51" t="n"/>
      <c r="NX23" s="51" t="n"/>
      <c r="NY23" s="51" t="n"/>
      <c r="NZ23" s="51" t="n"/>
      <c r="OA23" s="51" t="n"/>
      <c r="OB23" s="51" t="n"/>
      <c r="OC23" s="51" t="n"/>
      <c r="OD23" s="51" t="n"/>
      <c r="OE23" s="51" t="n"/>
      <c r="OF23" s="51" t="n"/>
      <c r="OG23" s="51" t="n"/>
      <c r="OH23" s="51" t="n"/>
      <c r="OI23" s="51" t="n"/>
      <c r="OJ23" s="51" t="n"/>
      <c r="OK23" s="51" t="n"/>
      <c r="OL23" s="51" t="n"/>
      <c r="OM23" s="51" t="n"/>
      <c r="ON23" s="51" t="n"/>
      <c r="OO23" s="51" t="n"/>
      <c r="OP23" s="51" t="n"/>
      <c r="OQ23" s="51" t="n"/>
      <c r="OR23" s="51" t="n"/>
      <c r="OS23" s="51" t="n"/>
      <c r="OT23" s="51" t="n"/>
      <c r="OU23" s="51" t="n"/>
      <c r="OV23" s="51" t="n"/>
      <c r="OW23" s="51" t="n"/>
      <c r="OX23" s="51" t="n"/>
      <c r="OY23" s="51" t="n"/>
      <c r="OZ23" s="51" t="n"/>
      <c r="PA23" s="51" t="n"/>
      <c r="PB23" s="51" t="n"/>
      <c r="PC23" s="51" t="n"/>
      <c r="PD23" s="51" t="n"/>
      <c r="PE23" s="51" t="n"/>
      <c r="PF23" s="51" t="n"/>
      <c r="PG23" s="51" t="n"/>
      <c r="PH23" s="51" t="n"/>
      <c r="PI23" s="51" t="n"/>
      <c r="PJ23" s="51" t="n"/>
      <c r="PK23" s="51" t="n"/>
      <c r="PL23" s="51" t="n"/>
      <c r="PM23" s="51" t="n"/>
      <c r="PN23" s="51" t="n"/>
      <c r="PO23" s="51" t="n"/>
      <c r="PP23" s="51" t="n"/>
      <c r="PQ23" s="51" t="n"/>
      <c r="PR23" s="51" t="n"/>
      <c r="PS23" s="51" t="n"/>
      <c r="PT23" s="51" t="n"/>
      <c r="PU23" s="51" t="n"/>
      <c r="PV23" s="51" t="n"/>
      <c r="PW23" s="51" t="n"/>
      <c r="PX23" s="51" t="n"/>
      <c r="PY23" s="51" t="n"/>
      <c r="PZ23" s="51" t="n"/>
      <c r="QA23" s="51" t="n"/>
      <c r="QB23" s="51" t="n"/>
      <c r="QC23" s="51" t="n"/>
      <c r="QD23" s="51" t="n"/>
      <c r="QE23" s="51" t="n"/>
      <c r="QF23" s="51" t="n"/>
      <c r="QG23" s="51" t="n"/>
      <c r="QH23" s="51" t="n"/>
      <c r="QI23" s="51" t="n"/>
      <c r="QJ23" s="51" t="n"/>
      <c r="QK23" s="51" t="n"/>
      <c r="QL23" s="51" t="n"/>
      <c r="QM23" s="51" t="n"/>
      <c r="QN23" s="51" t="n"/>
      <c r="QO23" s="51" t="n"/>
      <c r="QP23" s="51" t="n"/>
      <c r="QQ23" s="51" t="n"/>
      <c r="QR23" s="51" t="n"/>
      <c r="QS23" s="51" t="n"/>
      <c r="QT23" s="51" t="n"/>
      <c r="QU23" s="51" t="n"/>
      <c r="QV23" s="51" t="n"/>
      <c r="QW23" s="51" t="n"/>
      <c r="QX23" s="51" t="n"/>
      <c r="QY23" s="51" t="n"/>
      <c r="QZ23" s="51" t="n"/>
      <c r="RA23" s="51" t="n"/>
      <c r="RB23" s="51" t="n"/>
      <c r="RC23" s="51" t="n"/>
      <c r="RD23" s="51" t="n"/>
      <c r="RE23" s="51" t="n"/>
      <c r="RF23" s="51" t="n"/>
      <c r="RG23" s="51" t="n"/>
      <c r="RH23" s="51" t="n"/>
      <c r="RI23" s="51" t="n"/>
      <c r="RJ23" s="51" t="n"/>
      <c r="RK23" s="51" t="n"/>
      <c r="RL23" s="51" t="n"/>
      <c r="RM23" s="51" t="n"/>
      <c r="RN23" s="51" t="n"/>
      <c r="RO23" s="51" t="n"/>
      <c r="RP23" s="51" t="n"/>
      <c r="RQ23" s="51" t="n"/>
      <c r="RR23" s="51" t="n"/>
      <c r="RS23" s="51" t="n"/>
      <c r="RT23" s="51" t="n"/>
      <c r="RU23" s="51" t="n"/>
      <c r="RV23" s="51" t="n"/>
      <c r="RW23" s="51" t="n"/>
      <c r="RX23" s="51" t="n"/>
      <c r="RY23" s="51" t="n"/>
      <c r="RZ23" s="51" t="n"/>
      <c r="SA23" s="51" t="n"/>
      <c r="SB23" s="51" t="n"/>
      <c r="SC23" s="51" t="n"/>
      <c r="SD23" s="51" t="n"/>
      <c r="SE23" s="51" t="n"/>
      <c r="SF23" s="51" t="n"/>
      <c r="SG23" s="51" t="n"/>
      <c r="SH23" s="51" t="n"/>
      <c r="SI23" s="51" t="n"/>
      <c r="SJ23" s="51" t="n"/>
      <c r="SK23" s="51" t="n"/>
      <c r="SL23" s="51" t="n"/>
      <c r="SM23" s="51" t="n"/>
      <c r="SN23" s="51" t="n"/>
      <c r="SO23" s="51" t="n"/>
      <c r="SP23" s="51" t="n"/>
      <c r="SQ23" s="51" t="n"/>
      <c r="SR23" s="51" t="n"/>
      <c r="SS23" s="51" t="n"/>
      <c r="ST23" s="51" t="n"/>
      <c r="SU23" s="51" t="n"/>
      <c r="SV23" s="51" t="n"/>
      <c r="SW23" s="51" t="n"/>
      <c r="SX23" s="51" t="n"/>
      <c r="SY23" s="51" t="n"/>
      <c r="SZ23" s="51" t="n"/>
      <c r="TA23" s="51" t="n"/>
      <c r="TB23" s="51" t="n"/>
      <c r="TC23" s="51" t="n"/>
      <c r="TD23" s="51" t="n"/>
      <c r="TE23" s="51" t="n"/>
      <c r="TF23" s="51" t="n"/>
      <c r="TG23" s="51" t="n"/>
      <c r="TH23" s="51" t="n"/>
      <c r="TI23" s="51" t="n"/>
      <c r="TJ23" s="51" t="n"/>
      <c r="TK23" s="51" t="n"/>
      <c r="TL23" s="51" t="n"/>
      <c r="TM23" s="51" t="n"/>
      <c r="TN23" s="51" t="n"/>
      <c r="TO23" s="51" t="n"/>
      <c r="TP23" s="51" t="n"/>
      <c r="TQ23" s="51" t="n"/>
      <c r="TR23" s="51" t="n"/>
      <c r="TS23" s="51" t="n"/>
      <c r="TT23" s="51" t="n"/>
      <c r="TU23" s="51" t="n"/>
      <c r="TV23" s="51" t="n"/>
      <c r="TW23" s="51" t="n"/>
      <c r="TX23" s="51" t="n"/>
      <c r="TY23" s="51" t="n"/>
      <c r="TZ23" s="51" t="n"/>
      <c r="UA23" s="51" t="n"/>
      <c r="UB23" s="51" t="n"/>
      <c r="UC23" s="51" t="n"/>
      <c r="UD23" s="51" t="n"/>
      <c r="UE23" s="51" t="n"/>
      <c r="UF23" s="51" t="n"/>
      <c r="UG23" s="51" t="n"/>
      <c r="UH23" s="51" t="n"/>
      <c r="UI23" s="51" t="n"/>
      <c r="UJ23" s="51" t="n"/>
      <c r="UK23" s="51" t="n"/>
      <c r="UL23" s="51" t="n"/>
      <c r="UM23" s="51" t="n"/>
      <c r="UN23" s="51" t="n"/>
      <c r="UO23" s="51" t="n"/>
      <c r="UP23" s="51" t="n"/>
      <c r="UQ23" s="51" t="n"/>
      <c r="UR23" s="51" t="n"/>
      <c r="US23" s="51" t="n"/>
      <c r="UT23" s="51" t="n"/>
      <c r="UU23" s="51" t="n"/>
      <c r="UV23" s="51" t="n"/>
      <c r="UW23" s="51" t="n"/>
      <c r="UX23" s="51" t="n"/>
      <c r="UY23" s="51" t="n"/>
      <c r="UZ23" s="51" t="n"/>
      <c r="VA23" s="51" t="n"/>
      <c r="VB23" s="51" t="n"/>
      <c r="VC23" s="51" t="n"/>
      <c r="VD23" s="51" t="n"/>
      <c r="VE23" s="51" t="n"/>
      <c r="VF23" s="51" t="n"/>
      <c r="VG23" s="51" t="n"/>
      <c r="VH23" s="51" t="n"/>
      <c r="VI23" s="51" t="n"/>
      <c r="VJ23" s="51" t="n"/>
      <c r="VK23" s="51" t="n"/>
      <c r="VL23" s="51" t="n"/>
      <c r="VM23" s="51" t="n"/>
      <c r="VN23" s="51" t="n"/>
      <c r="VO23" s="51" t="n"/>
      <c r="VP23" s="51" t="n"/>
      <c r="VQ23" s="51" t="n"/>
      <c r="VR23" s="51" t="n"/>
      <c r="VS23" s="51" t="n"/>
      <c r="VT23" s="51" t="n"/>
      <c r="VU23" s="51" t="n"/>
      <c r="VV23" s="51" t="n"/>
      <c r="VW23" s="51" t="n"/>
      <c r="VX23" s="51" t="n"/>
      <c r="VY23" s="51" t="n"/>
      <c r="VZ23" s="51" t="n"/>
      <c r="WA23" s="51" t="n"/>
      <c r="WB23" s="51" t="n"/>
      <c r="WC23" s="51" t="n"/>
      <c r="WD23" s="51" t="n"/>
      <c r="WE23" s="51" t="n"/>
      <c r="WF23" s="51" t="n"/>
      <c r="WG23" s="51" t="n"/>
      <c r="WH23" s="51" t="n"/>
      <c r="WI23" s="51" t="n"/>
      <c r="WJ23" s="51" t="n"/>
      <c r="WK23" s="51" t="n"/>
      <c r="WL23" s="51" t="n"/>
      <c r="WM23" s="51" t="n"/>
      <c r="WN23" s="51" t="n"/>
      <c r="WO23" s="51" t="n"/>
      <c r="WP23" s="51" t="n"/>
      <c r="WQ23" s="51" t="n"/>
      <c r="WR23" s="51" t="n"/>
      <c r="WS23" s="51" t="n"/>
      <c r="WT23" s="51" t="n"/>
      <c r="WU23" s="51" t="n"/>
      <c r="WV23" s="51" t="n"/>
      <c r="WW23" s="51" t="n"/>
      <c r="WX23" s="51" t="n"/>
      <c r="WY23" s="51" t="n"/>
      <c r="WZ23" s="51" t="n"/>
      <c r="XA23" s="51" t="n"/>
      <c r="XB23" s="51" t="n"/>
      <c r="XC23" s="51" t="n"/>
      <c r="XD23" s="51" t="n"/>
      <c r="XE23" s="51" t="n"/>
      <c r="XF23" s="51" t="n"/>
      <c r="XG23" s="51" t="n"/>
      <c r="XH23" s="51" t="n"/>
      <c r="XI23" s="51" t="n"/>
      <c r="XJ23" s="51" t="n"/>
      <c r="XK23" s="51" t="n"/>
      <c r="XL23" s="51" t="n"/>
      <c r="XM23" s="51" t="n"/>
      <c r="XN23" s="51" t="n"/>
      <c r="XO23" s="51" t="n"/>
      <c r="XP23" s="51" t="n"/>
      <c r="XQ23" s="51" t="n"/>
      <c r="XR23" s="51" t="n"/>
      <c r="XS23" s="51" t="n"/>
      <c r="XT23" s="51" t="n"/>
      <c r="XU23" s="51" t="n"/>
      <c r="XV23" s="51" t="n"/>
      <c r="XW23" s="51" t="n"/>
      <c r="XX23" s="51" t="n"/>
      <c r="XY23" s="51" t="n"/>
      <c r="XZ23" s="51" t="n"/>
      <c r="YA23" s="51" t="n"/>
      <c r="YB23" s="51" t="n"/>
      <c r="YC23" s="51" t="n"/>
      <c r="YD23" s="51" t="n"/>
      <c r="YE23" s="51" t="n"/>
      <c r="YF23" s="51" t="n"/>
      <c r="YG23" s="51" t="n"/>
      <c r="YH23" s="51" t="n"/>
      <c r="YI23" s="51" t="n"/>
      <c r="YJ23" s="51" t="n"/>
      <c r="YK23" s="51" t="n"/>
      <c r="YL23" s="51" t="n"/>
      <c r="YM23" s="51" t="n"/>
      <c r="YN23" s="51" t="n"/>
      <c r="YO23" s="51" t="n"/>
      <c r="YP23" s="51" t="n"/>
      <c r="YQ23" s="51" t="n"/>
      <c r="YR23" s="51" t="n"/>
      <c r="YS23" s="51" t="n"/>
      <c r="YT23" s="51" t="n"/>
      <c r="YU23" s="51" t="n"/>
      <c r="YV23" s="51" t="n"/>
      <c r="YW23" s="51" t="n"/>
      <c r="YX23" s="51" t="n"/>
      <c r="YY23" s="51" t="n"/>
      <c r="YZ23" s="51" t="n"/>
      <c r="ZA23" s="51" t="n"/>
      <c r="ZB23" s="51" t="n"/>
      <c r="ZC23" s="51" t="n"/>
      <c r="ZD23" s="51" t="n"/>
      <c r="ZE23" s="51" t="n"/>
      <c r="ZF23" s="51" t="n"/>
      <c r="ZG23" s="51" t="n"/>
      <c r="ZH23" s="51" t="n"/>
      <c r="ZI23" s="51" t="n"/>
      <c r="ZJ23" s="51" t="n"/>
      <c r="ZK23" s="51" t="n"/>
      <c r="ZL23" s="51" t="n"/>
      <c r="ZM23" s="51" t="n"/>
      <c r="ZN23" s="51" t="n"/>
      <c r="ZO23" s="51" t="n"/>
      <c r="ZP23" s="51" t="n"/>
      <c r="ZQ23" s="51" t="n"/>
      <c r="ZR23" s="51" t="n"/>
      <c r="ZS23" s="51" t="n"/>
      <c r="ZT23" s="51" t="n"/>
      <c r="ZU23" s="51" t="n"/>
      <c r="ZV23" s="51" t="n"/>
      <c r="ZW23" s="51" t="n"/>
      <c r="ZX23" s="51" t="n"/>
      <c r="ZY23" s="51" t="n"/>
      <c r="ZZ23" s="51" t="n"/>
      <c r="AAA23" s="51" t="n"/>
      <c r="AAB23" s="51" t="n"/>
      <c r="AAC23" s="51" t="n"/>
      <c r="AAD23" s="51" t="n"/>
      <c r="AAE23" s="51" t="n"/>
      <c r="AAF23" s="51" t="n"/>
      <c r="AAG23" s="51" t="n"/>
      <c r="AAH23" s="51" t="n"/>
      <c r="AAI23" s="51" t="n"/>
      <c r="AAJ23" s="51" t="n"/>
      <c r="AAK23" s="51" t="n"/>
      <c r="AAL23" s="51" t="n"/>
      <c r="AAM23" s="51" t="n"/>
      <c r="AAN23" s="51" t="n"/>
      <c r="AAO23" s="51" t="n"/>
      <c r="AAP23" s="51" t="n"/>
      <c r="AAQ23" s="51" t="n"/>
      <c r="AAR23" s="51" t="n"/>
      <c r="AAS23" s="51" t="n"/>
      <c r="AAT23" s="51" t="n"/>
      <c r="AAU23" s="51" t="n"/>
      <c r="AAV23" s="51" t="n"/>
      <c r="AAW23" s="51" t="n"/>
      <c r="AAX23" s="51" t="n"/>
      <c r="AAY23" s="51" t="n"/>
      <c r="AAZ23" s="51" t="n"/>
      <c r="ABA23" s="51" t="n"/>
      <c r="ABB23" s="51" t="n"/>
      <c r="ABC23" s="51" t="n"/>
      <c r="ABD23" s="51" t="n"/>
      <c r="ABE23" s="51" t="n"/>
      <c r="ABF23" s="51" t="n"/>
      <c r="ABG23" s="51" t="n"/>
      <c r="ABH23" s="51" t="n"/>
      <c r="ABI23" s="51" t="n"/>
      <c r="ABJ23" s="51" t="n"/>
      <c r="ABK23" s="51" t="n"/>
      <c r="ABL23" s="51" t="n"/>
      <c r="ABM23" s="51" t="n"/>
      <c r="ABN23" s="51" t="n"/>
      <c r="ABO23" s="51" t="n"/>
      <c r="ABP23" s="51" t="n"/>
      <c r="ABQ23" s="51" t="n"/>
      <c r="ABR23" s="51" t="n"/>
      <c r="ABS23" s="51" t="n"/>
      <c r="ABT23" s="51" t="n"/>
      <c r="ABU23" s="51" t="n"/>
      <c r="ABV23" s="51" t="n"/>
      <c r="ABW23" s="51" t="n"/>
      <c r="ABX23" s="51" t="n"/>
      <c r="ABY23" s="51" t="n"/>
      <c r="ABZ23" s="51" t="n"/>
      <c r="ACA23" s="51" t="n"/>
      <c r="ACB23" s="51" t="n"/>
      <c r="ACC23" s="51" t="n"/>
      <c r="ACD23" s="51" t="n"/>
      <c r="ACE23" s="51" t="n"/>
      <c r="ACF23" s="51" t="n"/>
      <c r="ACG23" s="51" t="n"/>
      <c r="ACH23" s="51" t="n"/>
      <c r="ACI23" s="51" t="n"/>
      <c r="ACJ23" s="51" t="n"/>
      <c r="ACK23" s="51" t="n"/>
      <c r="ACL23" s="51" t="n"/>
      <c r="ACM23" s="51" t="n"/>
      <c r="ACN23" s="51" t="n"/>
      <c r="ACO23" s="51" t="n"/>
      <c r="ACP23" s="51" t="n"/>
      <c r="ACQ23" s="51" t="n"/>
      <c r="ACR23" s="51" t="n"/>
      <c r="ACS23" s="51" t="n"/>
      <c r="ACT23" s="51" t="n"/>
      <c r="ACU23" s="51" t="n"/>
      <c r="ACV23" s="51" t="n"/>
      <c r="ACW23" s="51" t="n"/>
      <c r="ACX23" s="51" t="n"/>
      <c r="ACY23" s="51" t="n"/>
      <c r="ACZ23" s="51" t="n"/>
      <c r="ADA23" s="51" t="n"/>
      <c r="ADB23" s="51" t="n"/>
      <c r="ADC23" s="51" t="n"/>
      <c r="ADD23" s="51" t="n"/>
      <c r="ADE23" s="51" t="n"/>
      <c r="ADF23" s="51" t="n"/>
      <c r="ADG23" s="51" t="n"/>
      <c r="ADH23" s="51" t="n"/>
      <c r="ADI23" s="51" t="n"/>
      <c r="ADJ23" s="51" t="n"/>
      <c r="ADK23" s="51" t="n"/>
      <c r="ADL23" s="51" t="n"/>
      <c r="ADM23" s="51" t="n"/>
      <c r="ADN23" s="51" t="n"/>
      <c r="ADO23" s="51" t="n"/>
      <c r="ADP23" s="51" t="n"/>
      <c r="ADQ23" s="51" t="n"/>
      <c r="ADR23" s="51" t="n"/>
      <c r="ADS23" s="51" t="n"/>
      <c r="ADT23" s="51" t="n"/>
      <c r="ADU23" s="51" t="n"/>
      <c r="ADV23" s="51" t="n"/>
      <c r="ADW23" s="51" t="n"/>
      <c r="ADX23" s="51" t="n"/>
      <c r="ADY23" s="51" t="n"/>
      <c r="ADZ23" s="51" t="n"/>
      <c r="AEA23" s="51" t="n"/>
      <c r="AEB23" s="51" t="n"/>
      <c r="AEC23" s="51" t="n"/>
      <c r="AED23" s="51" t="n"/>
      <c r="AEE23" s="51" t="n"/>
      <c r="AEF23" s="51" t="n"/>
      <c r="AEG23" s="51" t="n"/>
      <c r="AEH23" s="51" t="n"/>
      <c r="AEI23" s="51" t="n"/>
      <c r="AEJ23" s="51" t="n"/>
      <c r="AEK23" s="51" t="n"/>
      <c r="AEL23" s="51" t="n"/>
      <c r="AEM23" s="51" t="n"/>
      <c r="AEN23" s="51" t="n"/>
      <c r="AEO23" s="51" t="n"/>
      <c r="AEP23" s="51" t="n"/>
      <c r="AEQ23" s="51" t="n"/>
      <c r="AER23" s="51" t="n"/>
      <c r="AES23" s="51" t="n"/>
      <c r="AET23" s="51" t="n"/>
      <c r="AEU23" s="51" t="n"/>
      <c r="AEV23" s="51" t="n"/>
      <c r="AEW23" s="51" t="n"/>
      <c r="AEX23" s="51" t="n"/>
      <c r="AEY23" s="51" t="n"/>
      <c r="AEZ23" s="51" t="n"/>
      <c r="AFA23" s="51" t="n"/>
      <c r="AFB23" s="51" t="n"/>
      <c r="AFC23" s="51" t="n"/>
      <c r="AFD23" s="51" t="n"/>
      <c r="AFE23" s="51" t="n"/>
      <c r="AFF23" s="51" t="n"/>
      <c r="AFG23" s="51" t="n"/>
      <c r="AFH23" s="51" t="n"/>
      <c r="AFI23" s="51" t="n"/>
      <c r="AFJ23" s="51" t="n"/>
      <c r="AFK23" s="51" t="n"/>
      <c r="AFL23" s="51" t="n"/>
      <c r="AFM23" s="51" t="n"/>
      <c r="AFN23" s="51" t="n"/>
      <c r="AFO23" s="51" t="n"/>
      <c r="AFP23" s="51" t="n"/>
      <c r="AFQ23" s="51" t="n"/>
      <c r="AFR23" s="51" t="n"/>
      <c r="AFS23" s="51" t="n"/>
      <c r="AFT23" s="51" t="n"/>
      <c r="AFU23" s="51" t="n"/>
      <c r="AFV23" s="51" t="n"/>
      <c r="AFW23" s="51" t="n"/>
      <c r="AFX23" s="51" t="n"/>
      <c r="AFY23" s="51" t="n"/>
      <c r="AFZ23" s="51" t="n"/>
      <c r="AGA23" s="51" t="n"/>
      <c r="AGB23" s="51" t="n"/>
      <c r="AGC23" s="51" t="n"/>
      <c r="AGD23" s="51" t="n"/>
      <c r="AGE23" s="51" t="n"/>
      <c r="AGF23" s="51" t="n"/>
      <c r="AGG23" s="51" t="n"/>
      <c r="AGH23" s="51" t="n"/>
      <c r="AGI23" s="51" t="n"/>
      <c r="AGJ23" s="51" t="n"/>
      <c r="AGK23" s="51" t="n"/>
      <c r="AGL23" s="51" t="n"/>
      <c r="AGM23" s="51" t="n"/>
      <c r="AGN23" s="51" t="n"/>
      <c r="AGO23" s="51" t="n"/>
      <c r="AGP23" s="51" t="n"/>
      <c r="AGQ23" s="51" t="n"/>
      <c r="AGR23" s="51" t="n"/>
      <c r="AGS23" s="51" t="n"/>
      <c r="AGT23" s="51" t="n"/>
      <c r="AGU23" s="51" t="n"/>
      <c r="AGV23" s="51" t="n"/>
      <c r="AGW23" s="51" t="n"/>
      <c r="AGX23" s="51" t="n"/>
      <c r="AGY23" s="51" t="n"/>
      <c r="AGZ23" s="51" t="n"/>
      <c r="AHA23" s="51" t="n"/>
      <c r="AHB23" s="51" t="n"/>
      <c r="AHC23" s="51" t="n"/>
      <c r="AHD23" s="51" t="n"/>
      <c r="AHE23" s="51" t="n"/>
      <c r="AHF23" s="51" t="n"/>
      <c r="AHG23" s="51" t="n"/>
      <c r="AHH23" s="51" t="n"/>
      <c r="AHI23" s="51" t="n"/>
      <c r="AHJ23" s="51" t="n"/>
      <c r="AHK23" s="51" t="n"/>
      <c r="AHL23" s="51" t="n"/>
      <c r="AHM23" s="51" t="n"/>
      <c r="AHN23" s="51" t="n"/>
      <c r="AHO23" s="51" t="n"/>
      <c r="AHP23" s="51" t="n"/>
      <c r="AHQ23" s="51" t="n"/>
      <c r="AHR23" s="51" t="n"/>
      <c r="AHS23" s="51" t="n"/>
      <c r="AHT23" s="51" t="n"/>
      <c r="AHU23" s="51" t="n"/>
      <c r="AHV23" s="51" t="n"/>
      <c r="AHW23" s="51" t="n"/>
      <c r="AHX23" s="51" t="n"/>
      <c r="AHY23" s="51" t="n"/>
      <c r="AHZ23" s="51" t="n"/>
      <c r="AIA23" s="51" t="n"/>
      <c r="AIB23" s="51" t="n"/>
      <c r="AIC23" s="51" t="n"/>
      <c r="AID23" s="51" t="n"/>
      <c r="AIE23" s="51" t="n"/>
      <c r="AIF23" s="51" t="n"/>
      <c r="AIG23" s="51" t="n"/>
      <c r="AIH23" s="51" t="n"/>
      <c r="AII23" s="51" t="n"/>
      <c r="AIJ23" s="51" t="n"/>
      <c r="AIK23" s="51" t="n"/>
      <c r="AIL23" s="51" t="n"/>
      <c r="AIM23" s="51" t="n"/>
      <c r="AIN23" s="51" t="n"/>
      <c r="AIO23" s="51" t="n"/>
      <c r="AIP23" s="51" t="n"/>
      <c r="AIQ23" s="51" t="n"/>
      <c r="AIR23" s="51" t="n"/>
      <c r="AIS23" s="51" t="n"/>
      <c r="AIT23" s="51" t="n"/>
      <c r="AIU23" s="51" t="n"/>
      <c r="AIV23" s="51" t="n"/>
      <c r="AIW23" s="51" t="n"/>
      <c r="AIX23" s="51" t="n"/>
      <c r="AIY23" s="51" t="n"/>
      <c r="AIZ23" s="51" t="n"/>
      <c r="AJA23" s="51" t="n"/>
      <c r="AJB23" s="51" t="n"/>
      <c r="AJC23" s="51" t="n"/>
      <c r="AJD23" s="51" t="n"/>
      <c r="AJE23" s="51" t="n"/>
      <c r="AJF23" s="51" t="n"/>
      <c r="AJG23" s="51" t="n"/>
      <c r="AJH23" s="51" t="n"/>
      <c r="AJI23" s="51" t="n"/>
      <c r="AJJ23" s="51" t="n"/>
      <c r="AJK23" s="51" t="n"/>
      <c r="AJL23" s="51" t="n"/>
      <c r="AJM23" s="51" t="n"/>
      <c r="AJN23" s="51" t="n"/>
      <c r="AJO23" s="51" t="n"/>
      <c r="AJP23" s="51" t="n"/>
      <c r="AJQ23" s="51" t="n"/>
      <c r="AJR23" s="51" t="n"/>
      <c r="AJS23" s="51" t="n"/>
      <c r="AJT23" s="51" t="n"/>
      <c r="AJU23" s="51" t="n"/>
      <c r="AJV23" s="51" t="n"/>
      <c r="AJW23" s="51" t="n"/>
      <c r="AJX23" s="51" t="n"/>
      <c r="AJY23" s="51" t="n"/>
      <c r="AJZ23" s="51" t="n"/>
      <c r="AKA23" s="51" t="n"/>
      <c r="AKB23" s="51" t="n"/>
      <c r="AKC23" s="51" t="n"/>
      <c r="AKD23" s="51" t="n"/>
      <c r="AKE23" s="51" t="n"/>
      <c r="AKF23" s="51" t="n"/>
      <c r="AKG23" s="51" t="n"/>
      <c r="AKH23" s="51" t="n"/>
      <c r="AKI23" s="51" t="n"/>
      <c r="AKJ23" s="51" t="n"/>
      <c r="AKK23" s="51" t="n"/>
      <c r="AKL23" s="51" t="n"/>
      <c r="AKM23" s="51" t="n"/>
      <c r="AKN23" s="51" t="n"/>
      <c r="AKO23" s="51" t="n"/>
      <c r="AKP23" s="51" t="n"/>
      <c r="AKQ23" s="51" t="n"/>
      <c r="AKR23" s="51" t="n"/>
      <c r="AKS23" s="51" t="n"/>
      <c r="AKT23" s="51" t="n"/>
      <c r="AKU23" s="51" t="n"/>
      <c r="AKV23" s="51" t="n"/>
      <c r="AKW23" s="51" t="n"/>
      <c r="AKX23" s="51" t="n"/>
      <c r="AKY23" s="51" t="n"/>
      <c r="AKZ23" s="51" t="n"/>
      <c r="ALA23" s="51" t="n"/>
      <c r="ALB23" s="51" t="n"/>
      <c r="ALC23" s="51" t="n"/>
      <c r="ALD23" s="51" t="n"/>
      <c r="ALE23" s="51" t="n"/>
      <c r="ALF23" s="51" t="n"/>
      <c r="ALG23" s="51" t="n"/>
      <c r="ALH23" s="51" t="n"/>
      <c r="ALI23" s="51" t="n"/>
      <c r="ALJ23" s="51" t="n"/>
      <c r="ALK23" s="51" t="n"/>
      <c r="ALL23" s="51" t="n"/>
      <c r="ALM23" s="51" t="n"/>
      <c r="ALN23" s="51" t="n"/>
      <c r="ALO23" s="51" t="n"/>
      <c r="ALP23" s="51" t="n"/>
      <c r="ALQ23" s="51" t="n"/>
      <c r="ALR23" s="51" t="n"/>
      <c r="ALS23" s="51" t="n"/>
      <c r="ALT23" s="51" t="n"/>
      <c r="ALU23" s="51" t="n"/>
      <c r="ALV23" s="51" t="n"/>
      <c r="ALW23" s="51" t="n"/>
      <c r="ALX23" s="51" t="n"/>
      <c r="ALY23" s="51" t="n"/>
      <c r="ALZ23" s="51" t="n"/>
      <c r="AMA23" s="51" t="n"/>
      <c r="AMB23" s="51" t="n"/>
      <c r="AMC23" s="51" t="n"/>
      <c r="AMD23" s="51" t="n"/>
      <c r="AME23" s="51" t="n"/>
      <c r="AMF23" s="51" t="n"/>
      <c r="AMG23" s="51" t="n"/>
      <c r="AMH23" s="51" t="n"/>
      <c r="AMI23" s="51" t="n"/>
      <c r="AMJ23" s="51" t="n"/>
      <c r="AMK23" s="51" t="n"/>
      <c r="AML23" s="51" t="n"/>
      <c r="AMM23" s="51" t="n"/>
      <c r="AMN23" s="51" t="n"/>
      <c r="AMO23" s="51" t="n"/>
      <c r="AMP23" s="51" t="n"/>
      <c r="AMQ23" s="51" t="n"/>
      <c r="AMR23" s="51" t="n"/>
      <c r="AMS23" s="51" t="n"/>
      <c r="AMT23" s="51" t="n"/>
      <c r="AMU23" s="51" t="n"/>
      <c r="AMV23" s="51" t="n"/>
      <c r="AMW23" s="51" t="n"/>
      <c r="AMX23" s="51" t="n"/>
      <c r="AMY23" s="51" t="n"/>
      <c r="AMZ23" s="51" t="n"/>
      <c r="ANA23" s="51" t="n"/>
      <c r="ANB23" s="51" t="n"/>
      <c r="ANC23" s="51" t="n"/>
      <c r="AND23" s="51" t="n"/>
      <c r="ANE23" s="51" t="n"/>
      <c r="ANF23" s="51" t="n"/>
      <c r="ANG23" s="51" t="n"/>
      <c r="ANH23" s="51" t="n"/>
      <c r="ANI23" s="51" t="n"/>
      <c r="ANJ23" s="51" t="n"/>
      <c r="ANK23" s="51" t="n"/>
      <c r="ANL23" s="51" t="n"/>
      <c r="ANM23" s="51" t="n"/>
      <c r="ANN23" s="51" t="n"/>
      <c r="ANO23" s="51" t="n"/>
      <c r="ANP23" s="51" t="n"/>
      <c r="ANQ23" s="51" t="n"/>
      <c r="ANR23" s="51" t="n"/>
      <c r="ANS23" s="51" t="n"/>
      <c r="ANT23" s="51" t="n"/>
      <c r="ANU23" s="51" t="n"/>
      <c r="ANV23" s="51" t="n"/>
      <c r="ANW23" s="51" t="n"/>
      <c r="ANX23" s="51" t="n"/>
      <c r="ANY23" s="51" t="n"/>
      <c r="ANZ23" s="51" t="n"/>
      <c r="AOA23" s="51" t="n"/>
      <c r="AOB23" s="51" t="n"/>
      <c r="AOC23" s="51" t="n"/>
      <c r="AOD23" s="51" t="n"/>
      <c r="AOE23" s="51" t="n"/>
      <c r="AOF23" s="51" t="n"/>
      <c r="AOG23" s="51" t="n"/>
      <c r="AOH23" s="51" t="n"/>
      <c r="AOI23" s="51" t="n"/>
      <c r="AOJ23" s="51" t="n"/>
      <c r="AOK23" s="51" t="n"/>
      <c r="AOL23" s="51" t="n"/>
      <c r="AOM23" s="51" t="n"/>
      <c r="AON23" s="51" t="n"/>
      <c r="AOO23" s="51" t="n"/>
      <c r="AOP23" s="51" t="n"/>
      <c r="AOQ23" s="51" t="n"/>
      <c r="AOR23" s="51" t="n"/>
      <c r="AOS23" s="51" t="n"/>
      <c r="AOT23" s="51" t="n"/>
      <c r="AOU23" s="51" t="n"/>
      <c r="AOV23" s="51" t="n"/>
      <c r="AOW23" s="51" t="n"/>
      <c r="AOX23" s="51" t="n"/>
      <c r="AOY23" s="51" t="n"/>
      <c r="AOZ23" s="51" t="n"/>
      <c r="APA23" s="51" t="n"/>
      <c r="APB23" s="51" t="n"/>
      <c r="APC23" s="51" t="n"/>
      <c r="APD23" s="51" t="n"/>
      <c r="APE23" s="51" t="n"/>
      <c r="APF23" s="51" t="n"/>
      <c r="APG23" s="51" t="n"/>
      <c r="APH23" s="51" t="n"/>
      <c r="API23" s="51" t="n"/>
      <c r="APJ23" s="51" t="n"/>
      <c r="APK23" s="51" t="n"/>
      <c r="APL23" s="51" t="n"/>
      <c r="APM23" s="51" t="n"/>
      <c r="APN23" s="51" t="n"/>
      <c r="APO23" s="51" t="n"/>
      <c r="APP23" s="51" t="n"/>
      <c r="APQ23" s="51" t="n"/>
      <c r="APR23" s="51" t="n"/>
      <c r="APS23" s="51" t="n"/>
      <c r="APT23" s="51" t="n"/>
      <c r="APU23" s="51" t="n"/>
      <c r="APV23" s="51" t="n"/>
      <c r="APW23" s="51" t="n"/>
      <c r="APX23" s="51" t="n"/>
      <c r="APY23" s="51" t="n"/>
      <c r="APZ23" s="51" t="n"/>
      <c r="AQA23" s="51" t="n"/>
      <c r="AQB23" s="51" t="n"/>
      <c r="AQC23" s="51" t="n"/>
      <c r="AQD23" s="51" t="n"/>
      <c r="AQE23" s="51" t="n"/>
      <c r="AQF23" s="51" t="n"/>
      <c r="AQG23" s="51" t="n"/>
      <c r="AQH23" s="51" t="n"/>
      <c r="AQI23" s="51" t="n"/>
      <c r="AQJ23" s="51" t="n"/>
      <c r="AQK23" s="51" t="n"/>
      <c r="AQL23" s="51" t="n"/>
      <c r="AQM23" s="51" t="n"/>
      <c r="AQN23" s="51" t="n"/>
      <c r="AQO23" s="51" t="n"/>
      <c r="AQP23" s="51" t="n"/>
      <c r="AQQ23" s="51" t="n"/>
      <c r="AQR23" s="51" t="n"/>
      <c r="AQS23" s="51" t="n"/>
      <c r="AQT23" s="51" t="n"/>
      <c r="AQU23" s="51" t="n"/>
      <c r="AQV23" s="51" t="n"/>
      <c r="AQW23" s="51" t="n"/>
      <c r="AQX23" s="51" t="n"/>
      <c r="AQY23" s="51" t="n"/>
      <c r="AQZ23" s="51" t="n"/>
      <c r="ARA23" s="51" t="n"/>
      <c r="ARB23" s="51" t="n"/>
      <c r="ARC23" s="51" t="n"/>
      <c r="ARD23" s="51" t="n"/>
      <c r="ARE23" s="51" t="n"/>
      <c r="ARF23" s="51" t="n"/>
      <c r="ARG23" s="51" t="n"/>
      <c r="ARH23" s="51" t="n"/>
      <c r="ARI23" s="51" t="n"/>
      <c r="ARJ23" s="51" t="n"/>
      <c r="ARK23" s="51" t="n"/>
      <c r="ARL23" s="51" t="n"/>
      <c r="ARM23" s="51" t="n"/>
      <c r="ARN23" s="51" t="n"/>
      <c r="ARO23" s="51" t="n"/>
      <c r="ARP23" s="51" t="n"/>
      <c r="ARQ23" s="51" t="n"/>
      <c r="ARR23" s="51" t="n"/>
      <c r="ARS23" s="51" t="n"/>
      <c r="ART23" s="51" t="n"/>
      <c r="ARU23" s="51" t="n"/>
      <c r="ARV23" s="51" t="n"/>
      <c r="ARW23" s="51" t="n"/>
      <c r="ARX23" s="51" t="n"/>
      <c r="ARY23" s="51" t="n"/>
      <c r="ARZ23" s="51" t="n"/>
      <c r="ASA23" s="51" t="n"/>
      <c r="ASB23" s="51" t="n"/>
      <c r="ASC23" s="51" t="n"/>
      <c r="ASD23" s="51" t="n"/>
      <c r="ASE23" s="51" t="n"/>
      <c r="ASF23" s="51" t="n"/>
      <c r="ASG23" s="51" t="n"/>
      <c r="ASH23" s="51" t="n"/>
      <c r="ASI23" s="51" t="n"/>
      <c r="ASJ23" s="51" t="n"/>
      <c r="ASK23" s="51" t="n"/>
      <c r="ASL23" s="51" t="n"/>
      <c r="ASM23" s="51" t="n"/>
      <c r="ASN23" s="51" t="n"/>
      <c r="ASO23" s="51" t="n"/>
      <c r="ASP23" s="51" t="n"/>
      <c r="ASQ23" s="51" t="n"/>
      <c r="ASR23" s="51" t="n"/>
      <c r="ASS23" s="51" t="n"/>
      <c r="AST23" s="51" t="n"/>
      <c r="ASU23" s="51" t="n"/>
      <c r="ASV23" s="51" t="n"/>
      <c r="ASW23" s="51" t="n"/>
      <c r="ASX23" s="51" t="n"/>
      <c r="ASY23" s="51" t="n"/>
      <c r="ASZ23" s="51" t="n"/>
      <c r="ATA23" s="51" t="n"/>
      <c r="ATB23" s="51" t="n"/>
      <c r="ATC23" s="51" t="n"/>
      <c r="ATD23" s="51" t="n"/>
      <c r="ATE23" s="51" t="n"/>
      <c r="ATF23" s="51" t="n"/>
      <c r="ATG23" s="51" t="n"/>
      <c r="ATH23" s="51" t="n"/>
      <c r="ATI23" s="51" t="n"/>
      <c r="ATJ23" s="51" t="n"/>
      <c r="ATK23" s="51" t="n"/>
      <c r="ATL23" s="51" t="n"/>
      <c r="ATM23" s="51" t="n"/>
      <c r="ATN23" s="51" t="n"/>
      <c r="ATO23" s="51" t="n"/>
      <c r="ATP23" s="51" t="n"/>
      <c r="ATQ23" s="51" t="n"/>
      <c r="ATR23" s="51" t="n"/>
      <c r="ATS23" s="51" t="n"/>
      <c r="ATT23" s="51" t="n"/>
      <c r="ATU23" s="51" t="n"/>
      <c r="ATV23" s="51" t="n"/>
      <c r="ATW23" s="51" t="n"/>
      <c r="ATX23" s="51" t="n"/>
      <c r="ATY23" s="51" t="n"/>
      <c r="ATZ23" s="51" t="n"/>
      <c r="AUA23" s="51" t="n"/>
      <c r="AUB23" s="51" t="n"/>
      <c r="AUC23" s="51" t="n"/>
      <c r="AUD23" s="51" t="n"/>
      <c r="AUE23" s="51" t="n"/>
      <c r="AUF23" s="51" t="n"/>
      <c r="AUG23" s="51" t="n"/>
      <c r="AUH23" s="51" t="n"/>
      <c r="AUI23" s="51" t="n"/>
      <c r="AUJ23" s="51" t="n"/>
      <c r="AUK23" s="51" t="n"/>
      <c r="AUL23" s="51" t="n"/>
      <c r="AUM23" s="51" t="n"/>
      <c r="AUN23" s="51" t="n"/>
      <c r="AUO23" s="51" t="n"/>
      <c r="AUP23" s="51" t="n"/>
      <c r="AUQ23" s="51" t="n"/>
      <c r="AUR23" s="51" t="n"/>
      <c r="AUS23" s="51" t="n"/>
      <c r="AUT23" s="51" t="n"/>
      <c r="AUU23" s="51" t="n"/>
      <c r="AUV23" s="51" t="n"/>
      <c r="AUW23" s="51" t="n"/>
      <c r="AUX23" s="51" t="n"/>
      <c r="AUY23" s="51" t="n"/>
      <c r="AUZ23" s="51" t="n"/>
      <c r="AVA23" s="51" t="n"/>
      <c r="AVB23" s="51" t="n"/>
      <c r="AVC23" s="51" t="n"/>
      <c r="AVD23" s="51" t="n"/>
      <c r="AVE23" s="51" t="n"/>
      <c r="AVF23" s="51" t="n"/>
      <c r="AVG23" s="51" t="n"/>
      <c r="AVH23" s="51" t="n"/>
      <c r="AVI23" s="51" t="n"/>
      <c r="AVJ23" s="51" t="n"/>
      <c r="AVK23" s="51" t="n"/>
      <c r="AVL23" s="51" t="n"/>
      <c r="AVM23" s="51" t="n"/>
      <c r="AVN23" s="51" t="n"/>
      <c r="AVO23" s="51" t="n"/>
      <c r="AVP23" s="51" t="n"/>
      <c r="AVQ23" s="51" t="n"/>
      <c r="AVR23" s="51" t="n"/>
      <c r="AVS23" s="51" t="n"/>
      <c r="AVT23" s="51" t="n"/>
      <c r="AVU23" s="51" t="n"/>
      <c r="AVV23" s="51" t="n"/>
      <c r="AVW23" s="51" t="n"/>
      <c r="AVX23" s="51" t="n"/>
      <c r="AVY23" s="51" t="n"/>
      <c r="AVZ23" s="51" t="n"/>
      <c r="AWA23" s="51" t="n"/>
      <c r="AWB23" s="51" t="n"/>
      <c r="AWC23" s="51" t="n"/>
      <c r="AWD23" s="51" t="n"/>
      <c r="AWE23" s="51" t="n"/>
      <c r="AWF23" s="51" t="n"/>
      <c r="AWG23" s="51" t="n"/>
      <c r="AWH23" s="51" t="n"/>
      <c r="AWI23" s="51" t="n"/>
      <c r="AWJ23" s="51" t="n"/>
      <c r="AWK23" s="51" t="n"/>
      <c r="AWL23" s="51" t="n"/>
      <c r="AWM23" s="51" t="n"/>
      <c r="AWN23" s="51" t="n"/>
      <c r="AWO23" s="51" t="n"/>
      <c r="AWP23" s="51" t="n"/>
      <c r="AWQ23" s="51" t="n"/>
      <c r="AWR23" s="51" t="n"/>
      <c r="AWS23" s="51" t="n"/>
      <c r="AWT23" s="51" t="n"/>
      <c r="AWU23" s="51" t="n"/>
      <c r="AWV23" s="51" t="n"/>
      <c r="AWW23" s="51" t="n"/>
      <c r="AWX23" s="51" t="n"/>
      <c r="AWY23" s="51" t="n"/>
      <c r="AWZ23" s="51" t="n"/>
      <c r="AXA23" s="51" t="n"/>
      <c r="AXB23" s="51" t="n"/>
      <c r="AXC23" s="51" t="n"/>
      <c r="AXD23" s="51" t="n"/>
      <c r="AXE23" s="51" t="n"/>
      <c r="AXF23" s="51" t="n"/>
      <c r="AXG23" s="51" t="n"/>
      <c r="AXH23" s="51" t="n"/>
      <c r="AXI23" s="51" t="n"/>
      <c r="AXJ23" s="51" t="n"/>
      <c r="AXK23" s="51" t="n"/>
      <c r="AXL23" s="51" t="n"/>
      <c r="AXM23" s="51" t="n"/>
      <c r="AXN23" s="51" t="n"/>
      <c r="AXO23" s="51" t="n"/>
      <c r="AXP23" s="51" t="n"/>
      <c r="AXQ23" s="51" t="n"/>
      <c r="AXR23" s="51" t="n"/>
      <c r="AXS23" s="51" t="n"/>
      <c r="AXT23" s="51" t="n"/>
      <c r="AXU23" s="51" t="n"/>
      <c r="AXV23" s="51" t="n"/>
      <c r="AXW23" s="51" t="n"/>
      <c r="AXX23" s="51" t="n"/>
      <c r="AXY23" s="51" t="n"/>
      <c r="AXZ23" s="51" t="n"/>
      <c r="AYA23" s="51" t="n"/>
      <c r="AYB23" s="51" t="n"/>
      <c r="AYC23" s="51" t="n"/>
      <c r="AYD23" s="51" t="n"/>
      <c r="AYE23" s="51" t="n"/>
      <c r="AYF23" s="51" t="n"/>
      <c r="AYG23" s="51" t="n"/>
      <c r="AYH23" s="51" t="n"/>
      <c r="AYI23" s="51" t="n"/>
      <c r="AYJ23" s="51" t="n"/>
      <c r="AYK23" s="51" t="n"/>
      <c r="AYL23" s="51" t="n"/>
      <c r="AYM23" s="51" t="n"/>
      <c r="AYN23" s="51" t="n"/>
      <c r="AYO23" s="51" t="n"/>
      <c r="AYP23" s="51" t="n"/>
      <c r="AYQ23" s="51" t="n"/>
      <c r="AYR23" s="51" t="n"/>
      <c r="AYS23" s="51" t="n"/>
      <c r="AYT23" s="51" t="n"/>
      <c r="AYU23" s="51" t="n"/>
      <c r="AYV23" s="51" t="n"/>
      <c r="AYW23" s="51" t="n"/>
      <c r="AYX23" s="51" t="n"/>
      <c r="AYY23" s="51" t="n"/>
      <c r="AYZ23" s="51" t="n"/>
      <c r="AZA23" s="51" t="n"/>
      <c r="AZB23" s="51" t="n"/>
      <c r="AZC23" s="51" t="n"/>
      <c r="AZD23" s="51" t="n"/>
      <c r="AZE23" s="51" t="n"/>
      <c r="AZF23" s="51" t="n"/>
      <c r="AZG23" s="51" t="n"/>
      <c r="AZH23" s="51" t="n"/>
      <c r="AZI23" s="51" t="n"/>
      <c r="AZJ23" s="51" t="n"/>
      <c r="AZK23" s="51" t="n"/>
      <c r="AZL23" s="51" t="n"/>
      <c r="AZM23" s="51" t="n"/>
      <c r="AZN23" s="51" t="n"/>
      <c r="AZO23" s="51" t="n"/>
      <c r="AZP23" s="51" t="n"/>
      <c r="AZQ23" s="51" t="n"/>
      <c r="AZR23" s="51" t="n"/>
      <c r="AZS23" s="51" t="n"/>
      <c r="AZT23" s="51" t="n"/>
      <c r="AZU23" s="51" t="n"/>
      <c r="AZV23" s="51" t="n"/>
      <c r="AZW23" s="51" t="n"/>
      <c r="AZX23" s="51" t="n"/>
      <c r="AZY23" s="51" t="n"/>
      <c r="AZZ23" s="51" t="n"/>
      <c r="BAA23" s="51" t="n"/>
      <c r="BAB23" s="51" t="n"/>
      <c r="BAC23" s="51" t="n"/>
      <c r="BAD23" s="51" t="n"/>
      <c r="BAE23" s="51" t="n"/>
      <c r="BAF23" s="51" t="n"/>
      <c r="BAG23" s="51" t="n"/>
      <c r="BAH23" s="51" t="n"/>
      <c r="BAI23" s="51" t="n"/>
      <c r="BAJ23" s="51" t="n"/>
      <c r="BAK23" s="51" t="n"/>
      <c r="BAL23" s="51" t="n"/>
      <c r="BAM23" s="51" t="n"/>
      <c r="BAN23" s="51" t="n"/>
      <c r="BAO23" s="51" t="n"/>
      <c r="BAP23" s="51" t="n"/>
      <c r="BAQ23" s="51" t="n"/>
      <c r="BAR23" s="51" t="n"/>
      <c r="BAS23" s="51" t="n"/>
      <c r="BAT23" s="51" t="n"/>
      <c r="BAU23" s="51" t="n"/>
      <c r="BAV23" s="51" t="n"/>
      <c r="BAW23" s="51" t="n"/>
      <c r="BAX23" s="51" t="n"/>
      <c r="BAY23" s="51" t="n"/>
      <c r="BAZ23" s="51" t="n"/>
      <c r="BBA23" s="51" t="n"/>
      <c r="BBB23" s="51" t="n"/>
      <c r="BBC23" s="51" t="n"/>
      <c r="BBD23" s="51" t="n"/>
      <c r="BBE23" s="51" t="n"/>
      <c r="BBF23" s="51" t="n"/>
      <c r="BBG23" s="51" t="n"/>
      <c r="BBH23" s="51" t="n"/>
      <c r="BBI23" s="51" t="n"/>
      <c r="BBJ23" s="51" t="n"/>
      <c r="BBK23" s="51" t="n"/>
      <c r="BBL23" s="51" t="n"/>
      <c r="BBM23" s="51" t="n"/>
      <c r="BBN23" s="51" t="n"/>
      <c r="BBO23" s="51" t="n"/>
      <c r="BBP23" s="51" t="n"/>
    </row>
    <row r="24" ht="13.5" customHeight="1">
      <c r="A24" s="22">
        <f>A23+1</f>
        <v/>
      </c>
      <c r="B24" s="30" t="inlineStr">
        <is>
          <t>BATTERY ABC BESAR</t>
        </is>
      </c>
      <c r="C24" s="126" t="inlineStr">
        <is>
          <t>PCS</t>
        </is>
      </c>
      <c r="D24" s="26">
        <f>'Week  (4)'!U24</f>
        <v/>
      </c>
      <c r="E24" s="125" t="n"/>
      <c r="F24" s="55" t="n"/>
      <c r="G24" s="52" t="n"/>
      <c r="H24" s="55" t="n"/>
      <c r="I24" s="71" t="n"/>
      <c r="J24" s="55" t="n"/>
      <c r="K24" s="18" t="n"/>
      <c r="L24" s="73" t="n"/>
      <c r="M24" s="73" t="n"/>
      <c r="N24" s="73" t="n"/>
      <c r="O24" s="19" t="n"/>
      <c r="P24" s="18" t="n"/>
      <c r="Q24" s="18" t="n"/>
      <c r="R24" s="73" t="n"/>
      <c r="S24" s="18" t="n"/>
      <c r="T24" s="18" t="n"/>
      <c r="U24" s="26">
        <f>D24+F24+-(H24+J24+L24+N24+P24+R24+T24)</f>
        <v/>
      </c>
      <c r="V24" s="51" t="inlineStr">
        <is>
          <t>CONSUMABLE</t>
        </is>
      </c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  <c r="GB24" s="51" t="n"/>
      <c r="GC24" s="51" t="n"/>
      <c r="GD24" s="51" t="n"/>
      <c r="GE24" s="51" t="n"/>
      <c r="GF24" s="51" t="n"/>
      <c r="GG24" s="51" t="n"/>
      <c r="GH24" s="51" t="n"/>
      <c r="GI24" s="51" t="n"/>
      <c r="GJ24" s="51" t="n"/>
      <c r="GK24" s="51" t="n"/>
      <c r="GL24" s="51" t="n"/>
      <c r="GM24" s="51" t="n"/>
      <c r="GN24" s="51" t="n"/>
      <c r="GO24" s="51" t="n"/>
      <c r="GP24" s="51" t="n"/>
      <c r="GQ24" s="51" t="n"/>
      <c r="GR24" s="51" t="n"/>
      <c r="GS24" s="51" t="n"/>
      <c r="GT24" s="51" t="n"/>
      <c r="GU24" s="51" t="n"/>
      <c r="GV24" s="51" t="n"/>
      <c r="GW24" s="51" t="n"/>
      <c r="GX24" s="51" t="n"/>
      <c r="GY24" s="51" t="n"/>
      <c r="GZ24" s="51" t="n"/>
      <c r="HA24" s="51" t="n"/>
      <c r="HB24" s="51" t="n"/>
      <c r="HC24" s="51" t="n"/>
      <c r="HD24" s="51" t="n"/>
      <c r="HE24" s="51" t="n"/>
      <c r="HF24" s="51" t="n"/>
      <c r="HG24" s="51" t="n"/>
      <c r="HH24" s="51" t="n"/>
      <c r="HI24" s="51" t="n"/>
      <c r="HJ24" s="51" t="n"/>
      <c r="HK24" s="51" t="n"/>
      <c r="HL24" s="51" t="n"/>
      <c r="HM24" s="51" t="n"/>
      <c r="HN24" s="51" t="n"/>
      <c r="HO24" s="51" t="n"/>
      <c r="HP24" s="51" t="n"/>
      <c r="HQ24" s="51" t="n"/>
      <c r="HR24" s="51" t="n"/>
      <c r="HS24" s="51" t="n"/>
      <c r="HT24" s="51" t="n"/>
      <c r="HU24" s="51" t="n"/>
      <c r="HV24" s="51" t="n"/>
      <c r="HW24" s="51" t="n"/>
      <c r="HX24" s="51" t="n"/>
      <c r="HY24" s="51" t="n"/>
      <c r="HZ24" s="51" t="n"/>
      <c r="IA24" s="51" t="n"/>
      <c r="IB24" s="51" t="n"/>
      <c r="IC24" s="51" t="n"/>
      <c r="ID24" s="51" t="n"/>
      <c r="IE24" s="51" t="n"/>
      <c r="IF24" s="51" t="n"/>
      <c r="IG24" s="51" t="n"/>
      <c r="IH24" s="51" t="n"/>
      <c r="II24" s="51" t="n"/>
      <c r="IJ24" s="51" t="n"/>
      <c r="IK24" s="51" t="n"/>
      <c r="IL24" s="51" t="n"/>
      <c r="IM24" s="51" t="n"/>
      <c r="IN24" s="51" t="n"/>
      <c r="IO24" s="51" t="n"/>
      <c r="IP24" s="51" t="n"/>
      <c r="IQ24" s="51" t="n"/>
      <c r="IR24" s="51" t="n"/>
      <c r="IS24" s="51" t="n"/>
      <c r="IT24" s="51" t="n"/>
      <c r="IU24" s="51" t="n"/>
      <c r="IV24" s="51" t="n"/>
      <c r="IW24" s="51" t="n"/>
      <c r="IX24" s="51" t="n"/>
      <c r="IY24" s="51" t="n"/>
      <c r="IZ24" s="51" t="n"/>
      <c r="JA24" s="51" t="n"/>
      <c r="JB24" s="51" t="n"/>
      <c r="JC24" s="51" t="n"/>
      <c r="JD24" s="51" t="n"/>
      <c r="JE24" s="51" t="n"/>
      <c r="JF24" s="51" t="n"/>
      <c r="JG24" s="51" t="n"/>
      <c r="JH24" s="51" t="n"/>
      <c r="JI24" s="51" t="n"/>
      <c r="JJ24" s="51" t="n"/>
      <c r="JK24" s="51" t="n"/>
      <c r="JL24" s="51" t="n"/>
      <c r="JM24" s="51" t="n"/>
      <c r="JN24" s="51" t="n"/>
      <c r="JO24" s="51" t="n"/>
      <c r="JP24" s="51" t="n"/>
      <c r="JQ24" s="51" t="n"/>
      <c r="JR24" s="51" t="n"/>
      <c r="JS24" s="51" t="n"/>
      <c r="JT24" s="51" t="n"/>
      <c r="JU24" s="51" t="n"/>
      <c r="JV24" s="51" t="n"/>
      <c r="JW24" s="51" t="n"/>
      <c r="JX24" s="51" t="n"/>
      <c r="JY24" s="51" t="n"/>
      <c r="JZ24" s="51" t="n"/>
      <c r="KA24" s="51" t="n"/>
      <c r="KB24" s="51" t="n"/>
      <c r="KC24" s="51" t="n"/>
      <c r="KD24" s="51" t="n"/>
      <c r="KE24" s="51" t="n"/>
      <c r="KF24" s="51" t="n"/>
      <c r="KG24" s="51" t="n"/>
      <c r="KH24" s="51" t="n"/>
      <c r="KI24" s="51" t="n"/>
      <c r="KJ24" s="51" t="n"/>
      <c r="KK24" s="51" t="n"/>
      <c r="KL24" s="51" t="n"/>
      <c r="KM24" s="51" t="n"/>
      <c r="KN24" s="51" t="n"/>
      <c r="KO24" s="51" t="n"/>
      <c r="KP24" s="51" t="n"/>
      <c r="KQ24" s="51" t="n"/>
      <c r="KR24" s="51" t="n"/>
      <c r="KS24" s="51" t="n"/>
      <c r="KT24" s="51" t="n"/>
      <c r="KU24" s="51" t="n"/>
      <c r="KV24" s="51" t="n"/>
      <c r="KW24" s="51" t="n"/>
      <c r="KX24" s="51" t="n"/>
      <c r="KY24" s="51" t="n"/>
      <c r="KZ24" s="51" t="n"/>
      <c r="LA24" s="51" t="n"/>
      <c r="LB24" s="51" t="n"/>
      <c r="LC24" s="51" t="n"/>
      <c r="LD24" s="51" t="n"/>
      <c r="LE24" s="51" t="n"/>
      <c r="LF24" s="51" t="n"/>
      <c r="LG24" s="51" t="n"/>
      <c r="LH24" s="51" t="n"/>
      <c r="LI24" s="51" t="n"/>
      <c r="LJ24" s="51" t="n"/>
      <c r="LK24" s="51" t="n"/>
      <c r="LL24" s="51" t="n"/>
      <c r="LM24" s="51" t="n"/>
      <c r="LN24" s="51" t="n"/>
      <c r="LO24" s="51" t="n"/>
      <c r="LP24" s="51" t="n"/>
      <c r="LQ24" s="51" t="n"/>
      <c r="LR24" s="51" t="n"/>
      <c r="LS24" s="51" t="n"/>
      <c r="LT24" s="51" t="n"/>
      <c r="LU24" s="51" t="n"/>
      <c r="LV24" s="51" t="n"/>
      <c r="LW24" s="51" t="n"/>
      <c r="LX24" s="51" t="n"/>
      <c r="LY24" s="51" t="n"/>
      <c r="LZ24" s="51" t="n"/>
      <c r="MA24" s="51" t="n"/>
      <c r="MB24" s="51" t="n"/>
      <c r="MC24" s="51" t="n"/>
      <c r="MD24" s="51" t="n"/>
      <c r="ME24" s="51" t="n"/>
      <c r="MF24" s="51" t="n"/>
      <c r="MG24" s="51" t="n"/>
      <c r="MH24" s="51" t="n"/>
      <c r="MI24" s="51" t="n"/>
      <c r="MJ24" s="51" t="n"/>
      <c r="MK24" s="51" t="n"/>
      <c r="ML24" s="51" t="n"/>
      <c r="MM24" s="51" t="n"/>
      <c r="MN24" s="51" t="n"/>
      <c r="MO24" s="51" t="n"/>
      <c r="MP24" s="51" t="n"/>
      <c r="MQ24" s="51" t="n"/>
      <c r="MR24" s="51" t="n"/>
      <c r="MS24" s="51" t="n"/>
      <c r="MT24" s="51" t="n"/>
      <c r="MU24" s="51" t="n"/>
      <c r="MV24" s="51" t="n"/>
      <c r="MW24" s="51" t="n"/>
      <c r="MX24" s="51" t="n"/>
      <c r="MY24" s="51" t="n"/>
      <c r="MZ24" s="51" t="n"/>
      <c r="NA24" s="51" t="n"/>
      <c r="NB24" s="51" t="n"/>
      <c r="NC24" s="51" t="n"/>
      <c r="ND24" s="51" t="n"/>
      <c r="NE24" s="51" t="n"/>
      <c r="NF24" s="51" t="n"/>
      <c r="NG24" s="51" t="n"/>
      <c r="NH24" s="51" t="n"/>
      <c r="NI24" s="51" t="n"/>
      <c r="NJ24" s="51" t="n"/>
      <c r="NK24" s="51" t="n"/>
      <c r="NL24" s="51" t="n"/>
      <c r="NM24" s="51" t="n"/>
      <c r="NN24" s="51" t="n"/>
      <c r="NO24" s="51" t="n"/>
      <c r="NP24" s="51" t="n"/>
      <c r="NQ24" s="51" t="n"/>
      <c r="NR24" s="51" t="n"/>
      <c r="NS24" s="51" t="n"/>
      <c r="NT24" s="51" t="n"/>
      <c r="NU24" s="51" t="n"/>
      <c r="NV24" s="51" t="n"/>
      <c r="NW24" s="51" t="n"/>
      <c r="NX24" s="51" t="n"/>
      <c r="NY24" s="51" t="n"/>
      <c r="NZ24" s="51" t="n"/>
      <c r="OA24" s="51" t="n"/>
      <c r="OB24" s="51" t="n"/>
      <c r="OC24" s="51" t="n"/>
      <c r="OD24" s="51" t="n"/>
      <c r="OE24" s="51" t="n"/>
      <c r="OF24" s="51" t="n"/>
      <c r="OG24" s="51" t="n"/>
      <c r="OH24" s="51" t="n"/>
      <c r="OI24" s="51" t="n"/>
      <c r="OJ24" s="51" t="n"/>
      <c r="OK24" s="51" t="n"/>
      <c r="OL24" s="51" t="n"/>
      <c r="OM24" s="51" t="n"/>
      <c r="ON24" s="51" t="n"/>
      <c r="OO24" s="51" t="n"/>
      <c r="OP24" s="51" t="n"/>
      <c r="OQ24" s="51" t="n"/>
      <c r="OR24" s="51" t="n"/>
      <c r="OS24" s="51" t="n"/>
      <c r="OT24" s="51" t="n"/>
      <c r="OU24" s="51" t="n"/>
      <c r="OV24" s="51" t="n"/>
      <c r="OW24" s="51" t="n"/>
      <c r="OX24" s="51" t="n"/>
      <c r="OY24" s="51" t="n"/>
      <c r="OZ24" s="51" t="n"/>
      <c r="PA24" s="51" t="n"/>
      <c r="PB24" s="51" t="n"/>
      <c r="PC24" s="51" t="n"/>
      <c r="PD24" s="51" t="n"/>
      <c r="PE24" s="51" t="n"/>
      <c r="PF24" s="51" t="n"/>
      <c r="PG24" s="51" t="n"/>
      <c r="PH24" s="51" t="n"/>
      <c r="PI24" s="51" t="n"/>
      <c r="PJ24" s="51" t="n"/>
      <c r="PK24" s="51" t="n"/>
      <c r="PL24" s="51" t="n"/>
      <c r="PM24" s="51" t="n"/>
      <c r="PN24" s="51" t="n"/>
      <c r="PO24" s="51" t="n"/>
      <c r="PP24" s="51" t="n"/>
      <c r="PQ24" s="51" t="n"/>
      <c r="PR24" s="51" t="n"/>
      <c r="PS24" s="51" t="n"/>
      <c r="PT24" s="51" t="n"/>
      <c r="PU24" s="51" t="n"/>
      <c r="PV24" s="51" t="n"/>
      <c r="PW24" s="51" t="n"/>
      <c r="PX24" s="51" t="n"/>
      <c r="PY24" s="51" t="n"/>
      <c r="PZ24" s="51" t="n"/>
      <c r="QA24" s="51" t="n"/>
      <c r="QB24" s="51" t="n"/>
      <c r="QC24" s="51" t="n"/>
      <c r="QD24" s="51" t="n"/>
      <c r="QE24" s="51" t="n"/>
      <c r="QF24" s="51" t="n"/>
      <c r="QG24" s="51" t="n"/>
      <c r="QH24" s="51" t="n"/>
      <c r="QI24" s="51" t="n"/>
      <c r="QJ24" s="51" t="n"/>
      <c r="QK24" s="51" t="n"/>
      <c r="QL24" s="51" t="n"/>
      <c r="QM24" s="51" t="n"/>
      <c r="QN24" s="51" t="n"/>
      <c r="QO24" s="51" t="n"/>
      <c r="QP24" s="51" t="n"/>
      <c r="QQ24" s="51" t="n"/>
      <c r="QR24" s="51" t="n"/>
      <c r="QS24" s="51" t="n"/>
      <c r="QT24" s="51" t="n"/>
      <c r="QU24" s="51" t="n"/>
      <c r="QV24" s="51" t="n"/>
      <c r="QW24" s="51" t="n"/>
      <c r="QX24" s="51" t="n"/>
      <c r="QY24" s="51" t="n"/>
      <c r="QZ24" s="51" t="n"/>
      <c r="RA24" s="51" t="n"/>
      <c r="RB24" s="51" t="n"/>
      <c r="RC24" s="51" t="n"/>
      <c r="RD24" s="51" t="n"/>
      <c r="RE24" s="51" t="n"/>
      <c r="RF24" s="51" t="n"/>
      <c r="RG24" s="51" t="n"/>
      <c r="RH24" s="51" t="n"/>
      <c r="RI24" s="51" t="n"/>
      <c r="RJ24" s="51" t="n"/>
      <c r="RK24" s="51" t="n"/>
      <c r="RL24" s="51" t="n"/>
      <c r="RM24" s="51" t="n"/>
      <c r="RN24" s="51" t="n"/>
      <c r="RO24" s="51" t="n"/>
      <c r="RP24" s="51" t="n"/>
      <c r="RQ24" s="51" t="n"/>
      <c r="RR24" s="51" t="n"/>
      <c r="RS24" s="51" t="n"/>
      <c r="RT24" s="51" t="n"/>
      <c r="RU24" s="51" t="n"/>
      <c r="RV24" s="51" t="n"/>
      <c r="RW24" s="51" t="n"/>
      <c r="RX24" s="51" t="n"/>
      <c r="RY24" s="51" t="n"/>
      <c r="RZ24" s="51" t="n"/>
      <c r="SA24" s="51" t="n"/>
      <c r="SB24" s="51" t="n"/>
      <c r="SC24" s="51" t="n"/>
      <c r="SD24" s="51" t="n"/>
      <c r="SE24" s="51" t="n"/>
      <c r="SF24" s="51" t="n"/>
      <c r="SG24" s="51" t="n"/>
      <c r="SH24" s="51" t="n"/>
      <c r="SI24" s="51" t="n"/>
      <c r="SJ24" s="51" t="n"/>
      <c r="SK24" s="51" t="n"/>
      <c r="SL24" s="51" t="n"/>
      <c r="SM24" s="51" t="n"/>
      <c r="SN24" s="51" t="n"/>
      <c r="SO24" s="51" t="n"/>
      <c r="SP24" s="51" t="n"/>
      <c r="SQ24" s="51" t="n"/>
      <c r="SR24" s="51" t="n"/>
      <c r="SS24" s="51" t="n"/>
      <c r="ST24" s="51" t="n"/>
      <c r="SU24" s="51" t="n"/>
      <c r="SV24" s="51" t="n"/>
      <c r="SW24" s="51" t="n"/>
      <c r="SX24" s="51" t="n"/>
      <c r="SY24" s="51" t="n"/>
      <c r="SZ24" s="51" t="n"/>
      <c r="TA24" s="51" t="n"/>
      <c r="TB24" s="51" t="n"/>
      <c r="TC24" s="51" t="n"/>
      <c r="TD24" s="51" t="n"/>
      <c r="TE24" s="51" t="n"/>
      <c r="TF24" s="51" t="n"/>
      <c r="TG24" s="51" t="n"/>
      <c r="TH24" s="51" t="n"/>
      <c r="TI24" s="51" t="n"/>
      <c r="TJ24" s="51" t="n"/>
      <c r="TK24" s="51" t="n"/>
      <c r="TL24" s="51" t="n"/>
      <c r="TM24" s="51" t="n"/>
      <c r="TN24" s="51" t="n"/>
      <c r="TO24" s="51" t="n"/>
      <c r="TP24" s="51" t="n"/>
      <c r="TQ24" s="51" t="n"/>
      <c r="TR24" s="51" t="n"/>
      <c r="TS24" s="51" t="n"/>
      <c r="TT24" s="51" t="n"/>
      <c r="TU24" s="51" t="n"/>
      <c r="TV24" s="51" t="n"/>
      <c r="TW24" s="51" t="n"/>
      <c r="TX24" s="51" t="n"/>
      <c r="TY24" s="51" t="n"/>
      <c r="TZ24" s="51" t="n"/>
      <c r="UA24" s="51" t="n"/>
      <c r="UB24" s="51" t="n"/>
      <c r="UC24" s="51" t="n"/>
      <c r="UD24" s="51" t="n"/>
      <c r="UE24" s="51" t="n"/>
      <c r="UF24" s="51" t="n"/>
      <c r="UG24" s="51" t="n"/>
      <c r="UH24" s="51" t="n"/>
      <c r="UI24" s="51" t="n"/>
      <c r="UJ24" s="51" t="n"/>
      <c r="UK24" s="51" t="n"/>
      <c r="UL24" s="51" t="n"/>
      <c r="UM24" s="51" t="n"/>
      <c r="UN24" s="51" t="n"/>
      <c r="UO24" s="51" t="n"/>
      <c r="UP24" s="51" t="n"/>
      <c r="UQ24" s="51" t="n"/>
      <c r="UR24" s="51" t="n"/>
      <c r="US24" s="51" t="n"/>
      <c r="UT24" s="51" t="n"/>
      <c r="UU24" s="51" t="n"/>
      <c r="UV24" s="51" t="n"/>
      <c r="UW24" s="51" t="n"/>
      <c r="UX24" s="51" t="n"/>
      <c r="UY24" s="51" t="n"/>
      <c r="UZ24" s="51" t="n"/>
      <c r="VA24" s="51" t="n"/>
      <c r="VB24" s="51" t="n"/>
      <c r="VC24" s="51" t="n"/>
      <c r="VD24" s="51" t="n"/>
      <c r="VE24" s="51" t="n"/>
      <c r="VF24" s="51" t="n"/>
      <c r="VG24" s="51" t="n"/>
      <c r="VH24" s="51" t="n"/>
      <c r="VI24" s="51" t="n"/>
      <c r="VJ24" s="51" t="n"/>
      <c r="VK24" s="51" t="n"/>
      <c r="VL24" s="51" t="n"/>
      <c r="VM24" s="51" t="n"/>
      <c r="VN24" s="51" t="n"/>
      <c r="VO24" s="51" t="n"/>
      <c r="VP24" s="51" t="n"/>
      <c r="VQ24" s="51" t="n"/>
      <c r="VR24" s="51" t="n"/>
      <c r="VS24" s="51" t="n"/>
      <c r="VT24" s="51" t="n"/>
      <c r="VU24" s="51" t="n"/>
      <c r="VV24" s="51" t="n"/>
      <c r="VW24" s="51" t="n"/>
      <c r="VX24" s="51" t="n"/>
      <c r="VY24" s="51" t="n"/>
      <c r="VZ24" s="51" t="n"/>
      <c r="WA24" s="51" t="n"/>
      <c r="WB24" s="51" t="n"/>
      <c r="WC24" s="51" t="n"/>
      <c r="WD24" s="51" t="n"/>
      <c r="WE24" s="51" t="n"/>
      <c r="WF24" s="51" t="n"/>
      <c r="WG24" s="51" t="n"/>
      <c r="WH24" s="51" t="n"/>
      <c r="WI24" s="51" t="n"/>
      <c r="WJ24" s="51" t="n"/>
      <c r="WK24" s="51" t="n"/>
      <c r="WL24" s="51" t="n"/>
      <c r="WM24" s="51" t="n"/>
      <c r="WN24" s="51" t="n"/>
      <c r="WO24" s="51" t="n"/>
      <c r="WP24" s="51" t="n"/>
      <c r="WQ24" s="51" t="n"/>
      <c r="WR24" s="51" t="n"/>
      <c r="WS24" s="51" t="n"/>
      <c r="WT24" s="51" t="n"/>
      <c r="WU24" s="51" t="n"/>
      <c r="WV24" s="51" t="n"/>
      <c r="WW24" s="51" t="n"/>
      <c r="WX24" s="51" t="n"/>
      <c r="WY24" s="51" t="n"/>
      <c r="WZ24" s="51" t="n"/>
      <c r="XA24" s="51" t="n"/>
      <c r="XB24" s="51" t="n"/>
      <c r="XC24" s="51" t="n"/>
      <c r="XD24" s="51" t="n"/>
      <c r="XE24" s="51" t="n"/>
      <c r="XF24" s="51" t="n"/>
      <c r="XG24" s="51" t="n"/>
      <c r="XH24" s="51" t="n"/>
      <c r="XI24" s="51" t="n"/>
      <c r="XJ24" s="51" t="n"/>
      <c r="XK24" s="51" t="n"/>
      <c r="XL24" s="51" t="n"/>
      <c r="XM24" s="51" t="n"/>
      <c r="XN24" s="51" t="n"/>
      <c r="XO24" s="51" t="n"/>
      <c r="XP24" s="51" t="n"/>
      <c r="XQ24" s="51" t="n"/>
      <c r="XR24" s="51" t="n"/>
      <c r="XS24" s="51" t="n"/>
      <c r="XT24" s="51" t="n"/>
      <c r="XU24" s="51" t="n"/>
      <c r="XV24" s="51" t="n"/>
      <c r="XW24" s="51" t="n"/>
      <c r="XX24" s="51" t="n"/>
      <c r="XY24" s="51" t="n"/>
      <c r="XZ24" s="51" t="n"/>
      <c r="YA24" s="51" t="n"/>
      <c r="YB24" s="51" t="n"/>
      <c r="YC24" s="51" t="n"/>
      <c r="YD24" s="51" t="n"/>
      <c r="YE24" s="51" t="n"/>
      <c r="YF24" s="51" t="n"/>
      <c r="YG24" s="51" t="n"/>
      <c r="YH24" s="51" t="n"/>
      <c r="YI24" s="51" t="n"/>
      <c r="YJ24" s="51" t="n"/>
      <c r="YK24" s="51" t="n"/>
      <c r="YL24" s="51" t="n"/>
      <c r="YM24" s="51" t="n"/>
      <c r="YN24" s="51" t="n"/>
      <c r="YO24" s="51" t="n"/>
      <c r="YP24" s="51" t="n"/>
      <c r="YQ24" s="51" t="n"/>
      <c r="YR24" s="51" t="n"/>
      <c r="YS24" s="51" t="n"/>
      <c r="YT24" s="51" t="n"/>
      <c r="YU24" s="51" t="n"/>
      <c r="YV24" s="51" t="n"/>
      <c r="YW24" s="51" t="n"/>
      <c r="YX24" s="51" t="n"/>
      <c r="YY24" s="51" t="n"/>
      <c r="YZ24" s="51" t="n"/>
      <c r="ZA24" s="51" t="n"/>
      <c r="ZB24" s="51" t="n"/>
      <c r="ZC24" s="51" t="n"/>
      <c r="ZD24" s="51" t="n"/>
      <c r="ZE24" s="51" t="n"/>
      <c r="ZF24" s="51" t="n"/>
      <c r="ZG24" s="51" t="n"/>
      <c r="ZH24" s="51" t="n"/>
      <c r="ZI24" s="51" t="n"/>
      <c r="ZJ24" s="51" t="n"/>
      <c r="ZK24" s="51" t="n"/>
      <c r="ZL24" s="51" t="n"/>
      <c r="ZM24" s="51" t="n"/>
      <c r="ZN24" s="51" t="n"/>
      <c r="ZO24" s="51" t="n"/>
      <c r="ZP24" s="51" t="n"/>
      <c r="ZQ24" s="51" t="n"/>
      <c r="ZR24" s="51" t="n"/>
      <c r="ZS24" s="51" t="n"/>
      <c r="ZT24" s="51" t="n"/>
      <c r="ZU24" s="51" t="n"/>
      <c r="ZV24" s="51" t="n"/>
      <c r="ZW24" s="51" t="n"/>
      <c r="ZX24" s="51" t="n"/>
      <c r="ZY24" s="51" t="n"/>
      <c r="ZZ24" s="51" t="n"/>
      <c r="AAA24" s="51" t="n"/>
      <c r="AAB24" s="51" t="n"/>
      <c r="AAC24" s="51" t="n"/>
      <c r="AAD24" s="51" t="n"/>
      <c r="AAE24" s="51" t="n"/>
      <c r="AAF24" s="51" t="n"/>
      <c r="AAG24" s="51" t="n"/>
      <c r="AAH24" s="51" t="n"/>
      <c r="AAI24" s="51" t="n"/>
      <c r="AAJ24" s="51" t="n"/>
      <c r="AAK24" s="51" t="n"/>
      <c r="AAL24" s="51" t="n"/>
      <c r="AAM24" s="51" t="n"/>
      <c r="AAN24" s="51" t="n"/>
      <c r="AAO24" s="51" t="n"/>
      <c r="AAP24" s="51" t="n"/>
      <c r="AAQ24" s="51" t="n"/>
      <c r="AAR24" s="51" t="n"/>
      <c r="AAS24" s="51" t="n"/>
      <c r="AAT24" s="51" t="n"/>
      <c r="AAU24" s="51" t="n"/>
      <c r="AAV24" s="51" t="n"/>
      <c r="AAW24" s="51" t="n"/>
      <c r="AAX24" s="51" t="n"/>
      <c r="AAY24" s="51" t="n"/>
      <c r="AAZ24" s="51" t="n"/>
      <c r="ABA24" s="51" t="n"/>
      <c r="ABB24" s="51" t="n"/>
      <c r="ABC24" s="51" t="n"/>
      <c r="ABD24" s="51" t="n"/>
      <c r="ABE24" s="51" t="n"/>
      <c r="ABF24" s="51" t="n"/>
      <c r="ABG24" s="51" t="n"/>
      <c r="ABH24" s="51" t="n"/>
      <c r="ABI24" s="51" t="n"/>
      <c r="ABJ24" s="51" t="n"/>
      <c r="ABK24" s="51" t="n"/>
      <c r="ABL24" s="51" t="n"/>
      <c r="ABM24" s="51" t="n"/>
      <c r="ABN24" s="51" t="n"/>
      <c r="ABO24" s="51" t="n"/>
      <c r="ABP24" s="51" t="n"/>
      <c r="ABQ24" s="51" t="n"/>
      <c r="ABR24" s="51" t="n"/>
      <c r="ABS24" s="51" t="n"/>
      <c r="ABT24" s="51" t="n"/>
      <c r="ABU24" s="51" t="n"/>
      <c r="ABV24" s="51" t="n"/>
      <c r="ABW24" s="51" t="n"/>
      <c r="ABX24" s="51" t="n"/>
      <c r="ABY24" s="51" t="n"/>
      <c r="ABZ24" s="51" t="n"/>
      <c r="ACA24" s="51" t="n"/>
      <c r="ACB24" s="51" t="n"/>
      <c r="ACC24" s="51" t="n"/>
      <c r="ACD24" s="51" t="n"/>
      <c r="ACE24" s="51" t="n"/>
      <c r="ACF24" s="51" t="n"/>
      <c r="ACG24" s="51" t="n"/>
      <c r="ACH24" s="51" t="n"/>
      <c r="ACI24" s="51" t="n"/>
      <c r="ACJ24" s="51" t="n"/>
      <c r="ACK24" s="51" t="n"/>
      <c r="ACL24" s="51" t="n"/>
      <c r="ACM24" s="51" t="n"/>
      <c r="ACN24" s="51" t="n"/>
      <c r="ACO24" s="51" t="n"/>
      <c r="ACP24" s="51" t="n"/>
      <c r="ACQ24" s="51" t="n"/>
      <c r="ACR24" s="51" t="n"/>
      <c r="ACS24" s="51" t="n"/>
      <c r="ACT24" s="51" t="n"/>
      <c r="ACU24" s="51" t="n"/>
      <c r="ACV24" s="51" t="n"/>
      <c r="ACW24" s="51" t="n"/>
      <c r="ACX24" s="51" t="n"/>
      <c r="ACY24" s="51" t="n"/>
      <c r="ACZ24" s="51" t="n"/>
      <c r="ADA24" s="51" t="n"/>
      <c r="ADB24" s="51" t="n"/>
      <c r="ADC24" s="51" t="n"/>
      <c r="ADD24" s="51" t="n"/>
      <c r="ADE24" s="51" t="n"/>
      <c r="ADF24" s="51" t="n"/>
      <c r="ADG24" s="51" t="n"/>
      <c r="ADH24" s="51" t="n"/>
      <c r="ADI24" s="51" t="n"/>
      <c r="ADJ24" s="51" t="n"/>
      <c r="ADK24" s="51" t="n"/>
      <c r="ADL24" s="51" t="n"/>
      <c r="ADM24" s="51" t="n"/>
      <c r="ADN24" s="51" t="n"/>
      <c r="ADO24" s="51" t="n"/>
      <c r="ADP24" s="51" t="n"/>
      <c r="ADQ24" s="51" t="n"/>
      <c r="ADR24" s="51" t="n"/>
      <c r="ADS24" s="51" t="n"/>
      <c r="ADT24" s="51" t="n"/>
      <c r="ADU24" s="51" t="n"/>
      <c r="ADV24" s="51" t="n"/>
      <c r="ADW24" s="51" t="n"/>
      <c r="ADX24" s="51" t="n"/>
      <c r="ADY24" s="51" t="n"/>
      <c r="ADZ24" s="51" t="n"/>
      <c r="AEA24" s="51" t="n"/>
      <c r="AEB24" s="51" t="n"/>
      <c r="AEC24" s="51" t="n"/>
      <c r="AED24" s="51" t="n"/>
      <c r="AEE24" s="51" t="n"/>
      <c r="AEF24" s="51" t="n"/>
      <c r="AEG24" s="51" t="n"/>
      <c r="AEH24" s="51" t="n"/>
      <c r="AEI24" s="51" t="n"/>
      <c r="AEJ24" s="51" t="n"/>
      <c r="AEK24" s="51" t="n"/>
      <c r="AEL24" s="51" t="n"/>
      <c r="AEM24" s="51" t="n"/>
      <c r="AEN24" s="51" t="n"/>
      <c r="AEO24" s="51" t="n"/>
      <c r="AEP24" s="51" t="n"/>
      <c r="AEQ24" s="51" t="n"/>
      <c r="AER24" s="51" t="n"/>
      <c r="AES24" s="51" t="n"/>
      <c r="AET24" s="51" t="n"/>
      <c r="AEU24" s="51" t="n"/>
      <c r="AEV24" s="51" t="n"/>
      <c r="AEW24" s="51" t="n"/>
      <c r="AEX24" s="51" t="n"/>
      <c r="AEY24" s="51" t="n"/>
      <c r="AEZ24" s="51" t="n"/>
      <c r="AFA24" s="51" t="n"/>
      <c r="AFB24" s="51" t="n"/>
      <c r="AFC24" s="51" t="n"/>
      <c r="AFD24" s="51" t="n"/>
      <c r="AFE24" s="51" t="n"/>
      <c r="AFF24" s="51" t="n"/>
      <c r="AFG24" s="51" t="n"/>
      <c r="AFH24" s="51" t="n"/>
      <c r="AFI24" s="51" t="n"/>
      <c r="AFJ24" s="51" t="n"/>
      <c r="AFK24" s="51" t="n"/>
      <c r="AFL24" s="51" t="n"/>
      <c r="AFM24" s="51" t="n"/>
      <c r="AFN24" s="51" t="n"/>
      <c r="AFO24" s="51" t="n"/>
      <c r="AFP24" s="51" t="n"/>
      <c r="AFQ24" s="51" t="n"/>
      <c r="AFR24" s="51" t="n"/>
      <c r="AFS24" s="51" t="n"/>
      <c r="AFT24" s="51" t="n"/>
      <c r="AFU24" s="51" t="n"/>
      <c r="AFV24" s="51" t="n"/>
      <c r="AFW24" s="51" t="n"/>
      <c r="AFX24" s="51" t="n"/>
      <c r="AFY24" s="51" t="n"/>
      <c r="AFZ24" s="51" t="n"/>
      <c r="AGA24" s="51" t="n"/>
      <c r="AGB24" s="51" t="n"/>
      <c r="AGC24" s="51" t="n"/>
      <c r="AGD24" s="51" t="n"/>
      <c r="AGE24" s="51" t="n"/>
      <c r="AGF24" s="51" t="n"/>
      <c r="AGG24" s="51" t="n"/>
      <c r="AGH24" s="51" t="n"/>
      <c r="AGI24" s="51" t="n"/>
      <c r="AGJ24" s="51" t="n"/>
      <c r="AGK24" s="51" t="n"/>
      <c r="AGL24" s="51" t="n"/>
      <c r="AGM24" s="51" t="n"/>
      <c r="AGN24" s="51" t="n"/>
      <c r="AGO24" s="51" t="n"/>
      <c r="AGP24" s="51" t="n"/>
      <c r="AGQ24" s="51" t="n"/>
      <c r="AGR24" s="51" t="n"/>
      <c r="AGS24" s="51" t="n"/>
      <c r="AGT24" s="51" t="n"/>
      <c r="AGU24" s="51" t="n"/>
      <c r="AGV24" s="51" t="n"/>
      <c r="AGW24" s="51" t="n"/>
      <c r="AGX24" s="51" t="n"/>
      <c r="AGY24" s="51" t="n"/>
      <c r="AGZ24" s="51" t="n"/>
      <c r="AHA24" s="51" t="n"/>
      <c r="AHB24" s="51" t="n"/>
      <c r="AHC24" s="51" t="n"/>
      <c r="AHD24" s="51" t="n"/>
      <c r="AHE24" s="51" t="n"/>
      <c r="AHF24" s="51" t="n"/>
      <c r="AHG24" s="51" t="n"/>
      <c r="AHH24" s="51" t="n"/>
      <c r="AHI24" s="51" t="n"/>
      <c r="AHJ24" s="51" t="n"/>
      <c r="AHK24" s="51" t="n"/>
      <c r="AHL24" s="51" t="n"/>
      <c r="AHM24" s="51" t="n"/>
      <c r="AHN24" s="51" t="n"/>
      <c r="AHO24" s="51" t="n"/>
      <c r="AHP24" s="51" t="n"/>
      <c r="AHQ24" s="51" t="n"/>
      <c r="AHR24" s="51" t="n"/>
      <c r="AHS24" s="51" t="n"/>
      <c r="AHT24" s="51" t="n"/>
      <c r="AHU24" s="51" t="n"/>
      <c r="AHV24" s="51" t="n"/>
      <c r="AHW24" s="51" t="n"/>
      <c r="AHX24" s="51" t="n"/>
      <c r="AHY24" s="51" t="n"/>
      <c r="AHZ24" s="51" t="n"/>
      <c r="AIA24" s="51" t="n"/>
      <c r="AIB24" s="51" t="n"/>
      <c r="AIC24" s="51" t="n"/>
      <c r="AID24" s="51" t="n"/>
      <c r="AIE24" s="51" t="n"/>
      <c r="AIF24" s="51" t="n"/>
      <c r="AIG24" s="51" t="n"/>
      <c r="AIH24" s="51" t="n"/>
      <c r="AII24" s="51" t="n"/>
      <c r="AIJ24" s="51" t="n"/>
      <c r="AIK24" s="51" t="n"/>
      <c r="AIL24" s="51" t="n"/>
      <c r="AIM24" s="51" t="n"/>
      <c r="AIN24" s="51" t="n"/>
      <c r="AIO24" s="51" t="n"/>
      <c r="AIP24" s="51" t="n"/>
      <c r="AIQ24" s="51" t="n"/>
      <c r="AIR24" s="51" t="n"/>
      <c r="AIS24" s="51" t="n"/>
      <c r="AIT24" s="51" t="n"/>
      <c r="AIU24" s="51" t="n"/>
      <c r="AIV24" s="51" t="n"/>
      <c r="AIW24" s="51" t="n"/>
      <c r="AIX24" s="51" t="n"/>
      <c r="AIY24" s="51" t="n"/>
      <c r="AIZ24" s="51" t="n"/>
      <c r="AJA24" s="51" t="n"/>
      <c r="AJB24" s="51" t="n"/>
      <c r="AJC24" s="51" t="n"/>
      <c r="AJD24" s="51" t="n"/>
      <c r="AJE24" s="51" t="n"/>
      <c r="AJF24" s="51" t="n"/>
      <c r="AJG24" s="51" t="n"/>
      <c r="AJH24" s="51" t="n"/>
      <c r="AJI24" s="51" t="n"/>
      <c r="AJJ24" s="51" t="n"/>
      <c r="AJK24" s="51" t="n"/>
      <c r="AJL24" s="51" t="n"/>
      <c r="AJM24" s="51" t="n"/>
      <c r="AJN24" s="51" t="n"/>
      <c r="AJO24" s="51" t="n"/>
      <c r="AJP24" s="51" t="n"/>
      <c r="AJQ24" s="51" t="n"/>
      <c r="AJR24" s="51" t="n"/>
      <c r="AJS24" s="51" t="n"/>
      <c r="AJT24" s="51" t="n"/>
      <c r="AJU24" s="51" t="n"/>
      <c r="AJV24" s="51" t="n"/>
      <c r="AJW24" s="51" t="n"/>
      <c r="AJX24" s="51" t="n"/>
      <c r="AJY24" s="51" t="n"/>
      <c r="AJZ24" s="51" t="n"/>
      <c r="AKA24" s="51" t="n"/>
      <c r="AKB24" s="51" t="n"/>
      <c r="AKC24" s="51" t="n"/>
      <c r="AKD24" s="51" t="n"/>
      <c r="AKE24" s="51" t="n"/>
      <c r="AKF24" s="51" t="n"/>
      <c r="AKG24" s="51" t="n"/>
      <c r="AKH24" s="51" t="n"/>
      <c r="AKI24" s="51" t="n"/>
      <c r="AKJ24" s="51" t="n"/>
      <c r="AKK24" s="51" t="n"/>
      <c r="AKL24" s="51" t="n"/>
      <c r="AKM24" s="51" t="n"/>
      <c r="AKN24" s="51" t="n"/>
      <c r="AKO24" s="51" t="n"/>
      <c r="AKP24" s="51" t="n"/>
      <c r="AKQ24" s="51" t="n"/>
      <c r="AKR24" s="51" t="n"/>
      <c r="AKS24" s="51" t="n"/>
      <c r="AKT24" s="51" t="n"/>
      <c r="AKU24" s="51" t="n"/>
      <c r="AKV24" s="51" t="n"/>
      <c r="AKW24" s="51" t="n"/>
      <c r="AKX24" s="51" t="n"/>
      <c r="AKY24" s="51" t="n"/>
      <c r="AKZ24" s="51" t="n"/>
      <c r="ALA24" s="51" t="n"/>
      <c r="ALB24" s="51" t="n"/>
      <c r="ALC24" s="51" t="n"/>
      <c r="ALD24" s="51" t="n"/>
      <c r="ALE24" s="51" t="n"/>
      <c r="ALF24" s="51" t="n"/>
      <c r="ALG24" s="51" t="n"/>
      <c r="ALH24" s="51" t="n"/>
      <c r="ALI24" s="51" t="n"/>
      <c r="ALJ24" s="51" t="n"/>
      <c r="ALK24" s="51" t="n"/>
      <c r="ALL24" s="51" t="n"/>
      <c r="ALM24" s="51" t="n"/>
      <c r="ALN24" s="51" t="n"/>
      <c r="ALO24" s="51" t="n"/>
      <c r="ALP24" s="51" t="n"/>
      <c r="ALQ24" s="51" t="n"/>
      <c r="ALR24" s="51" t="n"/>
      <c r="ALS24" s="51" t="n"/>
      <c r="ALT24" s="51" t="n"/>
      <c r="ALU24" s="51" t="n"/>
      <c r="ALV24" s="51" t="n"/>
      <c r="ALW24" s="51" t="n"/>
      <c r="ALX24" s="51" t="n"/>
      <c r="ALY24" s="51" t="n"/>
      <c r="ALZ24" s="51" t="n"/>
      <c r="AMA24" s="51" t="n"/>
      <c r="AMB24" s="51" t="n"/>
      <c r="AMC24" s="51" t="n"/>
      <c r="AMD24" s="51" t="n"/>
      <c r="AME24" s="51" t="n"/>
      <c r="AMF24" s="51" t="n"/>
      <c r="AMG24" s="51" t="n"/>
      <c r="AMH24" s="51" t="n"/>
      <c r="AMI24" s="51" t="n"/>
      <c r="AMJ24" s="51" t="n"/>
      <c r="AMK24" s="51" t="n"/>
      <c r="AML24" s="51" t="n"/>
      <c r="AMM24" s="51" t="n"/>
      <c r="AMN24" s="51" t="n"/>
      <c r="AMO24" s="51" t="n"/>
      <c r="AMP24" s="51" t="n"/>
      <c r="AMQ24" s="51" t="n"/>
      <c r="AMR24" s="51" t="n"/>
      <c r="AMS24" s="51" t="n"/>
      <c r="AMT24" s="51" t="n"/>
      <c r="AMU24" s="51" t="n"/>
      <c r="AMV24" s="51" t="n"/>
      <c r="AMW24" s="51" t="n"/>
      <c r="AMX24" s="51" t="n"/>
      <c r="AMY24" s="51" t="n"/>
      <c r="AMZ24" s="51" t="n"/>
      <c r="ANA24" s="51" t="n"/>
      <c r="ANB24" s="51" t="n"/>
      <c r="ANC24" s="51" t="n"/>
      <c r="AND24" s="51" t="n"/>
      <c r="ANE24" s="51" t="n"/>
      <c r="ANF24" s="51" t="n"/>
      <c r="ANG24" s="51" t="n"/>
      <c r="ANH24" s="51" t="n"/>
      <c r="ANI24" s="51" t="n"/>
      <c r="ANJ24" s="51" t="n"/>
      <c r="ANK24" s="51" t="n"/>
      <c r="ANL24" s="51" t="n"/>
      <c r="ANM24" s="51" t="n"/>
      <c r="ANN24" s="51" t="n"/>
      <c r="ANO24" s="51" t="n"/>
      <c r="ANP24" s="51" t="n"/>
      <c r="ANQ24" s="51" t="n"/>
      <c r="ANR24" s="51" t="n"/>
      <c r="ANS24" s="51" t="n"/>
      <c r="ANT24" s="51" t="n"/>
      <c r="ANU24" s="51" t="n"/>
      <c r="ANV24" s="51" t="n"/>
      <c r="ANW24" s="51" t="n"/>
      <c r="ANX24" s="51" t="n"/>
      <c r="ANY24" s="51" t="n"/>
      <c r="ANZ24" s="51" t="n"/>
      <c r="AOA24" s="51" t="n"/>
      <c r="AOB24" s="51" t="n"/>
      <c r="AOC24" s="51" t="n"/>
      <c r="AOD24" s="51" t="n"/>
      <c r="AOE24" s="51" t="n"/>
      <c r="AOF24" s="51" t="n"/>
      <c r="AOG24" s="51" t="n"/>
      <c r="AOH24" s="51" t="n"/>
      <c r="AOI24" s="51" t="n"/>
      <c r="AOJ24" s="51" t="n"/>
      <c r="AOK24" s="51" t="n"/>
      <c r="AOL24" s="51" t="n"/>
      <c r="AOM24" s="51" t="n"/>
      <c r="AON24" s="51" t="n"/>
      <c r="AOO24" s="51" t="n"/>
      <c r="AOP24" s="51" t="n"/>
      <c r="AOQ24" s="51" t="n"/>
      <c r="AOR24" s="51" t="n"/>
      <c r="AOS24" s="51" t="n"/>
      <c r="AOT24" s="51" t="n"/>
      <c r="AOU24" s="51" t="n"/>
      <c r="AOV24" s="51" t="n"/>
      <c r="AOW24" s="51" t="n"/>
      <c r="AOX24" s="51" t="n"/>
      <c r="AOY24" s="51" t="n"/>
      <c r="AOZ24" s="51" t="n"/>
      <c r="APA24" s="51" t="n"/>
      <c r="APB24" s="51" t="n"/>
      <c r="APC24" s="51" t="n"/>
      <c r="APD24" s="51" t="n"/>
      <c r="APE24" s="51" t="n"/>
      <c r="APF24" s="51" t="n"/>
      <c r="APG24" s="51" t="n"/>
      <c r="APH24" s="51" t="n"/>
      <c r="API24" s="51" t="n"/>
      <c r="APJ24" s="51" t="n"/>
      <c r="APK24" s="51" t="n"/>
      <c r="APL24" s="51" t="n"/>
      <c r="APM24" s="51" t="n"/>
      <c r="APN24" s="51" t="n"/>
      <c r="APO24" s="51" t="n"/>
      <c r="APP24" s="51" t="n"/>
      <c r="APQ24" s="51" t="n"/>
      <c r="APR24" s="51" t="n"/>
      <c r="APS24" s="51" t="n"/>
      <c r="APT24" s="51" t="n"/>
      <c r="APU24" s="51" t="n"/>
      <c r="APV24" s="51" t="n"/>
      <c r="APW24" s="51" t="n"/>
      <c r="APX24" s="51" t="n"/>
      <c r="APY24" s="51" t="n"/>
      <c r="APZ24" s="51" t="n"/>
      <c r="AQA24" s="51" t="n"/>
      <c r="AQB24" s="51" t="n"/>
      <c r="AQC24" s="51" t="n"/>
      <c r="AQD24" s="51" t="n"/>
      <c r="AQE24" s="51" t="n"/>
      <c r="AQF24" s="51" t="n"/>
      <c r="AQG24" s="51" t="n"/>
      <c r="AQH24" s="51" t="n"/>
      <c r="AQI24" s="51" t="n"/>
      <c r="AQJ24" s="51" t="n"/>
      <c r="AQK24" s="51" t="n"/>
      <c r="AQL24" s="51" t="n"/>
      <c r="AQM24" s="51" t="n"/>
      <c r="AQN24" s="51" t="n"/>
      <c r="AQO24" s="51" t="n"/>
      <c r="AQP24" s="51" t="n"/>
      <c r="AQQ24" s="51" t="n"/>
      <c r="AQR24" s="51" t="n"/>
      <c r="AQS24" s="51" t="n"/>
      <c r="AQT24" s="51" t="n"/>
      <c r="AQU24" s="51" t="n"/>
      <c r="AQV24" s="51" t="n"/>
      <c r="AQW24" s="51" t="n"/>
      <c r="AQX24" s="51" t="n"/>
      <c r="AQY24" s="51" t="n"/>
      <c r="AQZ24" s="51" t="n"/>
      <c r="ARA24" s="51" t="n"/>
      <c r="ARB24" s="51" t="n"/>
      <c r="ARC24" s="51" t="n"/>
      <c r="ARD24" s="51" t="n"/>
      <c r="ARE24" s="51" t="n"/>
      <c r="ARF24" s="51" t="n"/>
      <c r="ARG24" s="51" t="n"/>
      <c r="ARH24" s="51" t="n"/>
      <c r="ARI24" s="51" t="n"/>
      <c r="ARJ24" s="51" t="n"/>
      <c r="ARK24" s="51" t="n"/>
      <c r="ARL24" s="51" t="n"/>
      <c r="ARM24" s="51" t="n"/>
      <c r="ARN24" s="51" t="n"/>
      <c r="ARO24" s="51" t="n"/>
      <c r="ARP24" s="51" t="n"/>
      <c r="ARQ24" s="51" t="n"/>
      <c r="ARR24" s="51" t="n"/>
      <c r="ARS24" s="51" t="n"/>
      <c r="ART24" s="51" t="n"/>
      <c r="ARU24" s="51" t="n"/>
      <c r="ARV24" s="51" t="n"/>
      <c r="ARW24" s="51" t="n"/>
      <c r="ARX24" s="51" t="n"/>
      <c r="ARY24" s="51" t="n"/>
      <c r="ARZ24" s="51" t="n"/>
      <c r="ASA24" s="51" t="n"/>
      <c r="ASB24" s="51" t="n"/>
      <c r="ASC24" s="51" t="n"/>
      <c r="ASD24" s="51" t="n"/>
      <c r="ASE24" s="51" t="n"/>
      <c r="ASF24" s="51" t="n"/>
      <c r="ASG24" s="51" t="n"/>
      <c r="ASH24" s="51" t="n"/>
      <c r="ASI24" s="51" t="n"/>
      <c r="ASJ24" s="51" t="n"/>
      <c r="ASK24" s="51" t="n"/>
      <c r="ASL24" s="51" t="n"/>
      <c r="ASM24" s="51" t="n"/>
      <c r="ASN24" s="51" t="n"/>
      <c r="ASO24" s="51" t="n"/>
      <c r="ASP24" s="51" t="n"/>
      <c r="ASQ24" s="51" t="n"/>
      <c r="ASR24" s="51" t="n"/>
      <c r="ASS24" s="51" t="n"/>
      <c r="AST24" s="51" t="n"/>
      <c r="ASU24" s="51" t="n"/>
      <c r="ASV24" s="51" t="n"/>
      <c r="ASW24" s="51" t="n"/>
      <c r="ASX24" s="51" t="n"/>
      <c r="ASY24" s="51" t="n"/>
      <c r="ASZ24" s="51" t="n"/>
      <c r="ATA24" s="51" t="n"/>
      <c r="ATB24" s="51" t="n"/>
      <c r="ATC24" s="51" t="n"/>
      <c r="ATD24" s="51" t="n"/>
      <c r="ATE24" s="51" t="n"/>
      <c r="ATF24" s="51" t="n"/>
      <c r="ATG24" s="51" t="n"/>
      <c r="ATH24" s="51" t="n"/>
      <c r="ATI24" s="51" t="n"/>
      <c r="ATJ24" s="51" t="n"/>
      <c r="ATK24" s="51" t="n"/>
      <c r="ATL24" s="51" t="n"/>
      <c r="ATM24" s="51" t="n"/>
      <c r="ATN24" s="51" t="n"/>
      <c r="ATO24" s="51" t="n"/>
      <c r="ATP24" s="51" t="n"/>
      <c r="ATQ24" s="51" t="n"/>
      <c r="ATR24" s="51" t="n"/>
      <c r="ATS24" s="51" t="n"/>
      <c r="ATT24" s="51" t="n"/>
      <c r="ATU24" s="51" t="n"/>
      <c r="ATV24" s="51" t="n"/>
      <c r="ATW24" s="51" t="n"/>
      <c r="ATX24" s="51" t="n"/>
      <c r="ATY24" s="51" t="n"/>
      <c r="ATZ24" s="51" t="n"/>
      <c r="AUA24" s="51" t="n"/>
      <c r="AUB24" s="51" t="n"/>
      <c r="AUC24" s="51" t="n"/>
      <c r="AUD24" s="51" t="n"/>
      <c r="AUE24" s="51" t="n"/>
      <c r="AUF24" s="51" t="n"/>
      <c r="AUG24" s="51" t="n"/>
      <c r="AUH24" s="51" t="n"/>
      <c r="AUI24" s="51" t="n"/>
      <c r="AUJ24" s="51" t="n"/>
      <c r="AUK24" s="51" t="n"/>
      <c r="AUL24" s="51" t="n"/>
      <c r="AUM24" s="51" t="n"/>
      <c r="AUN24" s="51" t="n"/>
      <c r="AUO24" s="51" t="n"/>
      <c r="AUP24" s="51" t="n"/>
      <c r="AUQ24" s="51" t="n"/>
      <c r="AUR24" s="51" t="n"/>
      <c r="AUS24" s="51" t="n"/>
      <c r="AUT24" s="51" t="n"/>
      <c r="AUU24" s="51" t="n"/>
      <c r="AUV24" s="51" t="n"/>
      <c r="AUW24" s="51" t="n"/>
      <c r="AUX24" s="51" t="n"/>
      <c r="AUY24" s="51" t="n"/>
      <c r="AUZ24" s="51" t="n"/>
      <c r="AVA24" s="51" t="n"/>
      <c r="AVB24" s="51" t="n"/>
      <c r="AVC24" s="51" t="n"/>
      <c r="AVD24" s="51" t="n"/>
      <c r="AVE24" s="51" t="n"/>
      <c r="AVF24" s="51" t="n"/>
      <c r="AVG24" s="51" t="n"/>
      <c r="AVH24" s="51" t="n"/>
      <c r="AVI24" s="51" t="n"/>
      <c r="AVJ24" s="51" t="n"/>
      <c r="AVK24" s="51" t="n"/>
      <c r="AVL24" s="51" t="n"/>
      <c r="AVM24" s="51" t="n"/>
      <c r="AVN24" s="51" t="n"/>
      <c r="AVO24" s="51" t="n"/>
      <c r="AVP24" s="51" t="n"/>
      <c r="AVQ24" s="51" t="n"/>
      <c r="AVR24" s="51" t="n"/>
      <c r="AVS24" s="51" t="n"/>
      <c r="AVT24" s="51" t="n"/>
      <c r="AVU24" s="51" t="n"/>
      <c r="AVV24" s="51" t="n"/>
      <c r="AVW24" s="51" t="n"/>
      <c r="AVX24" s="51" t="n"/>
      <c r="AVY24" s="51" t="n"/>
      <c r="AVZ24" s="51" t="n"/>
      <c r="AWA24" s="51" t="n"/>
      <c r="AWB24" s="51" t="n"/>
      <c r="AWC24" s="51" t="n"/>
      <c r="AWD24" s="51" t="n"/>
      <c r="AWE24" s="51" t="n"/>
      <c r="AWF24" s="51" t="n"/>
      <c r="AWG24" s="51" t="n"/>
      <c r="AWH24" s="51" t="n"/>
      <c r="AWI24" s="51" t="n"/>
      <c r="AWJ24" s="51" t="n"/>
      <c r="AWK24" s="51" t="n"/>
      <c r="AWL24" s="51" t="n"/>
      <c r="AWM24" s="51" t="n"/>
      <c r="AWN24" s="51" t="n"/>
      <c r="AWO24" s="51" t="n"/>
      <c r="AWP24" s="51" t="n"/>
      <c r="AWQ24" s="51" t="n"/>
      <c r="AWR24" s="51" t="n"/>
      <c r="AWS24" s="51" t="n"/>
      <c r="AWT24" s="51" t="n"/>
      <c r="AWU24" s="51" t="n"/>
      <c r="AWV24" s="51" t="n"/>
      <c r="AWW24" s="51" t="n"/>
      <c r="AWX24" s="51" t="n"/>
      <c r="AWY24" s="51" t="n"/>
      <c r="AWZ24" s="51" t="n"/>
      <c r="AXA24" s="51" t="n"/>
      <c r="AXB24" s="51" t="n"/>
      <c r="AXC24" s="51" t="n"/>
      <c r="AXD24" s="51" t="n"/>
      <c r="AXE24" s="51" t="n"/>
      <c r="AXF24" s="51" t="n"/>
      <c r="AXG24" s="51" t="n"/>
      <c r="AXH24" s="51" t="n"/>
      <c r="AXI24" s="51" t="n"/>
      <c r="AXJ24" s="51" t="n"/>
      <c r="AXK24" s="51" t="n"/>
      <c r="AXL24" s="51" t="n"/>
      <c r="AXM24" s="51" t="n"/>
      <c r="AXN24" s="51" t="n"/>
      <c r="AXO24" s="51" t="n"/>
      <c r="AXP24" s="51" t="n"/>
      <c r="AXQ24" s="51" t="n"/>
      <c r="AXR24" s="51" t="n"/>
      <c r="AXS24" s="51" t="n"/>
      <c r="AXT24" s="51" t="n"/>
      <c r="AXU24" s="51" t="n"/>
      <c r="AXV24" s="51" t="n"/>
      <c r="AXW24" s="51" t="n"/>
      <c r="AXX24" s="51" t="n"/>
      <c r="AXY24" s="51" t="n"/>
      <c r="AXZ24" s="51" t="n"/>
      <c r="AYA24" s="51" t="n"/>
      <c r="AYB24" s="51" t="n"/>
      <c r="AYC24" s="51" t="n"/>
      <c r="AYD24" s="51" t="n"/>
      <c r="AYE24" s="51" t="n"/>
      <c r="AYF24" s="51" t="n"/>
      <c r="AYG24" s="51" t="n"/>
      <c r="AYH24" s="51" t="n"/>
      <c r="AYI24" s="51" t="n"/>
      <c r="AYJ24" s="51" t="n"/>
      <c r="AYK24" s="51" t="n"/>
      <c r="AYL24" s="51" t="n"/>
      <c r="AYM24" s="51" t="n"/>
      <c r="AYN24" s="51" t="n"/>
      <c r="AYO24" s="51" t="n"/>
      <c r="AYP24" s="51" t="n"/>
      <c r="AYQ24" s="51" t="n"/>
      <c r="AYR24" s="51" t="n"/>
      <c r="AYS24" s="51" t="n"/>
      <c r="AYT24" s="51" t="n"/>
      <c r="AYU24" s="51" t="n"/>
      <c r="AYV24" s="51" t="n"/>
      <c r="AYW24" s="51" t="n"/>
      <c r="AYX24" s="51" t="n"/>
      <c r="AYY24" s="51" t="n"/>
      <c r="AYZ24" s="51" t="n"/>
      <c r="AZA24" s="51" t="n"/>
      <c r="AZB24" s="51" t="n"/>
      <c r="AZC24" s="51" t="n"/>
      <c r="AZD24" s="51" t="n"/>
      <c r="AZE24" s="51" t="n"/>
      <c r="AZF24" s="51" t="n"/>
      <c r="AZG24" s="51" t="n"/>
      <c r="AZH24" s="51" t="n"/>
      <c r="AZI24" s="51" t="n"/>
      <c r="AZJ24" s="51" t="n"/>
      <c r="AZK24" s="51" t="n"/>
      <c r="AZL24" s="51" t="n"/>
      <c r="AZM24" s="51" t="n"/>
      <c r="AZN24" s="51" t="n"/>
      <c r="AZO24" s="51" t="n"/>
      <c r="AZP24" s="51" t="n"/>
      <c r="AZQ24" s="51" t="n"/>
      <c r="AZR24" s="51" t="n"/>
      <c r="AZS24" s="51" t="n"/>
      <c r="AZT24" s="51" t="n"/>
      <c r="AZU24" s="51" t="n"/>
      <c r="AZV24" s="51" t="n"/>
      <c r="AZW24" s="51" t="n"/>
      <c r="AZX24" s="51" t="n"/>
      <c r="AZY24" s="51" t="n"/>
      <c r="AZZ24" s="51" t="n"/>
      <c r="BAA24" s="51" t="n"/>
      <c r="BAB24" s="51" t="n"/>
      <c r="BAC24" s="51" t="n"/>
      <c r="BAD24" s="51" t="n"/>
      <c r="BAE24" s="51" t="n"/>
      <c r="BAF24" s="51" t="n"/>
      <c r="BAG24" s="51" t="n"/>
      <c r="BAH24" s="51" t="n"/>
      <c r="BAI24" s="51" t="n"/>
      <c r="BAJ24" s="51" t="n"/>
      <c r="BAK24" s="51" t="n"/>
      <c r="BAL24" s="51" t="n"/>
      <c r="BAM24" s="51" t="n"/>
      <c r="BAN24" s="51" t="n"/>
      <c r="BAO24" s="51" t="n"/>
      <c r="BAP24" s="51" t="n"/>
      <c r="BAQ24" s="51" t="n"/>
      <c r="BAR24" s="51" t="n"/>
      <c r="BAS24" s="51" t="n"/>
      <c r="BAT24" s="51" t="n"/>
      <c r="BAU24" s="51" t="n"/>
      <c r="BAV24" s="51" t="n"/>
      <c r="BAW24" s="51" t="n"/>
      <c r="BAX24" s="51" t="n"/>
      <c r="BAY24" s="51" t="n"/>
      <c r="BAZ24" s="51" t="n"/>
      <c r="BBA24" s="51" t="n"/>
      <c r="BBB24" s="51" t="n"/>
      <c r="BBC24" s="51" t="n"/>
      <c r="BBD24" s="51" t="n"/>
      <c r="BBE24" s="51" t="n"/>
      <c r="BBF24" s="51" t="n"/>
      <c r="BBG24" s="51" t="n"/>
      <c r="BBH24" s="51" t="n"/>
      <c r="BBI24" s="51" t="n"/>
      <c r="BBJ24" s="51" t="n"/>
      <c r="BBK24" s="51" t="n"/>
      <c r="BBL24" s="51" t="n"/>
      <c r="BBM24" s="51" t="n"/>
      <c r="BBN24" s="51" t="n"/>
      <c r="BBO24" s="51" t="n"/>
      <c r="BBP24" s="51" t="n"/>
    </row>
    <row r="25" ht="14.25" customHeight="1">
      <c r="A25" s="22">
        <f>A24+1</f>
        <v/>
      </c>
      <c r="B25" s="103" t="inlineStr">
        <is>
          <t>BEARING 608  ZZ</t>
        </is>
      </c>
      <c r="C25" s="29" t="inlineStr">
        <is>
          <t>Pcs</t>
        </is>
      </c>
      <c r="D25" s="26">
        <f>'Week  (4)'!U25</f>
        <v/>
      </c>
      <c r="E25" s="124" t="n"/>
      <c r="F25" s="62" t="n"/>
      <c r="G25" s="25" t="n"/>
      <c r="H25" s="56" t="n"/>
      <c r="I25" s="19" t="n"/>
      <c r="J25" s="64" t="n"/>
      <c r="K25" s="18" t="n"/>
      <c r="L25" s="73" t="n"/>
      <c r="M25" s="73" t="n"/>
      <c r="N25" s="73" t="n"/>
      <c r="O25" s="19" t="n"/>
      <c r="P25" s="18" t="n"/>
      <c r="Q25" s="18" t="n"/>
      <c r="R25" s="73" t="n"/>
      <c r="S25" s="18" t="n"/>
      <c r="T25" s="18" t="n"/>
      <c r="U25" s="26">
        <f>D25+F25+-(H25+J25+L25+N25+P25+R25+T25)</f>
        <v/>
      </c>
      <c r="V25" t="inlineStr">
        <is>
          <t>MECHANICAL</t>
        </is>
      </c>
    </row>
    <row r="26" ht="15" customHeight="1">
      <c r="A26" s="22">
        <f>A25+1</f>
        <v/>
      </c>
      <c r="B26" s="127" t="inlineStr">
        <is>
          <t>Bearing 6202-2Z, SKF</t>
        </is>
      </c>
      <c r="C26" s="123" t="inlineStr">
        <is>
          <t>PCS</t>
        </is>
      </c>
      <c r="D26" s="26">
        <f>'Week  (4)'!U26</f>
        <v/>
      </c>
      <c r="E26" s="125" t="n"/>
      <c r="F26" s="55" t="n"/>
      <c r="G26" s="52" t="n"/>
      <c r="H26" s="55" t="n"/>
      <c r="I26" s="71" t="n"/>
      <c r="J26" s="55" t="n"/>
      <c r="K26" s="18" t="n"/>
      <c r="L26" s="73" t="n"/>
      <c r="M26" s="73" t="n"/>
      <c r="N26" s="73" t="n"/>
      <c r="O26" s="19" t="n"/>
      <c r="P26" s="18" t="n"/>
      <c r="Q26" s="18" t="n"/>
      <c r="R26" s="73" t="n"/>
      <c r="S26" s="18" t="n"/>
      <c r="T26" s="18" t="n"/>
      <c r="U26" s="26">
        <f>D26+F26+-(H26+J26+L26+N26+P26+R26+T26)</f>
        <v/>
      </c>
      <c r="V26" t="inlineStr">
        <is>
          <t>MECHANICAL</t>
        </is>
      </c>
    </row>
    <row r="27" ht="14.25" customHeight="1">
      <c r="A27" s="22">
        <f>A26+1</f>
        <v/>
      </c>
      <c r="B27" s="79" t="inlineStr">
        <is>
          <t>BEARING 6203 ZZ</t>
        </is>
      </c>
      <c r="C27" s="29" t="inlineStr">
        <is>
          <t>Pcs</t>
        </is>
      </c>
      <c r="D27" s="26">
        <f>'Week  (4)'!U27</f>
        <v/>
      </c>
      <c r="E27" s="124" t="n"/>
      <c r="F27" s="62" t="n"/>
      <c r="G27" s="25" t="n"/>
      <c r="H27" s="56" t="n"/>
      <c r="I27" s="19" t="n"/>
      <c r="J27" s="64" t="n"/>
      <c r="K27" s="18" t="n"/>
      <c r="L27" s="73" t="n"/>
      <c r="M27" s="73" t="n"/>
      <c r="N27" s="73" t="n"/>
      <c r="O27" s="19" t="n"/>
      <c r="P27" s="18" t="n"/>
      <c r="Q27" s="18" t="n"/>
      <c r="R27" s="73" t="n"/>
      <c r="S27" s="18" t="n"/>
      <c r="T27" s="18" t="n"/>
      <c r="U27" s="26">
        <f>D27+F27+-(H27+J27+L27+N27+P27+R27+T27)</f>
        <v/>
      </c>
      <c r="V27" t="inlineStr">
        <is>
          <t>MECHANICAL</t>
        </is>
      </c>
    </row>
    <row r="28" ht="14.25" customHeight="1">
      <c r="A28" s="22">
        <f>A27+1</f>
        <v/>
      </c>
      <c r="B28" s="79" t="inlineStr">
        <is>
          <t>Bearing 6303</t>
        </is>
      </c>
      <c r="C28" s="29" t="inlineStr">
        <is>
          <t>Pcs</t>
        </is>
      </c>
      <c r="D28" s="26">
        <f>'Week  (4)'!U28</f>
        <v/>
      </c>
      <c r="E28" s="125" t="n"/>
      <c r="F28" s="55" t="n"/>
      <c r="G28" s="52" t="n"/>
      <c r="H28" s="55" t="n"/>
      <c r="I28" s="71" t="n"/>
      <c r="J28" s="55" t="n"/>
      <c r="K28" s="18" t="n"/>
      <c r="L28" s="73" t="n"/>
      <c r="M28" s="73" t="n"/>
      <c r="N28" s="73" t="n"/>
      <c r="O28" s="19" t="n"/>
      <c r="P28" s="18" t="n"/>
      <c r="Q28" s="18" t="n"/>
      <c r="R28" s="73" t="n"/>
      <c r="S28" s="18" t="n"/>
      <c r="T28" s="18" t="n"/>
      <c r="U28" s="26">
        <f>D28+F28+-(H28+J28+L28+N28+P28+R28+T28)</f>
        <v/>
      </c>
      <c r="V28" t="inlineStr">
        <is>
          <t>MECHANICAL</t>
        </is>
      </c>
    </row>
    <row r="29" ht="15" customHeight="1">
      <c r="A29" s="22">
        <f>A28+1</f>
        <v/>
      </c>
      <c r="B29" s="122" t="inlineStr">
        <is>
          <t>Bearing 6304 ZZ</t>
        </is>
      </c>
      <c r="C29" s="123" t="inlineStr">
        <is>
          <t>PCS</t>
        </is>
      </c>
      <c r="D29" s="26">
        <f>'Week  (4)'!U29</f>
        <v/>
      </c>
      <c r="E29" s="124" t="n"/>
      <c r="F29" s="62" t="n"/>
      <c r="G29" s="25" t="n"/>
      <c r="H29" s="56" t="n"/>
      <c r="I29" s="19" t="n"/>
      <c r="J29" s="64" t="n"/>
      <c r="K29" s="18" t="n"/>
      <c r="L29" s="73" t="n"/>
      <c r="M29" s="73" t="n"/>
      <c r="N29" s="73" t="n"/>
      <c r="O29" s="19" t="n"/>
      <c r="P29" s="18" t="n"/>
      <c r="Q29" s="18" t="n"/>
      <c r="R29" s="73" t="n"/>
      <c r="S29" s="18" t="n"/>
      <c r="T29" s="18" t="n"/>
      <c r="U29" s="26">
        <f>D29+F29+-(H29+J29+L29+N29+P29+R29+T29)</f>
        <v/>
      </c>
      <c r="V29" t="inlineStr">
        <is>
          <t>MECHANICAL</t>
        </is>
      </c>
    </row>
    <row r="30" ht="15" customHeight="1">
      <c r="A30" s="22">
        <f>A29+1</f>
        <v/>
      </c>
      <c r="B30" s="128" t="inlineStr">
        <is>
          <t>Bearing 6305 SKF</t>
        </is>
      </c>
      <c r="C30" s="123" t="inlineStr">
        <is>
          <t>PCS</t>
        </is>
      </c>
      <c r="D30" s="26">
        <f>'Week  (4)'!U30</f>
        <v/>
      </c>
      <c r="E30" s="125" t="n"/>
      <c r="F30" s="55" t="n"/>
      <c r="G30" s="52" t="n"/>
      <c r="H30" s="55" t="n"/>
      <c r="I30" s="71" t="n"/>
      <c r="J30" s="55" t="n"/>
      <c r="K30" s="18" t="n"/>
      <c r="L30" s="73" t="n"/>
      <c r="M30" s="73" t="n"/>
      <c r="N30" s="73" t="n"/>
      <c r="O30" s="19" t="n"/>
      <c r="P30" s="18" t="n"/>
      <c r="Q30" s="18" t="n"/>
      <c r="R30" s="73" t="n"/>
      <c r="S30" s="18" t="n"/>
      <c r="T30" s="18" t="n"/>
      <c r="U30" s="26">
        <f>D30+F30+-(H30+J30+L30+N30+P30+R30+T30)</f>
        <v/>
      </c>
      <c r="V30" t="inlineStr">
        <is>
          <t>MECHANICAL</t>
        </is>
      </c>
    </row>
    <row r="31" ht="15" customHeight="1">
      <c r="A31" s="22">
        <f>A30+1</f>
        <v/>
      </c>
      <c r="B31" s="30" t="inlineStr">
        <is>
          <t>Bearing SKF 6306 ZZ</t>
        </is>
      </c>
      <c r="C31" s="123" t="inlineStr">
        <is>
          <t>PCS</t>
        </is>
      </c>
      <c r="D31" s="26">
        <f>'Week  (4)'!U31</f>
        <v/>
      </c>
      <c r="E31" s="124" t="n"/>
      <c r="F31" s="62" t="n"/>
      <c r="G31" s="25" t="n"/>
      <c r="H31" s="56" t="n"/>
      <c r="I31" s="19" t="n"/>
      <c r="J31" s="64" t="n"/>
      <c r="K31" s="18" t="n"/>
      <c r="L31" s="73" t="n"/>
      <c r="M31" s="73" t="n"/>
      <c r="N31" s="73" t="n"/>
      <c r="O31" s="19" t="n"/>
      <c r="P31" s="18" t="n"/>
      <c r="Q31" s="18" t="n"/>
      <c r="R31" s="73" t="n"/>
      <c r="S31" s="18" t="n"/>
      <c r="T31" s="18" t="n"/>
      <c r="U31" s="26">
        <f>D31+F31+-(H31+J31+L31+N31+P31+R31+T31)</f>
        <v/>
      </c>
      <c r="V31" t="inlineStr">
        <is>
          <t>MECHANICAL</t>
        </is>
      </c>
    </row>
    <row r="32" ht="15" customHeight="1">
      <c r="A32" s="22">
        <f>A31+1</f>
        <v/>
      </c>
      <c r="B32" s="30" t="inlineStr">
        <is>
          <t>Bearing SKF 6307 ZZ</t>
        </is>
      </c>
      <c r="C32" s="123" t="inlineStr">
        <is>
          <t>PCS</t>
        </is>
      </c>
      <c r="D32" s="26">
        <f>'Week  (4)'!U32</f>
        <v/>
      </c>
      <c r="E32" s="125" t="n"/>
      <c r="F32" s="55" t="n"/>
      <c r="G32" s="25" t="n"/>
      <c r="H32" s="56" t="n"/>
      <c r="I32" s="71" t="n"/>
      <c r="J32" s="55" t="n"/>
      <c r="K32" s="18" t="n"/>
      <c r="L32" s="73" t="n"/>
      <c r="M32" s="73" t="n"/>
      <c r="N32" s="73" t="n"/>
      <c r="O32" s="19" t="n"/>
      <c r="P32" s="18" t="n"/>
      <c r="Q32" s="18" t="n"/>
      <c r="R32" s="73" t="n"/>
      <c r="S32" s="18" t="n"/>
      <c r="T32" s="18" t="n"/>
      <c r="U32" s="26">
        <f>D32+F32+-(H32+J32+L32+N32+P32+R32+T32)</f>
        <v/>
      </c>
      <c r="V32" t="inlineStr">
        <is>
          <t>MECHANICAL</t>
        </is>
      </c>
    </row>
    <row r="33" ht="15" customHeight="1">
      <c r="A33" s="22">
        <f>A32+1</f>
        <v/>
      </c>
      <c r="B33" s="30" t="inlineStr">
        <is>
          <t>Bearing SKF 6309 / C3</t>
        </is>
      </c>
      <c r="C33" s="123" t="inlineStr">
        <is>
          <t>PCS</t>
        </is>
      </c>
      <c r="D33" s="26">
        <f>'Week  (4)'!U33</f>
        <v/>
      </c>
      <c r="E33" s="124" t="n"/>
      <c r="F33" s="62" t="n"/>
      <c r="G33" s="25" t="n"/>
      <c r="H33" s="56" t="n"/>
      <c r="I33" s="19" t="n"/>
      <c r="J33" s="64" t="n"/>
      <c r="K33" s="18" t="n"/>
      <c r="L33" s="73" t="n"/>
      <c r="M33" s="73" t="n"/>
      <c r="N33" s="73" t="n"/>
      <c r="O33" s="19" t="n"/>
      <c r="P33" s="18" t="n"/>
      <c r="Q33" s="18" t="n"/>
      <c r="R33" s="73" t="n"/>
      <c r="S33" s="18" t="n"/>
      <c r="T33" s="18" t="n"/>
      <c r="U33" s="26">
        <f>D33+F33+-(H33+J33+L33+N33+P33+R33+T33)</f>
        <v/>
      </c>
      <c r="V33" t="inlineStr">
        <is>
          <t>MECHANICAL</t>
        </is>
      </c>
    </row>
    <row r="34" ht="15" customHeight="1">
      <c r="A34" s="22">
        <f>A33+1</f>
        <v/>
      </c>
      <c r="B34" s="122" t="inlineStr">
        <is>
          <t>Bearing SKF 63305 ZZ</t>
        </is>
      </c>
      <c r="C34" s="123" t="inlineStr">
        <is>
          <t>PCS</t>
        </is>
      </c>
      <c r="D34" s="26">
        <f>'Week  (4)'!U34</f>
        <v/>
      </c>
      <c r="E34" s="125" t="n"/>
      <c r="F34" s="55" t="n"/>
      <c r="G34" s="52" t="n"/>
      <c r="H34" s="55" t="n"/>
      <c r="I34" s="71" t="n"/>
      <c r="J34" s="55" t="n"/>
      <c r="K34" s="18" t="n"/>
      <c r="L34" s="73" t="n"/>
      <c r="M34" s="73" t="n"/>
      <c r="N34" s="73" t="n"/>
      <c r="O34" s="19" t="n"/>
      <c r="P34" s="18" t="n"/>
      <c r="Q34" s="18" t="n"/>
      <c r="R34" s="73" t="n"/>
      <c r="S34" s="18" t="n"/>
      <c r="T34" s="18" t="n"/>
      <c r="U34" s="26">
        <f>D34+F34+-(H34+J34+L34+N34+P34+R34+T34)</f>
        <v/>
      </c>
      <c r="V34" t="inlineStr">
        <is>
          <t>MECHANICAL</t>
        </is>
      </c>
    </row>
    <row r="35" ht="15" customHeight="1">
      <c r="A35" s="22">
        <f>A34+1</f>
        <v/>
      </c>
      <c r="B35" s="122" t="inlineStr">
        <is>
          <t>Bearing SKF 6309 C3</t>
        </is>
      </c>
      <c r="C35" s="123" t="inlineStr">
        <is>
          <t>PCS</t>
        </is>
      </c>
      <c r="D35" s="26">
        <f>'Week  (4)'!U35</f>
        <v/>
      </c>
      <c r="E35" s="124" t="n"/>
      <c r="F35" s="62" t="n"/>
      <c r="G35" s="25" t="n"/>
      <c r="H35" s="56" t="n"/>
      <c r="I35" s="19" t="n"/>
      <c r="J35" s="64" t="n"/>
      <c r="K35" s="18" t="n"/>
      <c r="L35" s="73" t="n"/>
      <c r="M35" s="73" t="n"/>
      <c r="N35" s="73" t="n"/>
      <c r="O35" s="19" t="n"/>
      <c r="P35" s="18" t="n"/>
      <c r="Q35" s="18" t="n"/>
      <c r="R35" s="73" t="n"/>
      <c r="S35" s="18" t="n"/>
      <c r="T35" s="18" t="n"/>
      <c r="U35" s="26">
        <f>D35+F35+-(H35+J35+L35+N35+P35+R35+T35)</f>
        <v/>
      </c>
      <c r="V35" t="inlineStr">
        <is>
          <t>MECHANICAL</t>
        </is>
      </c>
    </row>
    <row r="36" ht="30" customHeight="1">
      <c r="A36" s="22">
        <f>A35+1</f>
        <v/>
      </c>
      <c r="B36" s="122" t="inlineStr">
        <is>
          <t xml:space="preserve">Bulb Lamp 25 W, A 35  Clear Philips,  </t>
        </is>
      </c>
      <c r="C36" s="123" t="inlineStr">
        <is>
          <t>PCS</t>
        </is>
      </c>
      <c r="D36" s="26">
        <f>'Week  (4)'!U36</f>
        <v/>
      </c>
      <c r="E36" s="125" t="n"/>
      <c r="F36" s="55" t="n"/>
      <c r="G36" s="52" t="n"/>
      <c r="H36" s="55" t="n"/>
      <c r="I36" s="71" t="n"/>
      <c r="J36" s="55" t="n"/>
      <c r="K36" s="18" t="n"/>
      <c r="L36" s="73" t="n"/>
      <c r="M36" s="73" t="n"/>
      <c r="N36" s="73" t="n"/>
      <c r="O36" s="19" t="n"/>
      <c r="P36" s="18" t="n"/>
      <c r="Q36" s="18" t="n"/>
      <c r="R36" s="73" t="n"/>
      <c r="S36" s="18" t="n"/>
      <c r="T36" s="18" t="n"/>
      <c r="U36" s="26">
        <f>D36+F36+-(H36+J36+L36+N36+P36+R36+T36)</f>
        <v/>
      </c>
      <c r="V36" t="inlineStr">
        <is>
          <t>LAMP</t>
        </is>
      </c>
    </row>
    <row r="37" ht="30" customHeight="1">
      <c r="A37" s="22">
        <f>A36+1</f>
        <v/>
      </c>
      <c r="B37" s="122" t="inlineStr">
        <is>
          <t>Bulb Lamp 40 W, B 35  Clear Philips,  E 14 ( cooker hood )</t>
        </is>
      </c>
      <c r="C37" s="123" t="inlineStr">
        <is>
          <t>PCS</t>
        </is>
      </c>
      <c r="D37" s="26">
        <f>'Week  (4)'!U37</f>
        <v/>
      </c>
      <c r="E37" s="124" t="n"/>
      <c r="F37" s="62" t="n"/>
      <c r="G37" s="25" t="n"/>
      <c r="H37" s="56" t="n"/>
      <c r="I37" s="19" t="n"/>
      <c r="J37" s="64" t="n"/>
      <c r="K37" s="19" t="n"/>
      <c r="L37" s="73" t="n"/>
      <c r="M37" s="73" t="n"/>
      <c r="N37" s="73" t="n"/>
      <c r="O37" s="19" t="n"/>
      <c r="P37" s="18" t="n"/>
      <c r="Q37" s="18" t="n"/>
      <c r="R37" s="73" t="n"/>
      <c r="S37" s="18" t="n"/>
      <c r="T37" s="18" t="n"/>
      <c r="U37" s="26">
        <f>D37+F37+-(H37+J37+L37+N37+P37+R37+T37)</f>
        <v/>
      </c>
      <c r="V37" t="inlineStr">
        <is>
          <t>LAMP</t>
        </is>
      </c>
    </row>
    <row r="38" ht="15" customHeight="1">
      <c r="A38" s="22">
        <f>A37+1</f>
        <v/>
      </c>
      <c r="B38" s="51" t="inlineStr">
        <is>
          <t xml:space="preserve">Capacitor 2,5µf + 2 µf </t>
        </is>
      </c>
      <c r="C38" s="123" t="inlineStr">
        <is>
          <t>PCS</t>
        </is>
      </c>
      <c r="D38" s="26">
        <f>'Week  (4)'!U38</f>
        <v/>
      </c>
      <c r="E38" s="125" t="n"/>
      <c r="F38" s="55" t="n"/>
      <c r="G38" s="52" t="n"/>
      <c r="H38" s="55" t="n"/>
      <c r="I38" s="71" t="n"/>
      <c r="J38" s="55" t="n"/>
      <c r="K38" s="18" t="n"/>
      <c r="L38" s="73" t="n"/>
      <c r="M38" s="73" t="n"/>
      <c r="N38" s="73" t="n"/>
      <c r="O38" s="19" t="n"/>
      <c r="P38" s="18" t="n"/>
      <c r="Q38" s="18" t="n"/>
      <c r="R38" s="73" t="n"/>
      <c r="S38" s="18" t="n"/>
      <c r="T38" s="18" t="n"/>
      <c r="U38" s="26">
        <f>D38+F38+-(H38+J38+L38+N38+P38+R38+T38)</f>
        <v/>
      </c>
      <c r="V38" t="inlineStr">
        <is>
          <t>ELECTRICAL</t>
        </is>
      </c>
    </row>
    <row r="39" ht="15" customHeight="1">
      <c r="A39" s="22">
        <f>A38+1</f>
        <v/>
      </c>
      <c r="B39" s="122" t="inlineStr">
        <is>
          <t>Capacitor 30µf</t>
        </is>
      </c>
      <c r="C39" s="123" t="inlineStr">
        <is>
          <t>PCS</t>
        </is>
      </c>
      <c r="D39" s="26">
        <f>'Week  (4)'!U39</f>
        <v/>
      </c>
      <c r="E39" s="124" t="n"/>
      <c r="F39" s="62" t="n"/>
      <c r="G39" s="25" t="n"/>
      <c r="H39" s="56" t="n"/>
      <c r="I39" s="19" t="n"/>
      <c r="J39" s="64" t="n"/>
      <c r="K39" s="18" t="n"/>
      <c r="L39" s="73" t="n"/>
      <c r="M39" s="73" t="n"/>
      <c r="N39" s="73" t="n"/>
      <c r="O39" s="19" t="n"/>
      <c r="P39" s="18" t="n"/>
      <c r="Q39" s="18" t="n"/>
      <c r="R39" s="73" t="n"/>
      <c r="S39" s="18" t="n"/>
      <c r="T39" s="18" t="n"/>
      <c r="U39" s="26">
        <f>D39+F39+-(H39+J39+L39+N39+P39+R39+T39)</f>
        <v/>
      </c>
      <c r="V39" t="inlineStr">
        <is>
          <t>AC</t>
        </is>
      </c>
    </row>
    <row r="40" ht="15" customHeight="1">
      <c r="A40" s="22">
        <f>A39+1</f>
        <v/>
      </c>
      <c r="B40" s="122" t="inlineStr">
        <is>
          <t>Capacitor 40µf</t>
        </is>
      </c>
      <c r="C40" s="123" t="inlineStr">
        <is>
          <t>PCS</t>
        </is>
      </c>
      <c r="D40" s="26">
        <f>'Week  (4)'!U40</f>
        <v/>
      </c>
      <c r="E40" s="125" t="n"/>
      <c r="F40" s="55" t="n"/>
      <c r="G40" s="52" t="n"/>
      <c r="H40" s="55" t="n"/>
      <c r="I40" s="71" t="n"/>
      <c r="J40" s="55" t="n"/>
      <c r="K40" s="18" t="n"/>
      <c r="L40" s="73" t="n"/>
      <c r="M40" s="73" t="n"/>
      <c r="N40" s="73" t="n"/>
      <c r="O40" s="19" t="n"/>
      <c r="P40" s="18" t="n"/>
      <c r="Q40" s="18" t="n"/>
      <c r="R40" s="73" t="n"/>
      <c r="S40" s="18" t="n"/>
      <c r="T40" s="18" t="n"/>
      <c r="U40" s="26">
        <f>D40+F40+-(H40+J40+L40+N40+P40+R40+T40)</f>
        <v/>
      </c>
      <c r="V40" t="inlineStr">
        <is>
          <t>AC</t>
        </is>
      </c>
    </row>
    <row r="41" ht="12.75" customHeight="1">
      <c r="A41" s="22">
        <f>A40+1</f>
        <v/>
      </c>
      <c r="B41" s="122" t="inlineStr">
        <is>
          <t>Capacitor 35µf</t>
        </is>
      </c>
      <c r="C41" s="123" t="inlineStr">
        <is>
          <t>PCS</t>
        </is>
      </c>
      <c r="D41" s="26">
        <f>'Week  (4)'!U41</f>
        <v/>
      </c>
      <c r="E41" s="124" t="n"/>
      <c r="F41" s="62" t="n"/>
      <c r="G41" s="25" t="n"/>
      <c r="H41" s="56" t="n"/>
      <c r="I41" s="19" t="n"/>
      <c r="J41" s="64" t="n"/>
      <c r="K41" s="18" t="n"/>
      <c r="L41" s="73" t="n"/>
      <c r="M41" s="73" t="inlineStr">
        <is>
          <t>ISS office</t>
        </is>
      </c>
      <c r="N41" s="73" t="n">
        <v>1</v>
      </c>
      <c r="O41" s="19" t="n"/>
      <c r="P41" s="18" t="n"/>
      <c r="Q41" s="18" t="n"/>
      <c r="R41" s="73" t="n"/>
      <c r="S41" s="18" t="n"/>
      <c r="T41" s="18" t="n"/>
      <c r="U41" s="26">
        <f>D41+F41+-(H41+J41+L41+N41+P41+R41+T41)</f>
        <v/>
      </c>
      <c r="V41" t="inlineStr">
        <is>
          <t>AC</t>
        </is>
      </c>
    </row>
    <row r="42" ht="15" customHeight="1">
      <c r="A42" s="22">
        <f>A41+1</f>
        <v/>
      </c>
      <c r="B42" s="122" t="inlineStr">
        <is>
          <t>Capacitor 50 µf</t>
        </is>
      </c>
      <c r="C42" s="123" t="inlineStr">
        <is>
          <t>PCS</t>
        </is>
      </c>
      <c r="D42" s="26">
        <f>'Week  (4)'!U42</f>
        <v/>
      </c>
      <c r="E42" s="125" t="n"/>
      <c r="F42" s="55" t="n"/>
      <c r="G42" s="52" t="n"/>
      <c r="H42" s="55" t="n"/>
      <c r="I42" s="71" t="n"/>
      <c r="J42" s="55" t="n"/>
      <c r="K42" s="18" t="n"/>
      <c r="L42" s="73" t="n"/>
      <c r="M42" s="73" t="n"/>
      <c r="N42" s="73" t="n"/>
      <c r="O42" s="19" t="n"/>
      <c r="P42" s="18" t="n"/>
      <c r="Q42" s="18" t="n"/>
      <c r="R42" s="73" t="n"/>
      <c r="S42" s="18" t="n"/>
      <c r="T42" s="18" t="n"/>
      <c r="U42" s="26">
        <f>D42+F42+-(H42+J42+L42+N42+P42+R42+T42)</f>
        <v/>
      </c>
      <c r="V42" t="inlineStr">
        <is>
          <t>AC</t>
        </is>
      </c>
    </row>
    <row r="43" ht="15" customHeight="1">
      <c r="A43" s="22">
        <f>A42+1</f>
        <v/>
      </c>
      <c r="B43" s="122" t="inlineStr">
        <is>
          <t>Capacitor AC 25 µf</t>
        </is>
      </c>
      <c r="C43" s="123" t="inlineStr">
        <is>
          <t>PCS</t>
        </is>
      </c>
      <c r="D43" s="26">
        <f>'Week  (4)'!U43</f>
        <v/>
      </c>
      <c r="E43" s="124" t="n"/>
      <c r="F43" s="62" t="n"/>
      <c r="G43" s="25" t="n"/>
      <c r="H43" s="56" t="n"/>
      <c r="I43" s="19" t="n"/>
      <c r="J43" s="64" t="n"/>
      <c r="K43" s="18" t="n"/>
      <c r="L43" s="73" t="n"/>
      <c r="M43" s="73" t="n"/>
      <c r="N43" s="73" t="n"/>
      <c r="O43" s="19" t="n"/>
      <c r="P43" s="18" t="n"/>
      <c r="Q43" s="18" t="n"/>
      <c r="R43" s="73" t="n"/>
      <c r="S43" s="18" t="n"/>
      <c r="T43" s="18" t="n"/>
      <c r="U43" s="26">
        <f>D43+F43+-(H43+J43+L43+N43+P43+R43+T43)</f>
        <v/>
      </c>
      <c r="V43" t="inlineStr">
        <is>
          <t>AC</t>
        </is>
      </c>
    </row>
    <row r="44" ht="15" customHeight="1">
      <c r="A44" s="22">
        <f>A43+1</f>
        <v/>
      </c>
      <c r="B44" s="127" t="inlineStr">
        <is>
          <t>Capacitor Ceiling Fan 5 Cable</t>
        </is>
      </c>
      <c r="C44" s="123" t="inlineStr">
        <is>
          <t>PCS</t>
        </is>
      </c>
      <c r="D44" s="26">
        <f>'Week  (4)'!U44</f>
        <v/>
      </c>
      <c r="E44" s="125" t="n"/>
      <c r="F44" s="55" t="n"/>
      <c r="G44" s="52" t="n"/>
      <c r="H44" s="55" t="n"/>
      <c r="I44" s="71" t="n"/>
      <c r="J44" s="55" t="n"/>
      <c r="K44" s="18" t="n"/>
      <c r="L44" s="73" t="n"/>
      <c r="M44" s="73" t="n"/>
      <c r="N44" s="73" t="n"/>
      <c r="O44" s="19" t="n"/>
      <c r="P44" s="18" t="n"/>
      <c r="Q44" s="18" t="n"/>
      <c r="R44" s="73" t="n"/>
      <c r="S44" s="18" t="n"/>
      <c r="T44" s="18" t="n"/>
      <c r="U44" s="26">
        <f>D44+F44+-(H44+J44+L44+N44+P44+R44+T44)</f>
        <v/>
      </c>
      <c r="V44" t="inlineStr">
        <is>
          <t>ELECTRICAL</t>
        </is>
      </c>
    </row>
    <row r="45" ht="15" customHeight="1">
      <c r="A45" s="22">
        <f>A44+1</f>
        <v/>
      </c>
      <c r="B45" s="127" t="inlineStr">
        <is>
          <t>Capacitor Washing Machine 12 µf</t>
        </is>
      </c>
      <c r="C45" s="123" t="inlineStr">
        <is>
          <t>PCS</t>
        </is>
      </c>
      <c r="D45" s="26">
        <f>'Week  (4)'!U45</f>
        <v/>
      </c>
      <c r="E45" s="124" t="n"/>
      <c r="F45" s="62" t="n"/>
      <c r="G45" s="25" t="n"/>
      <c r="H45" s="56" t="n"/>
      <c r="I45" s="19" t="n"/>
      <c r="J45" s="64" t="n"/>
      <c r="K45" s="18" t="n"/>
      <c r="L45" s="73" t="n"/>
      <c r="M45" s="73" t="n"/>
      <c r="N45" s="73" t="n"/>
      <c r="O45" s="19" t="n"/>
      <c r="P45" s="18" t="n"/>
      <c r="Q45" s="18" t="n"/>
      <c r="R45" s="73" t="n"/>
      <c r="S45" s="18" t="n"/>
      <c r="T45" s="18" t="n"/>
      <c r="U45" s="26">
        <f>D45+F45+-(H45+J45+L45+N45+P45+R45+T45)</f>
        <v/>
      </c>
      <c r="V45" t="inlineStr">
        <is>
          <t>ELECTRICAL</t>
        </is>
      </c>
    </row>
    <row r="46" ht="15" customHeight="1">
      <c r="A46" s="22">
        <f>A45+1</f>
        <v/>
      </c>
      <c r="B46" s="122" t="inlineStr">
        <is>
          <t>Capacitor 60 µf</t>
        </is>
      </c>
      <c r="C46" s="123" t="inlineStr">
        <is>
          <t>PCS</t>
        </is>
      </c>
      <c r="D46" s="26">
        <f>'Week  (4)'!U46</f>
        <v/>
      </c>
      <c r="E46" s="125" t="n"/>
      <c r="F46" s="55" t="n"/>
      <c r="G46" s="52" t="n"/>
      <c r="H46" s="55" t="n"/>
      <c r="I46" s="71" t="n"/>
      <c r="J46" s="55" t="n"/>
      <c r="K46" s="18" t="n"/>
      <c r="L46" s="73" t="n"/>
      <c r="M46" s="73" t="n"/>
      <c r="N46" s="73" t="n"/>
      <c r="O46" s="19" t="n"/>
      <c r="P46" s="18" t="n"/>
      <c r="Q46" s="18" t="n"/>
      <c r="R46" s="73" t="n"/>
      <c r="S46" s="18" t="n"/>
      <c r="T46" s="18" t="n"/>
      <c r="U46" s="26">
        <f>D46+F46+-(H46+J46+L46+N46+P46+R46+T46)</f>
        <v/>
      </c>
      <c r="V46" t="inlineStr">
        <is>
          <t>AC</t>
        </is>
      </c>
    </row>
    <row r="47" ht="25.5" customHeight="1">
      <c r="A47" s="22">
        <f>A46+1</f>
        <v/>
      </c>
      <c r="B47" s="79" t="inlineStr">
        <is>
          <t>CAT DULUX CATYLAC INVERNES  25KG</t>
        </is>
      </c>
      <c r="C47" s="29" t="inlineStr">
        <is>
          <t>Pail</t>
        </is>
      </c>
      <c r="D47" s="26">
        <f>'Week  (4)'!U47</f>
        <v/>
      </c>
      <c r="E47" s="124" t="n"/>
      <c r="F47" s="62" t="n"/>
      <c r="G47" s="25" t="n"/>
      <c r="H47" s="69" t="n"/>
      <c r="I47" s="19" t="n"/>
      <c r="J47" s="64" t="n"/>
      <c r="K47" s="18" t="n"/>
      <c r="L47" s="73" t="n"/>
      <c r="M47" s="73" t="n"/>
      <c r="N47" s="73" t="n"/>
      <c r="O47" s="19" t="n"/>
      <c r="P47" s="18" t="n"/>
      <c r="Q47" s="18" t="n"/>
      <c r="R47" s="73" t="n"/>
      <c r="S47" s="18" t="n"/>
      <c r="T47" s="18" t="n"/>
      <c r="U47" s="26">
        <f>D47+F47+-(H47+J47+L47+N47+P47+R47+T47)</f>
        <v/>
      </c>
      <c r="V47" t="inlineStr">
        <is>
          <t>CIVIL</t>
        </is>
      </c>
    </row>
    <row r="48" ht="30" customHeight="1">
      <c r="A48" s="22">
        <f>A47+1</f>
        <v/>
      </c>
      <c r="B48" s="122" t="inlineStr">
        <is>
          <t>CAT DULUX CATYLAC INVERNES 5 KG</t>
        </is>
      </c>
      <c r="C48" s="123" t="inlineStr">
        <is>
          <t>GLN</t>
        </is>
      </c>
      <c r="D48" s="26">
        <f>'Week  (4)'!U48</f>
        <v/>
      </c>
      <c r="E48" s="125" t="n"/>
      <c r="F48" s="55" t="n"/>
      <c r="G48" s="52" t="n"/>
      <c r="H48" s="55" t="n"/>
      <c r="I48" s="71" t="n"/>
      <c r="J48" s="55" t="n"/>
      <c r="K48" s="18" t="n"/>
      <c r="L48" s="73" t="n"/>
      <c r="M48" s="73" t="n"/>
      <c r="N48" s="73" t="n"/>
      <c r="O48" s="19" t="n"/>
      <c r="P48" s="18" t="n"/>
      <c r="Q48" s="18" t="n"/>
      <c r="R48" s="73" t="n"/>
      <c r="S48" s="18" t="n"/>
      <c r="T48" s="18" t="n"/>
      <c r="U48" s="26">
        <f>D48+F48+-(H48+J48+L48+N48+P48+R48+T48)</f>
        <v/>
      </c>
      <c r="V48" t="inlineStr">
        <is>
          <t>CIVIL</t>
        </is>
      </c>
    </row>
    <row r="49" ht="30" customHeight="1">
      <c r="A49" s="22">
        <f>A48+1</f>
        <v/>
      </c>
      <c r="B49" s="122" t="inlineStr">
        <is>
          <t>CAT DULUX MORNING STAR 2,5 LTR</t>
        </is>
      </c>
      <c r="C49" s="123" t="inlineStr">
        <is>
          <t>GLN</t>
        </is>
      </c>
      <c r="D49" s="26">
        <f>'Week  (4)'!U49</f>
        <v/>
      </c>
      <c r="E49" s="124" t="n"/>
      <c r="F49" s="62" t="n"/>
      <c r="G49" s="25" t="n"/>
      <c r="H49" s="56" t="n"/>
      <c r="I49" s="19" t="n"/>
      <c r="J49" s="64" t="n"/>
      <c r="K49" s="18" t="n"/>
      <c r="L49" s="73" t="n"/>
      <c r="M49" s="73" t="n"/>
      <c r="N49" s="73" t="n"/>
      <c r="O49" s="19" t="n"/>
      <c r="P49" s="18" t="n"/>
      <c r="Q49" s="18" t="n"/>
      <c r="R49" s="73" t="n"/>
      <c r="S49" s="18" t="n"/>
      <c r="T49" s="18" t="n"/>
      <c r="U49" s="26">
        <f>D49+F49+-(H49+J49+L49+N49+P49+R49+T49)</f>
        <v/>
      </c>
      <c r="V49" t="inlineStr">
        <is>
          <t>CIVIL</t>
        </is>
      </c>
    </row>
    <row r="50" ht="15" customHeight="1">
      <c r="A50" s="22">
        <f>A49+1</f>
        <v/>
      </c>
      <c r="B50" s="122" t="inlineStr">
        <is>
          <t>CAT JAVA EXTERIOR</t>
        </is>
      </c>
      <c r="C50" s="123" t="inlineStr">
        <is>
          <t>PAIL</t>
        </is>
      </c>
      <c r="D50" s="26">
        <f>'Week  (4)'!U50</f>
        <v/>
      </c>
      <c r="E50" s="125" t="n"/>
      <c r="F50" s="55" t="n"/>
      <c r="G50" s="52" t="n"/>
      <c r="H50" s="55" t="n"/>
      <c r="I50" s="71" t="n"/>
      <c r="J50" s="55" t="n"/>
      <c r="K50" s="18" t="n"/>
      <c r="L50" s="73" t="n"/>
      <c r="M50" s="18" t="n"/>
      <c r="N50" s="73" t="n"/>
      <c r="O50" s="19" t="n"/>
      <c r="P50" s="18" t="n"/>
      <c r="Q50" s="18" t="n"/>
      <c r="R50" s="73" t="n"/>
      <c r="S50" s="18" t="n"/>
      <c r="T50" s="18" t="n"/>
      <c r="U50" s="26">
        <f>D50+F50+-(H50+J50+L50+N50+P50+R50+T50)</f>
        <v/>
      </c>
      <c r="V50" t="inlineStr">
        <is>
          <t>CIVIL</t>
        </is>
      </c>
    </row>
    <row r="51" ht="15" customHeight="1">
      <c r="A51" s="22">
        <f>A50+1</f>
        <v/>
      </c>
      <c r="B51" s="122" t="inlineStr">
        <is>
          <t>CAT JAVA INTERIOR NO. 31</t>
        </is>
      </c>
      <c r="C51" s="123" t="inlineStr">
        <is>
          <t>PAIL</t>
        </is>
      </c>
      <c r="D51" s="26">
        <f>'Week  (4)'!U51</f>
        <v/>
      </c>
      <c r="E51" s="124" t="n"/>
      <c r="F51" s="62" t="n"/>
      <c r="G51" s="25" t="n"/>
      <c r="H51" s="56" t="n"/>
      <c r="I51" s="19" t="n"/>
      <c r="J51" s="64" t="n"/>
      <c r="K51" s="18" t="n"/>
      <c r="L51" s="73" t="n"/>
      <c r="M51" s="73" t="n"/>
      <c r="N51" s="73" t="n"/>
      <c r="O51" s="19" t="n"/>
      <c r="P51" s="18" t="n"/>
      <c r="Q51" s="18" t="n"/>
      <c r="R51" s="73" t="n"/>
      <c r="S51" s="18" t="n"/>
      <c r="T51" s="18" t="n"/>
      <c r="U51" s="26">
        <f>D51+F51+-(H51+J51+L51+N51+P51+R51+T51)</f>
        <v/>
      </c>
      <c r="V51" t="inlineStr">
        <is>
          <t>CIVIL</t>
        </is>
      </c>
    </row>
    <row r="52" ht="15" customHeight="1">
      <c r="A52" s="22">
        <f>A51+1</f>
        <v/>
      </c>
      <c r="B52" s="122" t="inlineStr">
        <is>
          <t>CAT JAVA INTERIOR NO. 32</t>
        </is>
      </c>
      <c r="C52" s="123" t="inlineStr">
        <is>
          <t>PAIL</t>
        </is>
      </c>
      <c r="D52" s="26">
        <f>'Week  (4)'!U52</f>
        <v/>
      </c>
      <c r="E52" s="125" t="n"/>
      <c r="F52" s="55" t="n"/>
      <c r="G52" s="52" t="n"/>
      <c r="H52" s="55" t="n"/>
      <c r="I52" s="71" t="n"/>
      <c r="J52" s="55" t="n"/>
      <c r="K52" s="18" t="n"/>
      <c r="L52" s="73" t="n"/>
      <c r="M52" s="73" t="n"/>
      <c r="N52" s="73" t="n"/>
      <c r="O52" s="19" t="n"/>
      <c r="P52" s="18" t="n"/>
      <c r="Q52" s="18" t="n"/>
      <c r="R52" s="73" t="n"/>
      <c r="S52" s="18" t="n"/>
      <c r="T52" s="18" t="n"/>
      <c r="U52" s="26">
        <f>D52+F52+-(H52+J52+L52+N52+P52+R52+T52)</f>
        <v/>
      </c>
      <c r="V52" t="inlineStr">
        <is>
          <t>CIVIL</t>
        </is>
      </c>
    </row>
    <row r="53" ht="24" customHeight="1">
      <c r="A53" s="22">
        <f>A52+1</f>
        <v/>
      </c>
      <c r="B53" s="79" t="inlineStr">
        <is>
          <t>Cat NIPPE 2000 No.012 ( CHAMONIK)</t>
        </is>
      </c>
      <c r="C53" s="29" t="inlineStr">
        <is>
          <t>KG</t>
        </is>
      </c>
      <c r="D53" s="26">
        <f>'Week  (4)'!U53</f>
        <v/>
      </c>
      <c r="E53" s="124" t="n"/>
      <c r="F53" s="62" t="n"/>
      <c r="G53" s="25" t="n"/>
      <c r="H53" s="69" t="n"/>
      <c r="I53" s="19" t="n"/>
      <c r="J53" s="64" t="n"/>
      <c r="K53" s="25" t="n"/>
      <c r="L53" s="56" t="n"/>
      <c r="M53" s="73" t="n"/>
      <c r="N53" s="73" t="n"/>
      <c r="O53" s="19" t="n"/>
      <c r="P53" s="18" t="n"/>
      <c r="Q53" s="18" t="n"/>
      <c r="R53" s="73" t="n"/>
      <c r="S53" s="18" t="n"/>
      <c r="T53" s="18" t="n"/>
      <c r="U53" s="26">
        <f>D53+F53+-(H53+J53+L53+N53+P53+R53+T53)</f>
        <v/>
      </c>
      <c r="V53" t="inlineStr">
        <is>
          <t>CIVIL</t>
        </is>
      </c>
    </row>
    <row r="54" ht="24" customHeight="1">
      <c r="A54" s="22">
        <f>A53+1</f>
        <v/>
      </c>
      <c r="B54" s="104" t="inlineStr">
        <is>
          <t>Cat Pylox Hitam</t>
        </is>
      </c>
      <c r="C54" s="29" t="inlineStr">
        <is>
          <t>Btl</t>
        </is>
      </c>
      <c r="D54" s="26">
        <f>'Week  (4)'!U54</f>
        <v/>
      </c>
      <c r="E54" s="125" t="n"/>
      <c r="F54" s="55" t="n"/>
      <c r="G54" s="52" t="n"/>
      <c r="H54" s="55" t="n"/>
      <c r="I54" s="71" t="n"/>
      <c r="J54" s="55" t="n"/>
      <c r="K54" s="18" t="n"/>
      <c r="L54" s="73" t="n"/>
      <c r="M54" s="73" t="n"/>
      <c r="N54" s="73" t="n"/>
      <c r="O54" s="19" t="n"/>
      <c r="P54" s="18" t="n"/>
      <c r="Q54" s="18" t="n"/>
      <c r="R54" s="73" t="n"/>
      <c r="S54" s="18" t="n"/>
      <c r="T54" s="18" t="n"/>
      <c r="U54" s="26">
        <f>D54+F54+-(H54+J54+L54+N54+P54+R54+T54)</f>
        <v/>
      </c>
      <c r="V54" t="inlineStr">
        <is>
          <t>CIVIL</t>
        </is>
      </c>
    </row>
    <row r="55" ht="24" customHeight="1">
      <c r="A55" s="22">
        <f>A54+1</f>
        <v/>
      </c>
      <c r="B55" s="79" t="inlineStr">
        <is>
          <t>Cat Pylox Merah</t>
        </is>
      </c>
      <c r="C55" s="29" t="inlineStr">
        <is>
          <t>Btl</t>
        </is>
      </c>
      <c r="D55" s="26">
        <f>'Week  (4)'!U55</f>
        <v/>
      </c>
      <c r="E55" s="124" t="n"/>
      <c r="F55" s="62" t="n"/>
      <c r="G55" s="25" t="n"/>
      <c r="H55" s="56" t="n"/>
      <c r="I55" s="19" t="n"/>
      <c r="J55" s="64" t="n"/>
      <c r="K55" s="18" t="n"/>
      <c r="L55" s="73" t="n"/>
      <c r="M55" s="73" t="n"/>
      <c r="N55" s="73" t="n"/>
      <c r="O55" s="19" t="n"/>
      <c r="P55" s="18" t="n"/>
      <c r="Q55" s="18" t="n"/>
      <c r="R55" s="73" t="n"/>
      <c r="S55" s="18" t="n"/>
      <c r="T55" s="18" t="n"/>
      <c r="U55" s="26">
        <f>D55+F55+-(H55+J55+L55+N55+P55+R55+T55)</f>
        <v/>
      </c>
      <c r="V55" t="inlineStr">
        <is>
          <t>CIVIL</t>
        </is>
      </c>
    </row>
    <row r="56" ht="24" customHeight="1">
      <c r="A56" s="22">
        <f>A55+1</f>
        <v/>
      </c>
      <c r="B56" s="104" t="inlineStr">
        <is>
          <t>Cat Pylox Putih</t>
        </is>
      </c>
      <c r="C56" s="29" t="inlineStr">
        <is>
          <t>Btl</t>
        </is>
      </c>
      <c r="D56" s="26">
        <f>'Week  (4)'!U56</f>
        <v/>
      </c>
      <c r="E56" s="125" t="n"/>
      <c r="F56" s="55" t="n"/>
      <c r="G56" s="52" t="n"/>
      <c r="H56" s="55" t="n"/>
      <c r="I56" s="71" t="n"/>
      <c r="J56" s="55" t="n"/>
      <c r="K56" s="18" t="n"/>
      <c r="L56" s="73" t="n"/>
      <c r="M56" s="73" t="n"/>
      <c r="N56" s="73" t="n"/>
      <c r="O56" s="19" t="n"/>
      <c r="P56" s="18" t="n"/>
      <c r="Q56" s="18" t="n"/>
      <c r="R56" s="73" t="n"/>
      <c r="S56" s="18" t="n"/>
      <c r="T56" s="18" t="n"/>
      <c r="U56" s="26">
        <f>D56+F56+-(H56+J56+L56+N56+P56+R56+T56)</f>
        <v/>
      </c>
      <c r="V56" t="inlineStr">
        <is>
          <t>CIVIL</t>
        </is>
      </c>
    </row>
    <row r="57" ht="24" customHeight="1">
      <c r="A57" s="22">
        <f>A56+1</f>
        <v/>
      </c>
      <c r="B57" s="104" t="inlineStr">
        <is>
          <t>Cat Zynchromate</t>
        </is>
      </c>
      <c r="C57" s="29" t="inlineStr">
        <is>
          <t>Kg</t>
        </is>
      </c>
      <c r="D57" s="26">
        <f>'Week  (4)'!U57</f>
        <v/>
      </c>
      <c r="E57" s="124" t="n"/>
      <c r="F57" s="62" t="n"/>
      <c r="G57" s="25" t="n"/>
      <c r="H57" s="56" t="n"/>
      <c r="I57" s="19" t="n"/>
      <c r="J57" s="64" t="n"/>
      <c r="K57" s="18" t="n"/>
      <c r="L57" s="73" t="n"/>
      <c r="M57" s="73" t="n"/>
      <c r="N57" s="73" t="n"/>
      <c r="O57" s="19" t="n"/>
      <c r="P57" s="18" t="n"/>
      <c r="Q57" s="18" t="n"/>
      <c r="R57" s="73" t="n"/>
      <c r="S57" s="18" t="n"/>
      <c r="T57" s="18" t="n"/>
      <c r="U57" s="26">
        <f>D57+F57+-(H57+J57+L57+N57+P57+R57+T57)</f>
        <v/>
      </c>
      <c r="V57" t="inlineStr">
        <is>
          <t>CIVIL</t>
        </is>
      </c>
    </row>
    <row r="58" ht="24" customHeight="1">
      <c r="A58" s="22">
        <f>A57+1</f>
        <v/>
      </c>
      <c r="B58" s="104" t="inlineStr">
        <is>
          <t>Cat Avian Putih</t>
        </is>
      </c>
      <c r="C58" s="29" t="inlineStr">
        <is>
          <t>Kg</t>
        </is>
      </c>
      <c r="D58" s="26">
        <f>'Week  (4)'!U58</f>
        <v/>
      </c>
      <c r="E58" s="125" t="n"/>
      <c r="F58" s="55" t="n"/>
      <c r="G58" s="52" t="n"/>
      <c r="H58" s="55" t="n"/>
      <c r="I58" s="71" t="n"/>
      <c r="J58" s="55" t="n"/>
      <c r="K58" s="18" t="n"/>
      <c r="L58" s="73" t="n"/>
      <c r="M58" s="73" t="n"/>
      <c r="N58" s="73" t="n"/>
      <c r="O58" s="19" t="n"/>
      <c r="P58" s="18" t="n"/>
      <c r="Q58" s="18" t="n"/>
      <c r="R58" s="73" t="n"/>
      <c r="S58" s="18" t="n"/>
      <c r="T58" s="18" t="n"/>
      <c r="U58" s="26">
        <f>D58+F58+-(H58+J58+L58+N58+P58+R58+T58)</f>
        <v/>
      </c>
      <c r="V58" t="inlineStr">
        <is>
          <t>CIVIL</t>
        </is>
      </c>
    </row>
    <row r="59" ht="27" customHeight="1">
      <c r="A59" s="22">
        <f>A58+1</f>
        <v/>
      </c>
      <c r="B59" s="122" t="inlineStr">
        <is>
          <t>Semen, Gresik</t>
        </is>
      </c>
      <c r="C59" s="123" t="inlineStr">
        <is>
          <t>SACK</t>
        </is>
      </c>
      <c r="D59" s="26">
        <f>'Week  (4)'!U59</f>
        <v/>
      </c>
      <c r="E59" s="129" t="n"/>
      <c r="F59" s="62" t="n"/>
      <c r="G59" s="68" t="n"/>
      <c r="H59" s="65" t="n"/>
      <c r="I59" s="19" t="inlineStr">
        <is>
          <t>Lombok 2</t>
        </is>
      </c>
      <c r="J59" s="77" t="n">
        <v>1</v>
      </c>
      <c r="K59" s="19" t="n"/>
      <c r="L59" s="73" t="n"/>
      <c r="M59" s="19" t="n"/>
      <c r="N59" s="73" t="n"/>
      <c r="O59" s="19" t="n"/>
      <c r="P59" s="18" t="n"/>
      <c r="Q59" s="18" t="n"/>
      <c r="R59" s="73" t="n"/>
      <c r="S59" s="18" t="n"/>
      <c r="T59" s="18" t="n"/>
      <c r="U59" s="26">
        <f>D59+F59+-(H59+J59+L59+N59+P59+R59+T59)</f>
        <v/>
      </c>
      <c r="V59" t="inlineStr">
        <is>
          <t>CIVIL</t>
        </is>
      </c>
    </row>
    <row r="60" ht="15" customHeight="1">
      <c r="A60" s="22">
        <f>A59+1</f>
        <v/>
      </c>
      <c r="B60" s="122" t="inlineStr">
        <is>
          <t>Semen Putih</t>
        </is>
      </c>
      <c r="C60" s="123" t="inlineStr">
        <is>
          <t>Kg</t>
        </is>
      </c>
      <c r="D60" s="26">
        <f>'Week  (4)'!U60</f>
        <v/>
      </c>
      <c r="E60" s="125" t="n"/>
      <c r="F60" s="55" t="n"/>
      <c r="G60" s="68" t="n"/>
      <c r="H60" s="55" t="n"/>
      <c r="I60" s="71" t="n"/>
      <c r="J60" s="55" t="n"/>
      <c r="K60" s="19" t="n"/>
      <c r="L60" s="73" t="n"/>
      <c r="M60" s="73" t="n"/>
      <c r="N60" s="73" t="n"/>
      <c r="O60" s="19" t="n"/>
      <c r="P60" s="18" t="n"/>
      <c r="Q60" s="18" t="n"/>
      <c r="R60" s="73" t="n"/>
      <c r="S60" s="18" t="n"/>
      <c r="T60" s="18" t="n"/>
      <c r="U60" s="26">
        <f>D60+F60+-(H60+J60+L60+N60+P60+R60+T60)</f>
        <v/>
      </c>
      <c r="V60" t="inlineStr">
        <is>
          <t>CIVIL</t>
        </is>
      </c>
    </row>
    <row r="61" ht="15" customHeight="1">
      <c r="A61" s="22">
        <f>A60+1</f>
        <v/>
      </c>
      <c r="B61" s="122" t="inlineStr">
        <is>
          <t>Ceramic size 20x25 PUTIH</t>
        </is>
      </c>
      <c r="C61" s="123" t="inlineStr">
        <is>
          <t>DUs</t>
        </is>
      </c>
      <c r="D61" s="26">
        <f>'Week  (4)'!U61</f>
        <v/>
      </c>
      <c r="E61" s="124" t="n"/>
      <c r="F61" s="62" t="n"/>
      <c r="G61" s="25" t="n"/>
      <c r="H61" s="56" t="n"/>
      <c r="I61" s="19" t="n"/>
      <c r="J61" s="64" t="n"/>
      <c r="K61" s="18" t="n"/>
      <c r="L61" s="73" t="n"/>
      <c r="M61" s="73" t="n"/>
      <c r="N61" s="73" t="n"/>
      <c r="O61" s="19" t="n"/>
      <c r="P61" s="18" t="n"/>
      <c r="Q61" s="18" t="n"/>
      <c r="R61" s="73" t="n"/>
      <c r="S61" s="18" t="n"/>
      <c r="T61" s="18" t="n"/>
      <c r="U61" s="26">
        <f>D61+F61+-(H61+J61+L61+N61+P61+R61+T61)</f>
        <v/>
      </c>
      <c r="V61" t="inlineStr">
        <is>
          <t>CIVIL</t>
        </is>
      </c>
    </row>
    <row r="62" ht="15" customHeight="1">
      <c r="A62" s="22">
        <f>A61+1</f>
        <v/>
      </c>
      <c r="B62" s="122" t="inlineStr">
        <is>
          <t>Ceramic size 30x30</t>
        </is>
      </c>
      <c r="C62" s="123" t="inlineStr">
        <is>
          <t>Dus</t>
        </is>
      </c>
      <c r="D62" s="26">
        <f>'Week  (4)'!U62</f>
        <v/>
      </c>
      <c r="E62" s="125" t="n"/>
      <c r="F62" s="55" t="n"/>
      <c r="G62" s="52" t="n"/>
      <c r="H62" s="55" t="n"/>
      <c r="I62" s="71" t="n"/>
      <c r="J62" s="55" t="n"/>
      <c r="K62" s="18" t="n"/>
      <c r="L62" s="73" t="n"/>
      <c r="M62" s="73" t="n"/>
      <c r="N62" s="73" t="n"/>
      <c r="O62" s="19" t="n"/>
      <c r="P62" s="18" t="n"/>
      <c r="Q62" s="18" t="n"/>
      <c r="R62" s="73" t="n"/>
      <c r="S62" s="18" t="n"/>
      <c r="T62" s="18" t="n"/>
      <c r="U62" s="26">
        <f>D62+F62+-(H62+J62+L62+N62+P62+R62+T62)</f>
        <v/>
      </c>
      <c r="V62" t="inlineStr">
        <is>
          <t>CIVIL</t>
        </is>
      </c>
    </row>
    <row r="63" ht="15" customHeight="1">
      <c r="A63" s="22">
        <f>A62+1</f>
        <v/>
      </c>
      <c r="B63" s="122" t="inlineStr">
        <is>
          <t>Contactor LC1D09M7, Scheider</t>
        </is>
      </c>
      <c r="C63" s="123" t="inlineStr">
        <is>
          <t>PCS</t>
        </is>
      </c>
      <c r="D63" s="26">
        <f>'Week  (4)'!U63</f>
        <v/>
      </c>
      <c r="E63" s="124" t="n"/>
      <c r="F63" s="62" t="n"/>
      <c r="G63" s="25" t="n"/>
      <c r="H63" s="56" t="n"/>
      <c r="I63" s="19" t="n"/>
      <c r="J63" s="64" t="n"/>
      <c r="K63" s="18" t="n"/>
      <c r="L63" s="73" t="n"/>
      <c r="M63" s="73" t="n"/>
      <c r="N63" s="73" t="n"/>
      <c r="O63" s="19" t="n"/>
      <c r="P63" s="18" t="n"/>
      <c r="Q63" s="18" t="n"/>
      <c r="R63" s="73" t="n"/>
      <c r="S63" s="18" t="n"/>
      <c r="T63" s="18" t="n"/>
      <c r="U63" s="26">
        <f>D63+F63+-(H63+J63+L63+N63+P63+R63+T63)</f>
        <v/>
      </c>
      <c r="V63" t="inlineStr">
        <is>
          <t>ELECTRICAL</t>
        </is>
      </c>
    </row>
    <row r="64" ht="15" customHeight="1">
      <c r="A64" s="22">
        <f>A63+1</f>
        <v/>
      </c>
      <c r="B64" s="122" t="inlineStr">
        <is>
          <t>Contactor LC1D12M7, Scheider</t>
        </is>
      </c>
      <c r="C64" s="123" t="inlineStr">
        <is>
          <t>PCS</t>
        </is>
      </c>
      <c r="D64" s="26">
        <f>'Week  (4)'!U64</f>
        <v/>
      </c>
      <c r="E64" s="125" t="n"/>
      <c r="F64" s="55" t="n"/>
      <c r="G64" s="52" t="n"/>
      <c r="H64" s="55" t="n"/>
      <c r="I64" s="71" t="n"/>
      <c r="J64" s="55" t="n"/>
      <c r="K64" s="18" t="n"/>
      <c r="L64" s="73" t="n"/>
      <c r="M64" s="73" t="n"/>
      <c r="N64" s="73" t="n"/>
      <c r="O64" s="19" t="n"/>
      <c r="P64" s="18" t="n"/>
      <c r="Q64" s="18" t="n"/>
      <c r="R64" s="73" t="n"/>
      <c r="S64" s="18" t="n"/>
      <c r="T64" s="18" t="n"/>
      <c r="U64" s="26">
        <f>D64+F64+-(H64+J64+L64+N64+P64+R64+T64)</f>
        <v/>
      </c>
      <c r="V64" t="inlineStr">
        <is>
          <t>ELECTRICAL</t>
        </is>
      </c>
    </row>
    <row r="65" ht="15" customHeight="1">
      <c r="A65" s="22">
        <f>A64+1</f>
        <v/>
      </c>
      <c r="B65" s="122" t="inlineStr">
        <is>
          <t>Contactor LC1D18M7, Scheider</t>
        </is>
      </c>
      <c r="C65" s="123" t="inlineStr">
        <is>
          <t>PCS</t>
        </is>
      </c>
      <c r="D65" s="26">
        <f>'Week  (4)'!U65</f>
        <v/>
      </c>
      <c r="E65" s="124" t="n"/>
      <c r="F65" s="62" t="n"/>
      <c r="G65" s="25" t="n"/>
      <c r="H65" s="56" t="n"/>
      <c r="I65" s="19" t="n"/>
      <c r="J65" s="64" t="n"/>
      <c r="K65" s="18" t="n"/>
      <c r="L65" s="73" t="n"/>
      <c r="M65" s="73" t="n"/>
      <c r="N65" s="73" t="n"/>
      <c r="O65" s="19" t="n"/>
      <c r="P65" s="18" t="n"/>
      <c r="Q65" s="18" t="n"/>
      <c r="R65" s="73" t="n"/>
      <c r="S65" s="18" t="n"/>
      <c r="T65" s="18" t="n"/>
      <c r="U65" s="26">
        <f>D65+F65+-(H65+J65+L65+N65+P65+R65+T65)</f>
        <v/>
      </c>
      <c r="V65" t="inlineStr">
        <is>
          <t>ELECTRICAL</t>
        </is>
      </c>
    </row>
    <row r="66" ht="15" customHeight="1">
      <c r="A66" s="22">
        <f>A65+1</f>
        <v/>
      </c>
      <c r="B66" s="122" t="inlineStr">
        <is>
          <t>Contactor LC1D25M7, Scheider</t>
        </is>
      </c>
      <c r="C66" s="123" t="inlineStr">
        <is>
          <t>PCS</t>
        </is>
      </c>
      <c r="D66" s="26">
        <f>'Week  (4)'!U66</f>
        <v/>
      </c>
      <c r="E66" s="125" t="n"/>
      <c r="F66" s="55" t="n"/>
      <c r="G66" s="52" t="n"/>
      <c r="H66" s="55" t="n"/>
      <c r="I66" s="71" t="n"/>
      <c r="J66" s="55" t="n"/>
      <c r="K66" s="18" t="n"/>
      <c r="L66" s="73" t="n"/>
      <c r="M66" s="73" t="n"/>
      <c r="N66" s="73" t="n"/>
      <c r="O66" s="19" t="n"/>
      <c r="P66" s="18" t="n"/>
      <c r="Q66" s="19" t="n"/>
      <c r="R66" s="18" t="n"/>
      <c r="S66" s="18" t="n"/>
      <c r="T66" s="18" t="n"/>
      <c r="U66" s="26">
        <f>D66+F66+-(H66+J66+L66+N66+P66+R66+T66)</f>
        <v/>
      </c>
      <c r="V66" t="inlineStr">
        <is>
          <t>ELECTRICAL</t>
        </is>
      </c>
    </row>
    <row r="67" ht="15" customHeight="1">
      <c r="A67" s="22">
        <f>A66+1</f>
        <v/>
      </c>
      <c r="B67" s="122" t="inlineStr">
        <is>
          <t>Contactor LC1D32M7, Scheider</t>
        </is>
      </c>
      <c r="C67" s="123" t="inlineStr">
        <is>
          <t>PCS</t>
        </is>
      </c>
      <c r="D67" s="26">
        <f>'Week  (4)'!U67</f>
        <v/>
      </c>
      <c r="E67" s="124" t="n"/>
      <c r="F67" s="62" t="n"/>
      <c r="G67" s="25" t="n"/>
      <c r="H67" s="56" t="n"/>
      <c r="I67" s="19" t="n"/>
      <c r="J67" s="64" t="n"/>
      <c r="K67" s="19" t="n"/>
      <c r="L67" s="73" t="n"/>
      <c r="M67" s="73" t="n"/>
      <c r="N67" s="73" t="n"/>
      <c r="O67" s="19" t="n"/>
      <c r="P67" s="18" t="n"/>
      <c r="Q67" s="18" t="n"/>
      <c r="R67" s="73" t="n"/>
      <c r="S67" s="18" t="n"/>
      <c r="T67" s="18" t="n"/>
      <c r="U67" s="26">
        <f>D67+F67+-(H67+J67+L67+N67+P67+R67+T67)</f>
        <v/>
      </c>
      <c r="V67" t="inlineStr">
        <is>
          <t>ELECTRICAL</t>
        </is>
      </c>
    </row>
    <row r="68" ht="15" customHeight="1">
      <c r="A68" s="22">
        <f>A67+1</f>
        <v/>
      </c>
      <c r="B68" s="38" t="inlineStr">
        <is>
          <t>Coupler  Equal Tee 20 x 20</t>
        </is>
      </c>
      <c r="C68" s="123" t="inlineStr">
        <is>
          <t>PCS</t>
        </is>
      </c>
      <c r="D68" s="26">
        <f>'Week  (4)'!U68</f>
        <v/>
      </c>
      <c r="E68" s="125" t="n"/>
      <c r="F68" s="55" t="n"/>
      <c r="G68" s="52" t="n"/>
      <c r="H68" s="55" t="n"/>
      <c r="I68" s="71" t="n"/>
      <c r="J68" s="55" t="n"/>
      <c r="K68" s="18" t="n"/>
      <c r="L68" s="73" t="n"/>
      <c r="M68" s="73" t="n"/>
      <c r="N68" s="73" t="n"/>
      <c r="O68" s="19" t="n"/>
      <c r="P68" s="18" t="n"/>
      <c r="Q68" s="18" t="n"/>
      <c r="R68" s="73" t="n"/>
      <c r="S68" s="18" t="n"/>
      <c r="T68" s="18" t="n"/>
      <c r="U68" s="26">
        <f>D68+F68+-(H68+J68+L68+N68+P68+R68+T68)</f>
        <v/>
      </c>
      <c r="V68" t="inlineStr">
        <is>
          <t>VALVE AND PIPE</t>
        </is>
      </c>
    </row>
    <row r="69" ht="15" customHeight="1">
      <c r="A69" s="22">
        <f>A68+1</f>
        <v/>
      </c>
      <c r="B69" s="38" t="inlineStr">
        <is>
          <t>Coupler  Equal Tee 32 x 32</t>
        </is>
      </c>
      <c r="C69" s="123" t="inlineStr">
        <is>
          <t>PCS</t>
        </is>
      </c>
      <c r="D69" s="26">
        <f>'Week  (4)'!U69</f>
        <v/>
      </c>
      <c r="E69" s="124" t="n"/>
      <c r="F69" s="62" t="n"/>
      <c r="G69" s="25" t="n"/>
      <c r="H69" s="56" t="n"/>
      <c r="I69" s="19" t="n"/>
      <c r="J69" s="64" t="n"/>
      <c r="K69" s="18" t="n"/>
      <c r="L69" s="73" t="n"/>
      <c r="M69" s="73" t="n"/>
      <c r="N69" s="73" t="n"/>
      <c r="O69" s="19" t="n"/>
      <c r="P69" s="18" t="n"/>
      <c r="Q69" s="18" t="n"/>
      <c r="R69" s="73" t="n"/>
      <c r="S69" s="18" t="n"/>
      <c r="T69" s="18" t="n"/>
      <c r="U69" s="26">
        <f>D69+F69+-(H69+J69+L69+N69+P69+R69+T69)</f>
        <v/>
      </c>
      <c r="V69" t="inlineStr">
        <is>
          <t>VALVE AND PIPE</t>
        </is>
      </c>
    </row>
    <row r="70" ht="30.75" customHeight="1">
      <c r="A70" s="22">
        <f>A69+1</f>
        <v/>
      </c>
      <c r="B70" s="39" t="inlineStr">
        <is>
          <t>Coupler HDPE Mechanical Joint ø 110</t>
        </is>
      </c>
      <c r="C70" s="123" t="inlineStr">
        <is>
          <t>PCS</t>
        </is>
      </c>
      <c r="D70" s="26">
        <f>'Week  (4)'!U70</f>
        <v/>
      </c>
      <c r="E70" s="125" t="n"/>
      <c r="F70" s="55" t="n"/>
      <c r="G70" s="52" t="n"/>
      <c r="H70" s="55" t="n"/>
      <c r="I70" s="71" t="n"/>
      <c r="J70" s="55" t="n"/>
      <c r="K70" s="18" t="n"/>
      <c r="L70" s="73" t="n"/>
      <c r="M70" s="73" t="n"/>
      <c r="N70" s="73" t="n"/>
      <c r="O70" s="19" t="n"/>
      <c r="P70" s="18" t="n"/>
      <c r="Q70" s="18" t="n"/>
      <c r="R70" s="73" t="n"/>
      <c r="S70" s="18" t="n"/>
      <c r="T70" s="18" t="n"/>
      <c r="U70" s="26">
        <f>D70+F70+-(H70+J70+L70+N70+P70+R70+T70)</f>
        <v/>
      </c>
      <c r="V70" t="inlineStr">
        <is>
          <t>VALVE AND PIPE</t>
        </is>
      </c>
    </row>
    <row r="71" ht="33.75" customHeight="1">
      <c r="A71" s="22">
        <f>A70+1</f>
        <v/>
      </c>
      <c r="B71" s="39" t="inlineStr">
        <is>
          <t>Coupler HDPE Mechanical Joint ø 63</t>
        </is>
      </c>
      <c r="C71" s="123" t="inlineStr">
        <is>
          <t>PCS</t>
        </is>
      </c>
      <c r="D71" s="26">
        <f>'Week  (4)'!U71</f>
        <v/>
      </c>
      <c r="E71" s="124" t="n"/>
      <c r="F71" s="62" t="n"/>
      <c r="G71" s="25" t="n"/>
      <c r="H71" s="56" t="n"/>
      <c r="I71" s="19" t="n"/>
      <c r="J71" s="64" t="n"/>
      <c r="K71" s="18" t="n"/>
      <c r="L71" s="73" t="n"/>
      <c r="M71" s="73" t="n"/>
      <c r="N71" s="73" t="n"/>
      <c r="O71" s="19" t="n"/>
      <c r="P71" s="18" t="n"/>
      <c r="Q71" s="18" t="n"/>
      <c r="R71" s="73" t="n"/>
      <c r="S71" s="18" t="n"/>
      <c r="T71" s="18" t="n"/>
      <c r="U71" s="26">
        <f>D71+F71+-(H71+J71+L71+N71+P71+R71+T71)</f>
        <v/>
      </c>
      <c r="V71" t="inlineStr">
        <is>
          <t>VALVE AND PIPE</t>
        </is>
      </c>
    </row>
    <row r="72" ht="30" customHeight="1">
      <c r="A72" s="22">
        <f>A71+1</f>
        <v/>
      </c>
      <c r="B72" s="39" t="inlineStr">
        <is>
          <t>Coupler HDPE Mechanical Joint ø 90 X 75</t>
        </is>
      </c>
      <c r="C72" s="123" t="inlineStr">
        <is>
          <t>PCS</t>
        </is>
      </c>
      <c r="D72" s="26">
        <f>'Week  (4)'!U72</f>
        <v/>
      </c>
      <c r="E72" s="125" t="n"/>
      <c r="F72" s="55" t="n"/>
      <c r="G72" s="52" t="n"/>
      <c r="H72" s="55" t="n"/>
      <c r="I72" s="71" t="n"/>
      <c r="J72" s="55" t="n"/>
      <c r="K72" s="18" t="n"/>
      <c r="L72" s="73" t="n"/>
      <c r="M72" s="73" t="n"/>
      <c r="N72" s="73" t="n"/>
      <c r="O72" s="19" t="n"/>
      <c r="P72" s="18" t="n"/>
      <c r="Q72" s="18" t="n"/>
      <c r="R72" s="73" t="n"/>
      <c r="S72" s="18" t="n"/>
      <c r="T72" s="18" t="n"/>
      <c r="U72" s="26">
        <f>D72+F72+-(H72+J72+L72+N72+P72+R72+T72)</f>
        <v/>
      </c>
      <c r="V72" t="inlineStr">
        <is>
          <t>VALVE AND PIPE</t>
        </is>
      </c>
    </row>
    <row r="73" ht="24" customHeight="1">
      <c r="A73" s="22">
        <f>A72+1</f>
        <v/>
      </c>
      <c r="B73" s="38" t="inlineStr">
        <is>
          <t>Coupler of Reducing  25 x 20</t>
        </is>
      </c>
      <c r="C73" s="123" t="inlineStr">
        <is>
          <t>PCS</t>
        </is>
      </c>
      <c r="D73" s="26">
        <f>'Week  (4)'!U73</f>
        <v/>
      </c>
      <c r="E73" s="124" t="n"/>
      <c r="F73" s="62" t="n"/>
      <c r="G73" s="25" t="n"/>
      <c r="H73" s="56" t="n"/>
      <c r="I73" s="19" t="n"/>
      <c r="J73" s="64" t="n"/>
      <c r="K73" s="18" t="n"/>
      <c r="L73" s="73" t="n"/>
      <c r="M73" s="73" t="n"/>
      <c r="N73" s="73" t="n"/>
      <c r="O73" s="19" t="n"/>
      <c r="P73" s="18" t="n"/>
      <c r="Q73" s="18" t="n"/>
      <c r="R73" s="73" t="n"/>
      <c r="S73" s="18" t="n"/>
      <c r="T73" s="18" t="n"/>
      <c r="U73" s="26">
        <f>D73+F73+-(H73+J73+L73+N73+P73+R73+T73)</f>
        <v/>
      </c>
      <c r="V73" t="inlineStr">
        <is>
          <t>VALVE AND PIPE</t>
        </is>
      </c>
    </row>
    <row r="74" ht="24" customHeight="1">
      <c r="A74" s="22">
        <f>A73+1</f>
        <v/>
      </c>
      <c r="B74" s="38" t="inlineStr">
        <is>
          <t>Coupler Straight 20 x 20</t>
        </is>
      </c>
      <c r="C74" s="123" t="inlineStr">
        <is>
          <t>PCS</t>
        </is>
      </c>
      <c r="D74" s="26">
        <f>'Week  (4)'!U74</f>
        <v/>
      </c>
      <c r="E74" s="125" t="n"/>
      <c r="F74" s="55" t="n"/>
      <c r="G74" s="52" t="n"/>
      <c r="H74" s="55" t="n"/>
      <c r="I74" s="71" t="n"/>
      <c r="J74" s="55" t="n"/>
      <c r="K74" s="18" t="n"/>
      <c r="L74" s="73" t="n"/>
      <c r="M74" s="73" t="n"/>
      <c r="N74" s="73" t="n"/>
      <c r="O74" s="19" t="n"/>
      <c r="P74" s="18" t="n"/>
      <c r="Q74" s="18" t="n"/>
      <c r="R74" s="73" t="n"/>
      <c r="S74" s="18" t="n"/>
      <c r="T74" s="18" t="n"/>
      <c r="U74" s="26">
        <f>D74+F74+-(H74+J74+L74+N74+P74+R74+T74)</f>
        <v/>
      </c>
      <c r="V74" t="inlineStr">
        <is>
          <t>VALVE AND PIPE</t>
        </is>
      </c>
    </row>
    <row r="75" ht="24" customHeight="1">
      <c r="A75" s="22">
        <f>A74+1</f>
        <v/>
      </c>
      <c r="B75" s="38" t="inlineStr">
        <is>
          <t xml:space="preserve">Coupler Straight 25 x 25 </t>
        </is>
      </c>
      <c r="C75" s="123" t="inlineStr">
        <is>
          <t>PCS</t>
        </is>
      </c>
      <c r="D75" s="26">
        <f>'Week  (4)'!U75</f>
        <v/>
      </c>
      <c r="E75" s="124" t="n"/>
      <c r="F75" s="62" t="n"/>
      <c r="G75" s="25" t="n"/>
      <c r="H75" s="56" t="n"/>
      <c r="I75" s="19" t="n"/>
      <c r="J75" s="64" t="n"/>
      <c r="K75" s="18" t="n"/>
      <c r="L75" s="73" t="n"/>
      <c r="M75" s="73" t="n"/>
      <c r="N75" s="73" t="n"/>
      <c r="O75" s="19" t="n"/>
      <c r="P75" s="18" t="n"/>
      <c r="Q75" s="18" t="n"/>
      <c r="R75" s="73" t="n"/>
      <c r="S75" s="18" t="n"/>
      <c r="T75" s="18" t="n"/>
      <c r="U75" s="26">
        <f>D75+F75+-(H75+J75+L75+N75+P75+R75+T75)</f>
        <v/>
      </c>
      <c r="V75" t="inlineStr">
        <is>
          <t>VALVE AND PIPE</t>
        </is>
      </c>
    </row>
    <row r="76" ht="15" customHeight="1">
      <c r="A76" s="22">
        <f>A75+1</f>
        <v/>
      </c>
      <c r="B76" s="38" t="inlineStr">
        <is>
          <t>Coupler Straight 32 x 32</t>
        </is>
      </c>
      <c r="C76" s="123" t="inlineStr">
        <is>
          <t>PCS</t>
        </is>
      </c>
      <c r="D76" s="26">
        <f>'Week  (4)'!U76</f>
        <v/>
      </c>
      <c r="E76" s="125" t="n"/>
      <c r="F76" s="55" t="n"/>
      <c r="G76" s="52" t="n"/>
      <c r="H76" s="55" t="n"/>
      <c r="I76" s="71" t="n"/>
      <c r="J76" s="55" t="n"/>
      <c r="K76" s="18" t="n"/>
      <c r="L76" s="73" t="n"/>
      <c r="M76" s="73" t="n"/>
      <c r="N76" s="73" t="n"/>
      <c r="O76" s="19" t="n"/>
      <c r="P76" s="18" t="n"/>
      <c r="Q76" s="18" t="n"/>
      <c r="R76" s="73" t="n"/>
      <c r="S76" s="18" t="n"/>
      <c r="T76" s="18" t="n"/>
      <c r="U76" s="26">
        <f>D76+F76+-(H76+J76+L76+N76+P76+R76+T76)</f>
        <v/>
      </c>
      <c r="V76" t="inlineStr">
        <is>
          <t>VALVE AND PIPE</t>
        </is>
      </c>
    </row>
    <row r="77" ht="15" customHeight="1">
      <c r="A77" s="22">
        <f>A76+1</f>
        <v/>
      </c>
      <c r="B77" s="122" t="inlineStr">
        <is>
          <t xml:space="preserve">Cylinder Lock, Muller </t>
        </is>
      </c>
      <c r="C77" s="123" t="inlineStr">
        <is>
          <t>PCS</t>
        </is>
      </c>
      <c r="D77" s="26">
        <f>'Week  (4)'!U77</f>
        <v/>
      </c>
      <c r="E77" s="124" t="n"/>
      <c r="F77" s="62" t="n"/>
      <c r="G77" s="25" t="inlineStr">
        <is>
          <t>Sulawesi 4</t>
        </is>
      </c>
      <c r="H77" s="56" t="n">
        <v>2</v>
      </c>
      <c r="I77" s="19" t="n"/>
      <c r="J77" s="64" t="n"/>
      <c r="K77" s="68" t="n"/>
      <c r="L77" s="56" t="n"/>
      <c r="M77" s="73" t="n"/>
      <c r="N77" s="73" t="n"/>
      <c r="O77" s="19" t="n"/>
      <c r="P77" s="18" t="n"/>
      <c r="Q77" s="18" t="n"/>
      <c r="R77" s="73" t="n"/>
      <c r="S77" s="18" t="n"/>
      <c r="T77" s="18" t="n"/>
      <c r="U77" s="26">
        <f>D77+F77+-(H77+J77+L77+N77+P77+R77+T77)</f>
        <v/>
      </c>
      <c r="V77" t="inlineStr">
        <is>
          <t>CIVIL</t>
        </is>
      </c>
    </row>
    <row r="78" ht="24" customHeight="1">
      <c r="A78" s="22">
        <f>A77+1</f>
        <v/>
      </c>
      <c r="B78" s="122" t="inlineStr">
        <is>
          <t>Defrost Kulkas LG</t>
        </is>
      </c>
      <c r="C78" s="123" t="inlineStr">
        <is>
          <t>PCS</t>
        </is>
      </c>
      <c r="D78" s="26">
        <f>'Week  (4)'!U78</f>
        <v/>
      </c>
      <c r="E78" s="125" t="n"/>
      <c r="F78" s="55" t="n"/>
      <c r="G78" s="52" t="n"/>
      <c r="H78" s="55" t="n"/>
      <c r="I78" s="71" t="n"/>
      <c r="J78" s="55" t="n"/>
      <c r="K78" s="18" t="n"/>
      <c r="L78" s="73" t="n"/>
      <c r="M78" s="73" t="n"/>
      <c r="N78" s="73" t="n"/>
      <c r="O78" s="19" t="n"/>
      <c r="P78" s="18" t="n"/>
      <c r="Q78" s="18" t="n"/>
      <c r="R78" s="73" t="n"/>
      <c r="S78" s="18" t="n"/>
      <c r="T78" s="18" t="n"/>
      <c r="U78" s="26">
        <f>D78+F78+-(H78+J78+L78+N78+P78+R78+T78)</f>
        <v/>
      </c>
      <c r="V78" t="inlineStr">
        <is>
          <t>ELECTRICAL</t>
        </is>
      </c>
    </row>
    <row r="79" ht="24" customHeight="1">
      <c r="A79" s="22">
        <f>A78+1</f>
        <v/>
      </c>
      <c r="B79" s="122" t="inlineStr">
        <is>
          <t>Defrost Kulkas samsung / panasonic</t>
        </is>
      </c>
      <c r="C79" s="123" t="inlineStr">
        <is>
          <t>PCS</t>
        </is>
      </c>
      <c r="D79" s="26">
        <f>'Week  (4)'!U79</f>
        <v/>
      </c>
      <c r="E79" s="124" t="n"/>
      <c r="F79" s="62" t="n"/>
      <c r="G79" s="25" t="n"/>
      <c r="H79" s="56" t="n"/>
      <c r="I79" s="19" t="n"/>
      <c r="J79" s="64" t="n"/>
      <c r="K79" s="18" t="n"/>
      <c r="L79" s="73" t="n"/>
      <c r="M79" s="73" t="n"/>
      <c r="N79" s="73" t="n"/>
      <c r="O79" s="19" t="n"/>
      <c r="P79" s="18" t="n"/>
      <c r="Q79" s="18" t="n"/>
      <c r="R79" s="73" t="n"/>
      <c r="S79" s="18" t="n"/>
      <c r="T79" s="18" t="n"/>
      <c r="U79" s="26">
        <f>D79+F79+-(H79+J79+L79+N79+P79+R79+T79)</f>
        <v/>
      </c>
      <c r="V79" t="inlineStr">
        <is>
          <t>ELECTRICAL</t>
        </is>
      </c>
    </row>
    <row r="80" ht="24" customHeight="1">
      <c r="A80" s="22">
        <f>A79+1</f>
        <v/>
      </c>
      <c r="B80" s="122" t="inlineStr">
        <is>
          <t>Defrost Kulkas SANYO</t>
        </is>
      </c>
      <c r="C80" s="123" t="inlineStr">
        <is>
          <t>PCS</t>
        </is>
      </c>
      <c r="D80" s="26">
        <f>'Week  (4)'!U80</f>
        <v/>
      </c>
      <c r="E80" s="125" t="n"/>
      <c r="F80" s="55" t="n"/>
      <c r="G80" s="52" t="n"/>
      <c r="H80" s="55" t="n"/>
      <c r="I80" s="71" t="n"/>
      <c r="J80" s="55" t="n"/>
      <c r="K80" s="18" t="n"/>
      <c r="L80" s="73" t="n"/>
      <c r="M80" s="73" t="n"/>
      <c r="N80" s="73" t="n"/>
      <c r="O80" s="19" t="n"/>
      <c r="P80" s="18" t="n"/>
      <c r="Q80" s="18" t="n"/>
      <c r="R80" s="73" t="n"/>
      <c r="S80" s="18" t="n"/>
      <c r="T80" s="18" t="n"/>
      <c r="U80" s="26">
        <f>D80+F80+-(H80+J80+L80+N80+P80+R80+T80)</f>
        <v/>
      </c>
      <c r="V80" t="inlineStr">
        <is>
          <t>ELECTRICAL</t>
        </is>
      </c>
    </row>
    <row r="81" ht="39" customHeight="1">
      <c r="A81" s="22">
        <f>A80+1</f>
        <v/>
      </c>
      <c r="B81" s="79" t="inlineStr">
        <is>
          <t>Doble Neple Besi 1/2"</t>
        </is>
      </c>
      <c r="C81" s="40" t="inlineStr">
        <is>
          <t>Pcs</t>
        </is>
      </c>
      <c r="D81" s="26">
        <f>'Week  (4)'!U81</f>
        <v/>
      </c>
      <c r="E81" s="124" t="n"/>
      <c r="F81" s="62" t="n"/>
      <c r="G81" s="25" t="n"/>
      <c r="H81" s="56" t="n"/>
      <c r="I81" s="19" t="n"/>
      <c r="J81" s="64" t="n"/>
      <c r="K81" s="18" t="n"/>
      <c r="L81" s="73" t="n"/>
      <c r="M81" s="73" t="n"/>
      <c r="N81" s="73" t="n"/>
      <c r="O81" s="19" t="n"/>
      <c r="P81" s="18" t="n"/>
      <c r="Q81" s="18" t="n"/>
      <c r="R81" s="73" t="n"/>
      <c r="S81" s="18" t="n"/>
      <c r="T81" s="18" t="n"/>
      <c r="U81" s="26">
        <f>D81+F81+-(H81+J81+L81+N81+P81+R81+T81)</f>
        <v/>
      </c>
      <c r="V81" t="inlineStr">
        <is>
          <t>VALVE AND PIPE</t>
        </is>
      </c>
    </row>
    <row r="82" ht="29.25" customHeight="1">
      <c r="A82" s="22">
        <f>A81+1</f>
        <v/>
      </c>
      <c r="B82" s="38" t="inlineStr">
        <is>
          <t>Elbow Drat Dalam  20 x 1/2" hdpe</t>
        </is>
      </c>
      <c r="C82" s="123" t="inlineStr">
        <is>
          <t>PCS</t>
        </is>
      </c>
      <c r="D82" s="26">
        <f>'Week  (4)'!U82</f>
        <v/>
      </c>
      <c r="E82" s="125" t="n"/>
      <c r="F82" s="55" t="n"/>
      <c r="G82" s="52" t="n"/>
      <c r="H82" s="55" t="n"/>
      <c r="I82" s="71" t="n"/>
      <c r="J82" s="55" t="n"/>
      <c r="K82" s="18" t="n"/>
      <c r="L82" s="73" t="n"/>
      <c r="M82" s="73" t="n"/>
      <c r="N82" s="73" t="n"/>
      <c r="O82" s="19" t="n"/>
      <c r="P82" s="18" t="n"/>
      <c r="Q82" s="18" t="n"/>
      <c r="R82" s="73" t="n"/>
      <c r="S82" s="18" t="n"/>
      <c r="T82" s="18" t="n"/>
      <c r="U82" s="26">
        <f>D82+F82+-(H82+J82+L82+N82+P82+R82+T82)</f>
        <v/>
      </c>
      <c r="V82" t="inlineStr">
        <is>
          <t>VALVE AND PIPE</t>
        </is>
      </c>
    </row>
    <row r="83">
      <c r="A83" s="22">
        <f>A82+1</f>
        <v/>
      </c>
      <c r="B83" s="79" t="inlineStr">
        <is>
          <t>Elbow PVC AW  1"</t>
        </is>
      </c>
      <c r="C83" s="40" t="inlineStr">
        <is>
          <t>Pcs</t>
        </is>
      </c>
      <c r="D83" s="26">
        <f>'Week  (4)'!U83</f>
        <v/>
      </c>
      <c r="E83" s="124" t="n"/>
      <c r="F83" s="62" t="n"/>
      <c r="G83" s="25" t="n"/>
      <c r="H83" s="56" t="n"/>
      <c r="I83" s="19" t="n"/>
      <c r="J83" s="64" t="n"/>
      <c r="K83" s="18" t="n"/>
      <c r="L83" s="73" t="n"/>
      <c r="M83" s="73" t="n"/>
      <c r="N83" s="73" t="n"/>
      <c r="O83" s="19" t="n"/>
      <c r="P83" s="18" t="n"/>
      <c r="Q83" s="18" t="n"/>
      <c r="R83" s="73" t="n"/>
      <c r="S83" s="18" t="n"/>
      <c r="T83" s="18" t="n"/>
      <c r="U83" s="26">
        <f>D83+F83+-(H83+J83+L83+N83+P83+R83+T83)</f>
        <v/>
      </c>
      <c r="V83" t="inlineStr">
        <is>
          <t>VALVE AND PIPE</t>
        </is>
      </c>
    </row>
    <row r="84">
      <c r="A84" s="22">
        <f>A83+1</f>
        <v/>
      </c>
      <c r="B84" s="79" t="inlineStr">
        <is>
          <t>Elbow PVC AW  1/2"</t>
        </is>
      </c>
      <c r="C84" s="40" t="inlineStr">
        <is>
          <t>Pcs</t>
        </is>
      </c>
      <c r="D84" s="26">
        <f>'Week  (4)'!U84</f>
        <v/>
      </c>
      <c r="E84" s="125" t="n"/>
      <c r="F84" s="55" t="n"/>
      <c r="G84" s="52" t="n"/>
      <c r="H84" s="55" t="n"/>
      <c r="I84" s="71" t="n"/>
      <c r="J84" s="55" t="n"/>
      <c r="K84" s="18" t="inlineStr">
        <is>
          <t>POS S</t>
        </is>
      </c>
      <c r="L84" s="73" t="n">
        <v>3</v>
      </c>
      <c r="M84" s="73" t="n"/>
      <c r="N84" s="73" t="n"/>
      <c r="O84" s="19" t="n"/>
      <c r="P84" s="18" t="n"/>
      <c r="Q84" s="18" t="n"/>
      <c r="R84" s="73" t="n"/>
      <c r="S84" s="18" t="n"/>
      <c r="T84" s="18" t="n"/>
      <c r="U84" s="26">
        <f>D84+F84+-(H84+J84+L84+N84+P84+R84+T84)</f>
        <v/>
      </c>
      <c r="V84" t="inlineStr">
        <is>
          <t>VALVE AND PIPE</t>
        </is>
      </c>
    </row>
    <row r="85" ht="24" customFormat="1" customHeight="1" s="42">
      <c r="A85" s="22" t="n">
        <v>80</v>
      </c>
      <c r="B85" s="38" t="inlineStr">
        <is>
          <t>Elbow PVC AW 2"</t>
        </is>
      </c>
      <c r="C85" s="41" t="inlineStr">
        <is>
          <t>Pcs</t>
        </is>
      </c>
      <c r="D85" s="26">
        <f>'Week  (4)'!U85</f>
        <v/>
      </c>
      <c r="E85" s="124" t="n"/>
      <c r="F85" s="62" t="n"/>
      <c r="G85" s="25" t="n"/>
      <c r="H85" s="56" t="n"/>
      <c r="I85" s="19" t="n"/>
      <c r="J85" s="64" t="n"/>
      <c r="K85" s="18" t="n"/>
      <c r="L85" s="73" t="n"/>
      <c r="M85" s="73" t="n"/>
      <c r="N85" s="73" t="n"/>
      <c r="O85" s="19" t="n"/>
      <c r="P85" s="18" t="n"/>
      <c r="Q85" s="18" t="n"/>
      <c r="R85" s="73" t="n"/>
      <c r="S85" s="18" t="n"/>
      <c r="T85" s="18" t="n"/>
      <c r="U85" s="26">
        <f>D85+F85+-(H85+J85+L85+N85+P85+R85+T85)</f>
        <v/>
      </c>
      <c r="V85" t="inlineStr">
        <is>
          <t>VALVE AND PIPE</t>
        </is>
      </c>
    </row>
    <row r="86" ht="23.25" customHeight="1">
      <c r="A86" s="22">
        <f>A85+1</f>
        <v/>
      </c>
      <c r="B86" s="122" t="inlineStr">
        <is>
          <t>ELCB 2P, 25A SCHNEIDER</t>
        </is>
      </c>
      <c r="C86" s="123" t="inlineStr">
        <is>
          <t>PCS</t>
        </is>
      </c>
      <c r="D86" s="26">
        <f>'Week  (4)'!U86</f>
        <v/>
      </c>
      <c r="E86" s="125" t="n"/>
      <c r="F86" s="55" t="n"/>
      <c r="G86" s="52" t="n"/>
      <c r="H86" s="55" t="n"/>
      <c r="I86" s="71" t="n"/>
      <c r="J86" s="55" t="n"/>
      <c r="K86" s="18" t="n"/>
      <c r="L86" s="73" t="n"/>
      <c r="M86" s="73" t="n"/>
      <c r="N86" s="73" t="n"/>
      <c r="O86" s="19" t="n"/>
      <c r="P86" s="18" t="n"/>
      <c r="Q86" s="18" t="n"/>
      <c r="R86" s="73" t="n"/>
      <c r="S86" s="18" t="n"/>
      <c r="T86" s="18" t="n"/>
      <c r="U86" s="26">
        <f>D86+F86+-(H86+J86+L86+N86+P86+R86+T86)</f>
        <v/>
      </c>
      <c r="V86" t="inlineStr">
        <is>
          <t>ELECTRICAL</t>
        </is>
      </c>
    </row>
    <row r="87" ht="23.25" customHeight="1">
      <c r="A87" s="22">
        <f>A86+1</f>
        <v/>
      </c>
      <c r="B87" s="122" t="inlineStr">
        <is>
          <t>ELCB 2P, 30A SCHNEIDER</t>
        </is>
      </c>
      <c r="C87" s="123" t="inlineStr">
        <is>
          <t>PCS</t>
        </is>
      </c>
      <c r="D87" s="26">
        <f>'Week  (4)'!U87</f>
        <v/>
      </c>
      <c r="E87" s="124" t="n"/>
      <c r="F87" s="62" t="n"/>
      <c r="G87" s="25" t="n"/>
      <c r="H87" s="56" t="n"/>
      <c r="I87" s="19" t="n"/>
      <c r="J87" s="64" t="n"/>
      <c r="K87" s="18" t="n"/>
      <c r="L87" s="73" t="n"/>
      <c r="M87" s="73" t="n"/>
      <c r="N87" s="73" t="n"/>
      <c r="O87" s="19" t="n"/>
      <c r="P87" s="18" t="n"/>
      <c r="Q87" s="18" t="n"/>
      <c r="R87" s="73" t="n"/>
      <c r="S87" s="18" t="n"/>
      <c r="T87" s="18" t="n"/>
      <c r="U87" s="26">
        <f>D87+F87+-(H87+J87+L87+N87+P87+R87+T87)</f>
        <v/>
      </c>
      <c r="V87" t="inlineStr">
        <is>
          <t>ELECTRICAL</t>
        </is>
      </c>
    </row>
    <row r="88" ht="23.25" customHeight="1">
      <c r="A88" s="22">
        <f>A87+1</f>
        <v/>
      </c>
      <c r="B88" s="122" t="inlineStr">
        <is>
          <t>ELCB 2P, 40A SCHNEIDER</t>
        </is>
      </c>
      <c r="C88" s="123" t="inlineStr">
        <is>
          <t>PCS</t>
        </is>
      </c>
      <c r="D88" s="26">
        <f>'Week  (4)'!U88</f>
        <v/>
      </c>
      <c r="E88" s="125" t="n"/>
      <c r="F88" s="55" t="n"/>
      <c r="G88" s="52" t="n"/>
      <c r="H88" s="55" t="n"/>
      <c r="I88" s="71" t="n"/>
      <c r="J88" s="55" t="n"/>
      <c r="K88" s="18" t="n"/>
      <c r="L88" s="73" t="n"/>
      <c r="M88" s="73" t="n"/>
      <c r="N88" s="73" t="n"/>
      <c r="O88" s="19" t="n"/>
      <c r="P88" s="18" t="n"/>
      <c r="Q88" s="18" t="n"/>
      <c r="R88" s="73" t="n"/>
      <c r="S88" s="18" t="n"/>
      <c r="T88" s="18" t="n"/>
      <c r="U88" s="26">
        <f>D88+F88+-(H88+J88+L88+N88+P88+R88+T88)</f>
        <v/>
      </c>
      <c r="V88" t="inlineStr">
        <is>
          <t>ELECTRICAL</t>
        </is>
      </c>
    </row>
    <row r="89" ht="23.25" customHeight="1">
      <c r="A89" s="22">
        <f>A88+1</f>
        <v/>
      </c>
      <c r="B89" s="122" t="inlineStr">
        <is>
          <t>ELCB 2P, 63A SCHNEIDER</t>
        </is>
      </c>
      <c r="C89" s="123" t="inlineStr">
        <is>
          <t>PCS</t>
        </is>
      </c>
      <c r="D89" s="26">
        <f>'Week  (4)'!U89</f>
        <v/>
      </c>
      <c r="E89" s="124" t="n"/>
      <c r="F89" s="62" t="n"/>
      <c r="G89" s="25" t="n"/>
      <c r="H89" s="56" t="n"/>
      <c r="I89" s="19" t="n"/>
      <c r="J89" s="64" t="n"/>
      <c r="K89" s="18" t="n"/>
      <c r="L89" s="73" t="n"/>
      <c r="M89" s="73" t="n"/>
      <c r="N89" s="73" t="n"/>
      <c r="O89" s="19" t="n"/>
      <c r="P89" s="18" t="n"/>
      <c r="Q89" s="19" t="n"/>
      <c r="R89" s="73" t="n"/>
      <c r="S89" s="18" t="n"/>
      <c r="T89" s="18" t="n"/>
      <c r="U89" s="26">
        <f>D89+F89+-(H89+J89+L89+N89+P89+R89+T89)</f>
        <v/>
      </c>
      <c r="V89" t="inlineStr">
        <is>
          <t>ELECTRICAL</t>
        </is>
      </c>
    </row>
    <row r="90" ht="23.25" customHeight="1">
      <c r="A90" s="22">
        <f>A89+1</f>
        <v/>
      </c>
      <c r="B90" s="122" t="inlineStr">
        <is>
          <t>ELCB 4P, 25A SCHNEIDER</t>
        </is>
      </c>
      <c r="C90" s="123" t="inlineStr">
        <is>
          <t>PCS</t>
        </is>
      </c>
      <c r="D90" s="26">
        <f>'Week  (4)'!U90</f>
        <v/>
      </c>
      <c r="E90" s="125" t="n"/>
      <c r="F90" s="55" t="n"/>
      <c r="G90" s="52" t="n"/>
      <c r="H90" s="55" t="n"/>
      <c r="I90" s="71" t="n"/>
      <c r="J90" s="55" t="n"/>
      <c r="K90" s="18" t="n"/>
      <c r="L90" s="73" t="n"/>
      <c r="M90" s="73" t="n"/>
      <c r="N90" s="73" t="n"/>
      <c r="O90" s="19" t="n"/>
      <c r="P90" s="18" t="n"/>
      <c r="Q90" s="18" t="n"/>
      <c r="R90" s="73" t="n"/>
      <c r="S90" s="18" t="n"/>
      <c r="T90" s="18" t="n"/>
      <c r="U90" s="26">
        <f>D90+F90+-(H90+J90+L90+N90+P90+R90+T90)</f>
        <v/>
      </c>
      <c r="V90" t="inlineStr">
        <is>
          <t>ELECTRICAL</t>
        </is>
      </c>
    </row>
    <row r="91" ht="23.25" customHeight="1">
      <c r="A91" s="22">
        <f>A90+1</f>
        <v/>
      </c>
      <c r="B91" s="122" t="inlineStr">
        <is>
          <t>ELCB 4P, 40A SCHNEIDER</t>
        </is>
      </c>
      <c r="C91" s="123" t="inlineStr">
        <is>
          <t>PCS</t>
        </is>
      </c>
      <c r="D91" s="26">
        <f>'Week  (4)'!U91</f>
        <v/>
      </c>
      <c r="E91" s="124" t="n"/>
      <c r="F91" s="62" t="n"/>
      <c r="G91" s="25" t="n"/>
      <c r="H91" s="56" t="n"/>
      <c r="I91" s="19" t="n"/>
      <c r="J91" s="64" t="n"/>
      <c r="K91" s="18" t="n"/>
      <c r="L91" s="73" t="n"/>
      <c r="M91" s="73" t="n"/>
      <c r="N91" s="73" t="n"/>
      <c r="O91" s="19" t="n"/>
      <c r="P91" s="18" t="n"/>
      <c r="Q91" s="18" t="n"/>
      <c r="R91" s="73" t="n"/>
      <c r="S91" s="18" t="n"/>
      <c r="T91" s="18" t="n"/>
      <c r="U91" s="26">
        <f>D91+F91+-(H91+J91+L91+N91+P91+R91+T91)</f>
        <v/>
      </c>
      <c r="V91" t="inlineStr">
        <is>
          <t>ELECTRICAL</t>
        </is>
      </c>
    </row>
    <row r="92" ht="23.25" customHeight="1">
      <c r="A92" s="22">
        <f>A91+1</f>
        <v/>
      </c>
      <c r="B92" s="122" t="inlineStr">
        <is>
          <t>ELCB 4P, 63A SCHNEIDER</t>
        </is>
      </c>
      <c r="C92" s="123" t="inlineStr">
        <is>
          <t>PCS</t>
        </is>
      </c>
      <c r="D92" s="26">
        <f>'Week  (4)'!U92</f>
        <v/>
      </c>
      <c r="E92" s="125" t="n"/>
      <c r="F92" s="55" t="n"/>
      <c r="G92" s="52" t="n"/>
      <c r="H92" s="55" t="n"/>
      <c r="I92" s="71" t="n"/>
      <c r="J92" s="55" t="n"/>
      <c r="K92" s="18" t="n"/>
      <c r="L92" s="73" t="n"/>
      <c r="M92" s="73" t="n"/>
      <c r="N92" s="73" t="n"/>
      <c r="O92" s="19" t="n"/>
      <c r="P92" s="18" t="n"/>
      <c r="Q92" s="18" t="n"/>
      <c r="R92" s="73" t="n"/>
      <c r="S92" s="18" t="n"/>
      <c r="T92" s="18" t="n"/>
      <c r="U92" s="26">
        <f>D92+F92+-(H92+J92+L92+N92+P92+R92+T92)</f>
        <v/>
      </c>
      <c r="V92" t="inlineStr">
        <is>
          <t>ELECTRICAL</t>
        </is>
      </c>
    </row>
    <row r="93" ht="13.5" customHeight="1">
      <c r="A93" s="22">
        <f>A92+1</f>
        <v/>
      </c>
      <c r="B93" s="122" t="inlineStr">
        <is>
          <t>Emco Paint Biru No. 75</t>
        </is>
      </c>
      <c r="C93" s="123" t="inlineStr">
        <is>
          <t>Klg</t>
        </is>
      </c>
      <c r="D93" s="26">
        <f>'Week  (4)'!U93</f>
        <v/>
      </c>
      <c r="E93" s="124" t="n"/>
      <c r="F93" s="62" t="n"/>
      <c r="G93" s="25" t="n"/>
      <c r="H93" s="56" t="n"/>
      <c r="I93" s="19" t="n"/>
      <c r="J93" s="64" t="n"/>
      <c r="K93" s="18" t="n"/>
      <c r="L93" s="73" t="n"/>
      <c r="M93" s="73" t="n"/>
      <c r="N93" s="73" t="n"/>
      <c r="O93" s="19" t="n"/>
      <c r="P93" s="18" t="n"/>
      <c r="Q93" s="19" t="n"/>
      <c r="R93" s="18" t="n"/>
      <c r="S93" s="18" t="n"/>
      <c r="T93" s="18" t="n"/>
      <c r="U93" s="26">
        <f>D93+F93+-(H93+J93+L93+N93+P93+R93+T93)</f>
        <v/>
      </c>
      <c r="V93" t="inlineStr">
        <is>
          <t>CIVIL</t>
        </is>
      </c>
    </row>
    <row r="94" ht="27" customHeight="1">
      <c r="A94" s="22">
        <f>A93+1</f>
        <v/>
      </c>
      <c r="B94" s="122" t="inlineStr">
        <is>
          <t xml:space="preserve">Emco Paint, Black Color </t>
        </is>
      </c>
      <c r="C94" s="123" t="inlineStr">
        <is>
          <t>PCS</t>
        </is>
      </c>
      <c r="D94" s="26">
        <f>'Week  (4)'!U94</f>
        <v/>
      </c>
      <c r="E94" s="125" t="n"/>
      <c r="F94" s="55" t="n"/>
      <c r="G94" s="72" t="n"/>
      <c r="H94" s="55" t="n"/>
      <c r="I94" s="71" t="n"/>
      <c r="J94" s="55" t="n"/>
      <c r="K94" s="71" t="n"/>
      <c r="L94" s="55" t="n"/>
      <c r="M94" s="25" t="n"/>
      <c r="N94" s="73" t="n"/>
      <c r="O94" s="71" t="n"/>
      <c r="P94" s="18" t="n"/>
      <c r="Q94" s="18" t="n"/>
      <c r="R94" s="73" t="n"/>
      <c r="S94" s="18" t="n"/>
      <c r="T94" s="18" t="n"/>
      <c r="U94" s="26">
        <f>D94+F94+-(H94+J94+L94+N94+P94+R94+T94)</f>
        <v/>
      </c>
      <c r="V94" t="inlineStr">
        <is>
          <t>CIVIL</t>
        </is>
      </c>
    </row>
    <row r="95" ht="25.5" customHeight="1">
      <c r="A95" s="22">
        <f>A94+1</f>
        <v/>
      </c>
      <c r="B95" s="43" t="inlineStr">
        <is>
          <t>Emco Paint, Blue Color No. 102</t>
        </is>
      </c>
      <c r="C95" s="123" t="inlineStr">
        <is>
          <t>PCS</t>
        </is>
      </c>
      <c r="D95" s="26">
        <f>'Week  (4)'!U95</f>
        <v/>
      </c>
      <c r="E95" s="124" t="n"/>
      <c r="F95" s="62" t="n"/>
      <c r="G95" s="25" t="n"/>
      <c r="H95" s="69" t="n"/>
      <c r="I95" s="25" t="n"/>
      <c r="J95" s="69" t="n"/>
      <c r="K95" s="25" t="n"/>
      <c r="L95" s="69" t="n"/>
      <c r="M95" s="68" t="n"/>
      <c r="N95" s="73" t="n"/>
      <c r="O95" s="25" t="n"/>
      <c r="P95" s="73" t="n"/>
      <c r="Q95" s="18" t="n"/>
      <c r="R95" s="73" t="n"/>
      <c r="S95" s="18" t="n"/>
      <c r="T95" s="18" t="n"/>
      <c r="U95" s="26">
        <f>D95+F95+-(H95+J95+L95+N95+P95+R95+T95)</f>
        <v/>
      </c>
      <c r="V95" t="inlineStr">
        <is>
          <t>CIVIL</t>
        </is>
      </c>
    </row>
    <row r="96" ht="13.5" customHeight="1">
      <c r="A96" s="22">
        <f>A95+1</f>
        <v/>
      </c>
      <c r="B96" s="43" t="inlineStr">
        <is>
          <t>Emco Paint Coklat 83</t>
        </is>
      </c>
      <c r="C96" s="123" t="inlineStr">
        <is>
          <t>PCS</t>
        </is>
      </c>
      <c r="D96" s="26">
        <f>'Week  (4)'!U96</f>
        <v/>
      </c>
      <c r="E96" s="130" t="n"/>
      <c r="F96" s="55" t="n"/>
      <c r="G96" s="52" t="n"/>
      <c r="H96" s="55" t="n"/>
      <c r="I96" s="71" t="n"/>
      <c r="J96" s="55" t="n"/>
      <c r="K96" s="71" t="n"/>
      <c r="L96" s="55" t="n"/>
      <c r="M96" s="25" t="n"/>
      <c r="N96" s="73" t="n"/>
      <c r="O96" s="71" t="n"/>
      <c r="P96" s="18" t="n"/>
      <c r="Q96" s="18" t="n"/>
      <c r="R96" s="73" t="n"/>
      <c r="S96" s="18" t="n"/>
      <c r="T96" s="18" t="n"/>
      <c r="U96" s="26">
        <f>D96+F96+-(H96+J96+L96+N96+P96+R96+T96)</f>
        <v/>
      </c>
      <c r="V96" t="inlineStr">
        <is>
          <t>CIVIL</t>
        </is>
      </c>
    </row>
    <row r="97" ht="13.5" customHeight="1">
      <c r="A97" s="22">
        <f>A96+1</f>
        <v/>
      </c>
      <c r="B97" s="122" t="inlineStr">
        <is>
          <t>Emco Paint, Chili Red No. 132</t>
        </is>
      </c>
      <c r="C97" s="123" t="inlineStr">
        <is>
          <t>PCS</t>
        </is>
      </c>
      <c r="D97" s="26">
        <f>'Week  (4)'!U97</f>
        <v/>
      </c>
      <c r="E97" s="124" t="n"/>
      <c r="F97" s="62" t="n"/>
      <c r="G97" s="25" t="n"/>
      <c r="H97" s="56" t="n"/>
      <c r="I97" s="19" t="n"/>
      <c r="J97" s="64" t="n"/>
      <c r="K97" s="18" t="n"/>
      <c r="L97" s="73" t="n"/>
      <c r="M97" s="73" t="n"/>
      <c r="N97" s="73" t="n"/>
      <c r="O97" s="19" t="n"/>
      <c r="P97" s="18" t="n"/>
      <c r="Q97" s="18" t="n"/>
      <c r="R97" s="73" t="n"/>
      <c r="S97" s="18" t="n"/>
      <c r="T97" s="18" t="n"/>
      <c r="U97" s="26">
        <f>D97+F97+-(H97+J97+L97+N97+P97+R97+T97)</f>
        <v/>
      </c>
      <c r="V97" t="inlineStr">
        <is>
          <t>CIVIL</t>
        </is>
      </c>
    </row>
    <row r="98" ht="15" customHeight="1">
      <c r="A98" s="22">
        <f>A97+1</f>
        <v/>
      </c>
      <c r="B98" s="122" t="inlineStr">
        <is>
          <t>Emco Paint, Green Color No. 64</t>
        </is>
      </c>
      <c r="C98" s="123" t="inlineStr">
        <is>
          <t>PCS</t>
        </is>
      </c>
      <c r="D98" s="26">
        <f>'Week  (4)'!U98</f>
        <v/>
      </c>
      <c r="E98" s="125" t="n"/>
      <c r="F98" s="55" t="n"/>
      <c r="G98" s="52" t="n"/>
      <c r="H98" s="55" t="n"/>
      <c r="I98" s="71" t="n"/>
      <c r="J98" s="55" t="n"/>
      <c r="K98" s="18" t="n"/>
      <c r="L98" s="73" t="n"/>
      <c r="M98" s="73" t="n"/>
      <c r="N98" s="73" t="n"/>
      <c r="O98" s="19" t="n"/>
      <c r="P98" s="18" t="n"/>
      <c r="Q98" s="18" t="n"/>
      <c r="R98" s="73" t="n"/>
      <c r="S98" s="18" t="n"/>
      <c r="T98" s="18" t="n"/>
      <c r="U98" s="26">
        <f>D98+F98+-(H98+J98+L98+N98+P98+R98+T98)</f>
        <v/>
      </c>
      <c r="V98" t="inlineStr">
        <is>
          <t>CIVIL</t>
        </is>
      </c>
    </row>
    <row r="99" ht="30" customHeight="1">
      <c r="A99" s="22">
        <f>A98+1</f>
        <v/>
      </c>
      <c r="B99" s="122" t="inlineStr">
        <is>
          <t>Emco Paint, Traffic Red Color No. 78</t>
        </is>
      </c>
      <c r="C99" s="123" t="inlineStr">
        <is>
          <t>PCS</t>
        </is>
      </c>
      <c r="D99" s="26">
        <f>'Week  (4)'!U99</f>
        <v/>
      </c>
      <c r="E99" s="124" t="n"/>
      <c r="F99" s="62" t="n"/>
      <c r="G99" s="25" t="n"/>
      <c r="H99" s="56" t="n"/>
      <c r="I99" s="19" t="n"/>
      <c r="J99" s="64" t="n"/>
      <c r="K99" s="18" t="n"/>
      <c r="L99" s="73" t="n"/>
      <c r="M99" s="73" t="n"/>
      <c r="N99" s="73" t="n"/>
      <c r="O99" s="19" t="n"/>
      <c r="P99" s="18" t="n"/>
      <c r="Q99" s="18" t="n"/>
      <c r="R99" s="73" t="n"/>
      <c r="S99" s="18" t="n"/>
      <c r="T99" s="18" t="n"/>
      <c r="U99" s="26">
        <f>D99+F99+-(H99+J99+L99+N99+P99+R99+T99)</f>
        <v/>
      </c>
      <c r="V99" t="inlineStr">
        <is>
          <t>CIVIL</t>
        </is>
      </c>
    </row>
    <row r="100" ht="15" customHeight="1">
      <c r="A100" s="22">
        <f>A99+1</f>
        <v/>
      </c>
      <c r="B100" s="122" t="inlineStr">
        <is>
          <t>Emco Paint, White Color</t>
        </is>
      </c>
      <c r="C100" s="123" t="inlineStr">
        <is>
          <t>PCS</t>
        </is>
      </c>
      <c r="D100" s="26">
        <f>'Week  (4)'!U100</f>
        <v/>
      </c>
      <c r="E100" s="129" t="n"/>
      <c r="F100" s="55" t="n"/>
      <c r="G100" s="25" t="n"/>
      <c r="H100" s="69" t="n"/>
      <c r="I100" s="19" t="n"/>
      <c r="J100" s="69" t="n"/>
      <c r="K100" s="25" t="n"/>
      <c r="L100" s="69" t="n"/>
      <c r="M100" s="25" t="n"/>
      <c r="N100" s="73" t="n"/>
      <c r="O100" s="25" t="inlineStr">
        <is>
          <t>Lombok 16 &amp; 18</t>
        </is>
      </c>
      <c r="P100" s="73" t="n">
        <v>1</v>
      </c>
      <c r="Q100" s="72" t="n"/>
      <c r="R100" s="73" t="n"/>
      <c r="S100" s="18" t="n"/>
      <c r="T100" s="18" t="n"/>
      <c r="U100" s="26">
        <f>D100+F100+-(H100+J100+L100+N100+P100+R100+T100)</f>
        <v/>
      </c>
      <c r="V100" t="inlineStr">
        <is>
          <t>CIVIL</t>
        </is>
      </c>
    </row>
    <row r="101" ht="15" customHeight="1">
      <c r="A101" s="22">
        <f>A100+1</f>
        <v/>
      </c>
      <c r="B101" s="122" t="inlineStr">
        <is>
          <t>Emco Paint, Yellow Color No. 67</t>
        </is>
      </c>
      <c r="C101" s="123" t="inlineStr">
        <is>
          <t>PCS</t>
        </is>
      </c>
      <c r="D101" s="26">
        <f>'Week  (4)'!U101</f>
        <v/>
      </c>
      <c r="E101" s="129" t="n"/>
      <c r="F101" s="55" t="n"/>
      <c r="G101" s="72" t="n"/>
      <c r="H101" s="55" t="n"/>
      <c r="I101" s="71" t="n"/>
      <c r="J101" s="55" t="n"/>
      <c r="K101" s="18" t="n"/>
      <c r="L101" s="73" t="n"/>
      <c r="M101" s="73" t="n"/>
      <c r="N101" s="73" t="n"/>
      <c r="O101" s="19" t="n"/>
      <c r="P101" s="18" t="n"/>
      <c r="Q101" s="18" t="n"/>
      <c r="R101" s="73" t="n"/>
      <c r="S101" s="18" t="n"/>
      <c r="T101" s="18" t="n"/>
      <c r="U101" s="26">
        <f>D101+F101+-(H101+J101+L101+N101+P101+R101+T101)</f>
        <v/>
      </c>
      <c r="V101" t="inlineStr">
        <is>
          <t>CIVIL</t>
        </is>
      </c>
    </row>
    <row r="102">
      <c r="A102" s="22">
        <f>A101+1</f>
        <v/>
      </c>
      <c r="B102" s="79" t="inlineStr">
        <is>
          <t>Engsel Jendela 3 "</t>
        </is>
      </c>
      <c r="C102" s="40" t="inlineStr">
        <is>
          <t>Pcs</t>
        </is>
      </c>
      <c r="D102" s="26">
        <f>'Week  (4)'!U102</f>
        <v/>
      </c>
      <c r="E102" s="125" t="n"/>
      <c r="F102" s="55" t="n"/>
      <c r="G102" s="52" t="n"/>
      <c r="H102" s="55" t="n"/>
      <c r="I102" s="71" t="n"/>
      <c r="J102" s="55" t="n"/>
      <c r="K102" s="18" t="n"/>
      <c r="L102" s="73" t="n"/>
      <c r="M102" s="73" t="n"/>
      <c r="N102" s="73" t="n"/>
      <c r="O102" s="19" t="n"/>
      <c r="P102" s="18" t="n"/>
      <c r="Q102" s="18" t="n"/>
      <c r="R102" s="73" t="n"/>
      <c r="S102" s="18" t="n"/>
      <c r="T102" s="18" t="n"/>
      <c r="U102" s="26">
        <f>D102+F102+-(H102+J102+L102+N102+P102+R102+T102)</f>
        <v/>
      </c>
      <c r="V102" t="inlineStr">
        <is>
          <t>CIVIL</t>
        </is>
      </c>
    </row>
    <row r="103">
      <c r="A103" s="22">
        <f>A102+1</f>
        <v/>
      </c>
      <c r="B103" s="79" t="inlineStr">
        <is>
          <t>Engsel Pintu 4"</t>
        </is>
      </c>
      <c r="C103" s="40" t="inlineStr">
        <is>
          <t>Pcs</t>
        </is>
      </c>
      <c r="D103" s="26">
        <f>'Week  (4)'!U103</f>
        <v/>
      </c>
      <c r="E103" s="124" t="n"/>
      <c r="F103" s="62" t="n"/>
      <c r="G103" s="25" t="n"/>
      <c r="H103" s="56" t="n"/>
      <c r="I103" s="19" t="n"/>
      <c r="J103" s="64" t="n"/>
      <c r="K103" s="18" t="n"/>
      <c r="L103" s="73" t="n"/>
      <c r="M103" s="73" t="n"/>
      <c r="N103" s="73" t="n"/>
      <c r="O103" s="19" t="n"/>
      <c r="P103" s="18" t="n"/>
      <c r="Q103" s="18" t="n"/>
      <c r="R103" s="73" t="n"/>
      <c r="S103" s="18" t="n"/>
      <c r="T103" s="18" t="n"/>
      <c r="U103" s="26">
        <f>D103+F103+-(H103+J103+L103+N103+P103+R103+T103)</f>
        <v/>
      </c>
      <c r="V103" t="inlineStr">
        <is>
          <t>CIVIL</t>
        </is>
      </c>
    </row>
    <row r="104" ht="27" customHeight="1">
      <c r="A104" s="22">
        <f>A103+1</f>
        <v/>
      </c>
      <c r="B104" s="38" t="inlineStr">
        <is>
          <t>Engsel Sendok</t>
        </is>
      </c>
      <c r="C104" s="123" t="inlineStr">
        <is>
          <t>PCS</t>
        </is>
      </c>
      <c r="D104" s="26">
        <f>'Week  (4)'!U104</f>
        <v/>
      </c>
      <c r="E104" s="125" t="n"/>
      <c r="F104" s="55" t="n"/>
      <c r="G104" s="52" t="n"/>
      <c r="H104" s="55" t="n"/>
      <c r="I104" s="71" t="n"/>
      <c r="J104" s="55" t="n"/>
      <c r="K104" s="18" t="n"/>
      <c r="L104" s="73" t="n"/>
      <c r="M104" s="73" t="n"/>
      <c r="N104" s="73" t="n"/>
      <c r="O104" s="19" t="n"/>
      <c r="P104" s="18" t="n"/>
      <c r="Q104" s="18" t="n"/>
      <c r="R104" s="73" t="n"/>
      <c r="S104" s="18" t="n"/>
      <c r="T104" s="18" t="n"/>
      <c r="U104" s="26">
        <f>D104+F104+-(H104+J104+L104+N104+P104+R104+T104)</f>
        <v/>
      </c>
      <c r="V104" t="inlineStr">
        <is>
          <t>CIVIL</t>
        </is>
      </c>
    </row>
    <row r="105" ht="15" customFormat="1" customHeight="1" s="42">
      <c r="A105" s="22">
        <f>A104+1</f>
        <v/>
      </c>
      <c r="B105" s="38" t="inlineStr">
        <is>
          <t>Equal Elbow 20 x20</t>
        </is>
      </c>
      <c r="C105" s="123" t="inlineStr">
        <is>
          <t>PCS</t>
        </is>
      </c>
      <c r="D105" s="26">
        <f>'Week  (4)'!U105</f>
        <v/>
      </c>
      <c r="E105" s="124" t="n"/>
      <c r="F105" s="62" t="n"/>
      <c r="G105" s="25" t="n"/>
      <c r="H105" s="56" t="n"/>
      <c r="I105" s="19" t="n"/>
      <c r="J105" s="64" t="n"/>
      <c r="K105" s="18" t="n"/>
      <c r="L105" s="73" t="n"/>
      <c r="M105" s="73" t="n"/>
      <c r="N105" s="73" t="n"/>
      <c r="O105" s="19" t="n"/>
      <c r="P105" s="18" t="n"/>
      <c r="Q105" s="18" t="n"/>
      <c r="R105" s="73" t="n"/>
      <c r="S105" s="18" t="n"/>
      <c r="T105" s="18" t="n"/>
      <c r="U105" s="26">
        <f>D105+F105+-(H105+J105+L105+N105+P105+R105+T105)</f>
        <v/>
      </c>
      <c r="V105" t="inlineStr">
        <is>
          <t>VALVE AND PIPE</t>
        </is>
      </c>
    </row>
    <row r="106" ht="15" customHeight="1">
      <c r="A106" s="22">
        <f>A105+1</f>
        <v/>
      </c>
      <c r="B106" s="38" t="inlineStr">
        <is>
          <t>Equal Elbow 25 x 25</t>
        </is>
      </c>
      <c r="C106" s="123" t="inlineStr">
        <is>
          <t>PCS</t>
        </is>
      </c>
      <c r="D106" s="26">
        <f>'Week  (4)'!U106</f>
        <v/>
      </c>
      <c r="E106" s="125" t="n"/>
      <c r="F106" s="55" t="n"/>
      <c r="G106" s="52" t="n"/>
      <c r="H106" s="55" t="n"/>
      <c r="I106" s="71" t="n"/>
      <c r="J106" s="55" t="n"/>
      <c r="K106" s="18" t="n"/>
      <c r="L106" s="73" t="n"/>
      <c r="M106" s="73" t="n"/>
      <c r="N106" s="73" t="n"/>
      <c r="O106" s="19" t="n"/>
      <c r="P106" s="18" t="n"/>
      <c r="Q106" s="18" t="n"/>
      <c r="R106" s="73" t="n"/>
      <c r="S106" s="18" t="n"/>
      <c r="T106" s="18" t="n"/>
      <c r="U106" s="26">
        <f>D106+F106+-(H106+J106+L106+N106+P106+R106+T106)</f>
        <v/>
      </c>
      <c r="V106" t="inlineStr">
        <is>
          <t>VALVE AND PIPE</t>
        </is>
      </c>
    </row>
    <row r="107" ht="15" customHeight="1">
      <c r="A107" s="22">
        <f>A106+1</f>
        <v/>
      </c>
      <c r="B107" s="38" t="inlineStr">
        <is>
          <t>Equal Elbow 32 x 32</t>
        </is>
      </c>
      <c r="C107" s="123" t="inlineStr">
        <is>
          <t>PCS</t>
        </is>
      </c>
      <c r="D107" s="26">
        <f>'Week  (4)'!U107</f>
        <v/>
      </c>
      <c r="E107" s="124" t="n"/>
      <c r="F107" s="62" t="n"/>
      <c r="G107" s="25" t="n"/>
      <c r="H107" s="56" t="n"/>
      <c r="I107" s="19" t="n"/>
      <c r="J107" s="64" t="n"/>
      <c r="K107" s="18" t="n"/>
      <c r="L107" s="73" t="n"/>
      <c r="M107" s="73" t="n"/>
      <c r="N107" s="73" t="n"/>
      <c r="O107" s="19" t="n"/>
      <c r="P107" s="18" t="n"/>
      <c r="Q107" s="18" t="n"/>
      <c r="R107" s="73" t="n"/>
      <c r="S107" s="18" t="n"/>
      <c r="T107" s="18" t="n"/>
      <c r="U107" s="26">
        <f>D107+F107+-(H107+J107+L107+N107+P107+R107+T107)</f>
        <v/>
      </c>
      <c r="V107" t="inlineStr">
        <is>
          <t>VALVE AND PIPE</t>
        </is>
      </c>
    </row>
    <row r="108" ht="15" customHeight="1">
      <c r="A108" s="22">
        <f>A107+1</f>
        <v/>
      </c>
      <c r="B108" s="38" t="inlineStr">
        <is>
          <t>Equal Tee 32 x 20</t>
        </is>
      </c>
      <c r="C108" s="123" t="inlineStr">
        <is>
          <t>PCS</t>
        </is>
      </c>
      <c r="D108" s="26">
        <f>'Week  (4)'!U108</f>
        <v/>
      </c>
      <c r="E108" s="125" t="n"/>
      <c r="F108" s="55" t="n"/>
      <c r="G108" s="52" t="n"/>
      <c r="H108" s="55" t="n"/>
      <c r="I108" s="71" t="n"/>
      <c r="J108" s="55" t="n"/>
      <c r="K108" s="18" t="n"/>
      <c r="L108" s="73" t="n"/>
      <c r="M108" s="73" t="n"/>
      <c r="N108" s="73" t="n"/>
      <c r="O108" s="19" t="n"/>
      <c r="P108" s="18" t="n"/>
      <c r="Q108" s="18" t="n"/>
      <c r="R108" s="73" t="n"/>
      <c r="S108" s="18" t="n"/>
      <c r="T108" s="18" t="n"/>
      <c r="U108" s="26">
        <f>D108+F108+-(H108+J108+L108+N108+P108+R108+T108)</f>
        <v/>
      </c>
      <c r="V108" t="inlineStr">
        <is>
          <t>VALVE AND PIPE</t>
        </is>
      </c>
    </row>
    <row r="109" ht="15" customHeight="1">
      <c r="A109" s="22">
        <f>A108+1</f>
        <v/>
      </c>
      <c r="B109" s="38" t="inlineStr">
        <is>
          <t>Male thread adaptor 32 x 1"</t>
        </is>
      </c>
      <c r="C109" s="123" t="inlineStr">
        <is>
          <t>PCS</t>
        </is>
      </c>
      <c r="D109" s="26">
        <f>'Week  (4)'!U109</f>
        <v/>
      </c>
      <c r="E109" s="124" t="n"/>
      <c r="F109" s="62" t="n"/>
      <c r="G109" s="25" t="n"/>
      <c r="H109" s="56" t="n"/>
      <c r="I109" s="19" t="n"/>
      <c r="J109" s="64" t="n"/>
      <c r="K109" s="18" t="n"/>
      <c r="L109" s="73" t="n"/>
      <c r="M109" s="73" t="n"/>
      <c r="N109" s="73" t="n"/>
      <c r="O109" s="19" t="n"/>
      <c r="P109" s="18" t="n"/>
      <c r="Q109" s="18" t="n"/>
      <c r="R109" s="73" t="n"/>
      <c r="S109" s="18" t="n"/>
      <c r="T109" s="18" t="n"/>
      <c r="U109" s="26">
        <f>D109+F109+-(H109+J109+L109+N109+P109+R109+T109)</f>
        <v/>
      </c>
      <c r="V109" t="inlineStr">
        <is>
          <t>VALVE AND PIPE</t>
        </is>
      </c>
    </row>
    <row r="110" ht="27" customHeight="1">
      <c r="A110" s="22">
        <f>A109+1</f>
        <v/>
      </c>
      <c r="B110" s="122" t="inlineStr">
        <is>
          <t>FITING LAMPU</t>
        </is>
      </c>
      <c r="C110" s="123" t="inlineStr">
        <is>
          <t>PCS</t>
        </is>
      </c>
      <c r="D110" s="26">
        <f>'Week  (4)'!U110</f>
        <v/>
      </c>
      <c r="E110" s="125" t="n"/>
      <c r="F110" s="55" t="n"/>
      <c r="G110" s="52" t="n"/>
      <c r="H110" s="55" t="n"/>
      <c r="I110" s="71" t="n"/>
      <c r="J110" s="55" t="n"/>
      <c r="K110" s="18" t="n"/>
      <c r="L110" s="73" t="n"/>
      <c r="M110" s="73" t="n"/>
      <c r="N110" s="73" t="n"/>
      <c r="O110" s="19" t="n"/>
      <c r="P110" s="18" t="n"/>
      <c r="Q110" s="73" t="n"/>
      <c r="R110" s="73" t="n"/>
      <c r="S110" s="18" t="n"/>
      <c r="T110" s="18" t="n"/>
      <c r="U110" s="26">
        <f>D110+F110+-(H110+J110+L110+N110+P110+R110+T110)</f>
        <v/>
      </c>
      <c r="V110" t="inlineStr">
        <is>
          <t>LAMP</t>
        </is>
      </c>
    </row>
    <row r="111" ht="25.5" customHeight="1">
      <c r="A111" s="22">
        <f>A110+1</f>
        <v/>
      </c>
      <c r="B111" s="51" t="inlineStr">
        <is>
          <t>Sensor Photo cell</t>
        </is>
      </c>
      <c r="C111" s="123" t="inlineStr">
        <is>
          <t>PCS</t>
        </is>
      </c>
      <c r="D111" s="26">
        <f>'Week  (4)'!U111</f>
        <v/>
      </c>
      <c r="E111" s="124" t="n"/>
      <c r="F111" s="62" t="n"/>
      <c r="G111" s="68" t="n"/>
      <c r="H111" s="56" t="n"/>
      <c r="I111" s="19" t="n"/>
      <c r="J111" s="64" t="n"/>
      <c r="K111" s="18" t="n"/>
      <c r="L111" s="73" t="n"/>
      <c r="M111" s="73" t="n"/>
      <c r="N111" s="73" t="n"/>
      <c r="O111" s="19" t="n"/>
      <c r="P111" s="18" t="n"/>
      <c r="Q111" s="18" t="n"/>
      <c r="R111" s="73" t="n"/>
      <c r="S111" s="18" t="n"/>
      <c r="T111" s="18" t="n"/>
      <c r="U111" s="26">
        <f>D111+F111+-(H111+J111+L111+N111+P111+R111+T111)</f>
        <v/>
      </c>
      <c r="V111" t="inlineStr">
        <is>
          <t>LAMP</t>
        </is>
      </c>
    </row>
    <row r="112" ht="25.5" customHeight="1">
      <c r="A112" s="22">
        <f>A111+1</f>
        <v/>
      </c>
      <c r="B112" s="122" t="inlineStr">
        <is>
          <t>Filter Fleet Guard WF 2071 (Filter Udara)</t>
        </is>
      </c>
      <c r="C112" s="123" t="inlineStr">
        <is>
          <t>PCS</t>
        </is>
      </c>
      <c r="D112" s="26">
        <f>'Week  (4)'!U112</f>
        <v/>
      </c>
      <c r="E112" s="125" t="n"/>
      <c r="F112" s="55" t="n"/>
      <c r="G112" s="52" t="n"/>
      <c r="H112" s="55" t="n"/>
      <c r="I112" s="71" t="n"/>
      <c r="J112" s="55" t="n"/>
      <c r="K112" s="18" t="n"/>
      <c r="L112" s="73" t="n"/>
      <c r="M112" s="73" t="n"/>
      <c r="N112" s="73" t="n"/>
      <c r="O112" s="19" t="n"/>
      <c r="P112" s="18" t="n"/>
      <c r="Q112" s="18" t="n"/>
      <c r="R112" s="73" t="n"/>
      <c r="S112" s="18" t="n"/>
      <c r="T112" s="18" t="n"/>
      <c r="U112" s="26">
        <f>D112+F112+-(H112+J112+L112+N112+P112+R112+T112)</f>
        <v/>
      </c>
      <c r="V112" t="inlineStr">
        <is>
          <t>CONSUMABLE</t>
        </is>
      </c>
    </row>
    <row r="113" ht="42" customHeight="1">
      <c r="A113" s="22">
        <f>A112+1</f>
        <v/>
      </c>
      <c r="B113" s="122" t="inlineStr">
        <is>
          <t>Filter Fleet Guard FS 1212 (Filter Solar)</t>
        </is>
      </c>
      <c r="C113" s="123" t="inlineStr">
        <is>
          <t>PCS</t>
        </is>
      </c>
      <c r="D113" s="26">
        <f>'Week  (4)'!U113</f>
        <v/>
      </c>
      <c r="E113" s="124" t="n"/>
      <c r="F113" s="62" t="n"/>
      <c r="G113" s="25" t="n"/>
      <c r="H113" s="56" t="n"/>
      <c r="I113" s="19" t="n"/>
      <c r="J113" s="64" t="n"/>
      <c r="K113" s="18" t="n"/>
      <c r="L113" s="73" t="n"/>
      <c r="M113" s="73" t="n"/>
      <c r="N113" s="73" t="n"/>
      <c r="O113" s="19" t="n"/>
      <c r="P113" s="18" t="n"/>
      <c r="Q113" s="18" t="n"/>
      <c r="R113" s="73" t="n"/>
      <c r="S113" s="18" t="n"/>
      <c r="T113" s="18" t="n"/>
      <c r="U113" s="26">
        <f>D113+F113+-(H113+J113+L113+N113+P113+R113+T113)</f>
        <v/>
      </c>
      <c r="V113" t="inlineStr">
        <is>
          <t>CONSUMABLE</t>
        </is>
      </c>
    </row>
    <row r="114" ht="30" customHeight="1">
      <c r="A114" s="22">
        <f>A113+1</f>
        <v/>
      </c>
      <c r="B114" s="122" t="inlineStr">
        <is>
          <t>Filter Fleet Guard LF 3000 (Oil Filter )</t>
        </is>
      </c>
      <c r="C114" s="123" t="inlineStr">
        <is>
          <t>PCS</t>
        </is>
      </c>
      <c r="D114" s="26">
        <f>'Week  (4)'!U114</f>
        <v/>
      </c>
      <c r="E114" s="125" t="n"/>
      <c r="F114" s="55" t="n"/>
      <c r="G114" s="52" t="n"/>
      <c r="H114" s="55" t="n"/>
      <c r="I114" s="71" t="n"/>
      <c r="J114" s="55" t="n"/>
      <c r="K114" s="18" t="n"/>
      <c r="L114" s="73" t="n"/>
      <c r="M114" s="73" t="n"/>
      <c r="N114" s="73" t="n"/>
      <c r="O114" s="19" t="n"/>
      <c r="P114" s="18" t="n"/>
      <c r="Q114" s="18" t="n"/>
      <c r="R114" s="73" t="n"/>
      <c r="S114" s="18" t="n"/>
      <c r="T114" s="18" t="n"/>
      <c r="U114" s="26">
        <f>D114+F114+-(H114+J114+L114+N114+P114+R114+T114)</f>
        <v/>
      </c>
      <c r="V114" t="inlineStr">
        <is>
          <t>CONSUMABLE</t>
        </is>
      </c>
    </row>
    <row r="115" ht="27" customHeight="1">
      <c r="A115" s="22">
        <f>A114+1</f>
        <v/>
      </c>
      <c r="B115" s="122" t="inlineStr">
        <is>
          <t>Filter Fleet Guard WF 2076 (Filter Udara)</t>
        </is>
      </c>
      <c r="C115" s="123" t="inlineStr">
        <is>
          <t>PCS</t>
        </is>
      </c>
      <c r="D115" s="26">
        <f>'Week  (4)'!U115</f>
        <v/>
      </c>
      <c r="E115" s="124" t="n"/>
      <c r="F115" s="62" t="n"/>
      <c r="G115" s="25" t="n"/>
      <c r="H115" s="56" t="n"/>
      <c r="I115" s="19" t="n"/>
      <c r="J115" s="64" t="n"/>
      <c r="K115" s="18" t="n"/>
      <c r="L115" s="73" t="n"/>
      <c r="M115" s="73" t="n"/>
      <c r="N115" s="73" t="n"/>
      <c r="O115" s="19" t="n"/>
      <c r="P115" s="18" t="n"/>
      <c r="Q115" s="18" t="n"/>
      <c r="R115" s="73" t="n"/>
      <c r="S115" s="18" t="n"/>
      <c r="T115" s="18" t="n"/>
      <c r="U115" s="26">
        <f>D115+F115+-(H115+J115+L115+N115+P115+R115+T115)</f>
        <v/>
      </c>
      <c r="V115" t="inlineStr">
        <is>
          <t>CONSUMABLE</t>
        </is>
      </c>
    </row>
    <row r="116" ht="20.25" customHeight="1">
      <c r="A116" s="22">
        <f>A115+1</f>
        <v/>
      </c>
      <c r="B116" s="122" t="inlineStr">
        <is>
          <t>Flexible Hose  50 CM</t>
        </is>
      </c>
      <c r="C116" s="123" t="inlineStr">
        <is>
          <t>PCS</t>
        </is>
      </c>
      <c r="D116" s="26">
        <f>'Week  (4)'!U116</f>
        <v/>
      </c>
      <c r="E116" s="125" t="n"/>
      <c r="F116" s="55" t="n"/>
      <c r="G116" s="52" t="n"/>
      <c r="H116" s="55" t="n"/>
      <c r="I116" s="71" t="n"/>
      <c r="J116" s="55" t="n"/>
      <c r="K116" s="18" t="n"/>
      <c r="L116" s="73" t="n"/>
      <c r="M116" s="73" t="n"/>
      <c r="N116" s="73" t="n"/>
      <c r="O116" s="19" t="n"/>
      <c r="P116" s="18" t="n"/>
      <c r="Q116" s="18" t="n"/>
      <c r="R116" s="73" t="n"/>
      <c r="S116" s="18" t="n"/>
      <c r="T116" s="18" t="n"/>
      <c r="U116" s="26">
        <f>D116+F116+-(H116+J116+L116+N116+P116+R116+T116)</f>
        <v/>
      </c>
      <c r="V116" t="inlineStr">
        <is>
          <t>VALVE AND PIPE</t>
        </is>
      </c>
    </row>
    <row r="117" ht="27" customHeight="1">
      <c r="A117" s="22">
        <f>A116+1</f>
        <v/>
      </c>
      <c r="B117" s="122" t="inlineStr">
        <is>
          <t>Flexible Hose  60 CM STAINLESS</t>
        </is>
      </c>
      <c r="C117" s="123" t="inlineStr">
        <is>
          <t>PCS</t>
        </is>
      </c>
      <c r="D117" s="26">
        <f>'Week  (4)'!U117</f>
        <v/>
      </c>
      <c r="E117" s="124" t="n"/>
      <c r="F117" s="62" t="n"/>
      <c r="G117" s="25" t="n"/>
      <c r="H117" s="56" t="n"/>
      <c r="I117" s="19" t="n"/>
      <c r="J117" s="64" t="n"/>
      <c r="K117" s="18" t="n"/>
      <c r="L117" s="73" t="n"/>
      <c r="M117" s="73" t="n"/>
      <c r="N117" s="73" t="n"/>
      <c r="O117" s="19" t="n"/>
      <c r="P117" s="18" t="n"/>
      <c r="Q117" s="18" t="n"/>
      <c r="R117" s="73" t="n"/>
      <c r="S117" s="18" t="n"/>
      <c r="T117" s="18" t="n"/>
      <c r="U117" s="26">
        <f>D117+F117+-(H117+J117+L117+N117+P117+R117+T117)</f>
        <v/>
      </c>
      <c r="V117" t="inlineStr">
        <is>
          <t>VALVE AND PIPE</t>
        </is>
      </c>
    </row>
    <row r="118" ht="28.5" customHeight="1">
      <c r="A118" s="22">
        <f>A117+1</f>
        <v/>
      </c>
      <c r="B118" s="122" t="inlineStr">
        <is>
          <t>Flexible Hose 40 Cm</t>
        </is>
      </c>
      <c r="C118" s="123" t="inlineStr">
        <is>
          <t>PCS</t>
        </is>
      </c>
      <c r="D118" s="26">
        <f>'Week  (4)'!U118</f>
        <v/>
      </c>
      <c r="E118" s="125" t="n"/>
      <c r="F118" s="55" t="n"/>
      <c r="G118" s="52" t="n"/>
      <c r="H118" s="55" t="n"/>
      <c r="I118" s="71" t="n"/>
      <c r="J118" s="55" t="n"/>
      <c r="K118" s="18" t="n"/>
      <c r="L118" s="73" t="n"/>
      <c r="M118" s="73" t="n"/>
      <c r="N118" s="73" t="n"/>
      <c r="O118" s="19" t="n"/>
      <c r="P118" s="18" t="n"/>
      <c r="Q118" s="18" t="n"/>
      <c r="R118" s="73" t="n"/>
      <c r="S118" s="18" t="n"/>
      <c r="T118" s="18" t="n"/>
      <c r="U118" s="26">
        <f>D118+F118+-(H118+J118+L118+N118+P118+R118+T118)</f>
        <v/>
      </c>
      <c r="V118" t="inlineStr">
        <is>
          <t>VALVE AND PIPE</t>
        </is>
      </c>
    </row>
    <row r="119" ht="27" customHeight="1">
      <c r="A119" s="22">
        <f>A118+1</f>
        <v/>
      </c>
      <c r="B119" s="122" t="inlineStr">
        <is>
          <t>Flexible Hose of Washbasin, DUPON</t>
        </is>
      </c>
      <c r="C119" s="123" t="inlineStr">
        <is>
          <t>SET</t>
        </is>
      </c>
      <c r="D119" s="26">
        <f>'Week  (4)'!U119</f>
        <v/>
      </c>
      <c r="E119" s="124" t="n"/>
      <c r="F119" s="62" t="n"/>
      <c r="G119" s="25" t="n"/>
      <c r="H119" s="56" t="n"/>
      <c r="I119" s="19" t="n"/>
      <c r="J119" s="64" t="n"/>
      <c r="K119" s="18" t="n"/>
      <c r="L119" s="73" t="n"/>
      <c r="M119" s="73" t="n"/>
      <c r="N119" s="73" t="n"/>
      <c r="O119" s="19" t="n"/>
      <c r="P119" s="18" t="n"/>
      <c r="Q119" s="18" t="n"/>
      <c r="R119" s="73" t="n"/>
      <c r="S119" s="18" t="n"/>
      <c r="T119" s="18" t="n"/>
      <c r="U119" s="26">
        <f>D119+F119+-(H119+J119+L119+N119+P119+R119+T119)</f>
        <v/>
      </c>
      <c r="V119" t="inlineStr">
        <is>
          <t>VALVE AND PIPE</t>
        </is>
      </c>
    </row>
    <row r="120" ht="27" customHeight="1">
      <c r="A120" s="22">
        <f>A119+1</f>
        <v/>
      </c>
      <c r="B120" s="122" t="inlineStr">
        <is>
          <t>Flexible Hose of Washbasin, MOVE</t>
        </is>
      </c>
      <c r="C120" s="123" t="inlineStr">
        <is>
          <t>PCS</t>
        </is>
      </c>
      <c r="D120" s="26">
        <f>'Week  (4)'!U120</f>
        <v/>
      </c>
      <c r="E120" s="125" t="n"/>
      <c r="F120" s="55" t="n"/>
      <c r="G120" s="52" t="n"/>
      <c r="H120" s="55" t="n"/>
      <c r="I120" s="71" t="n"/>
      <c r="J120" s="55" t="n"/>
      <c r="K120" s="18" t="n"/>
      <c r="L120" s="73" t="n"/>
      <c r="M120" s="73" t="n"/>
      <c r="N120" s="73" t="n"/>
      <c r="O120" s="19" t="n"/>
      <c r="P120" s="18" t="n"/>
      <c r="Q120" s="18" t="n"/>
      <c r="R120" s="73" t="n"/>
      <c r="S120" s="18" t="n"/>
      <c r="T120" s="18" t="n"/>
      <c r="U120" s="26">
        <f>D120+F120+-(H120+J120+L120+N120+P120+R120+T120)</f>
        <v/>
      </c>
      <c r="V120" t="inlineStr">
        <is>
          <t>VALVE AND PIPE</t>
        </is>
      </c>
    </row>
    <row r="121" ht="32.25" customHeight="1">
      <c r="A121" s="22">
        <f>A120+1</f>
        <v/>
      </c>
      <c r="B121" s="122" t="inlineStr">
        <is>
          <t>Floating Valve of Closet ( Tombol Atas )</t>
        </is>
      </c>
      <c r="C121" s="123" t="inlineStr">
        <is>
          <t>PCS</t>
        </is>
      </c>
      <c r="D121" s="26">
        <f>'Week  (4)'!U121</f>
        <v/>
      </c>
      <c r="E121" s="124" t="n"/>
      <c r="F121" s="62" t="n"/>
      <c r="G121" s="25" t="n"/>
      <c r="H121" s="56" t="n"/>
      <c r="I121" s="19" t="n"/>
      <c r="J121" s="64" t="n"/>
      <c r="K121" s="18" t="n"/>
      <c r="L121" s="73" t="n"/>
      <c r="M121" s="73" t="n"/>
      <c r="N121" s="73" t="n"/>
      <c r="O121" s="19" t="n"/>
      <c r="P121" s="18" t="n"/>
      <c r="Q121" s="18" t="n"/>
      <c r="R121" s="73" t="n"/>
      <c r="S121" s="18" t="n"/>
      <c r="T121" s="18" t="n"/>
      <c r="U121" s="26">
        <f>D121+F121+-(H121+J121+L121+N121+P121+R121+T121)</f>
        <v/>
      </c>
      <c r="V121" t="inlineStr">
        <is>
          <t>SANITARY</t>
        </is>
      </c>
    </row>
    <row r="122" ht="27.75" customHeight="1">
      <c r="A122" s="22">
        <f>A121+1</f>
        <v/>
      </c>
      <c r="B122" s="122" t="inlineStr">
        <is>
          <t>Floating Valve of Closet ( Tombol Samping  )</t>
        </is>
      </c>
      <c r="C122" s="123" t="inlineStr">
        <is>
          <t>PCS</t>
        </is>
      </c>
      <c r="D122" s="26">
        <f>'Week  (4)'!U122</f>
        <v/>
      </c>
      <c r="E122" s="125" t="n"/>
      <c r="F122" s="55" t="n"/>
      <c r="G122" s="52" t="n"/>
      <c r="H122" s="55" t="n"/>
      <c r="I122" s="71" t="n"/>
      <c r="J122" s="55" t="n"/>
      <c r="K122" s="18" t="n"/>
      <c r="L122" s="73" t="n"/>
      <c r="M122" s="73" t="n"/>
      <c r="N122" s="73" t="n"/>
      <c r="O122" s="19" t="n"/>
      <c r="P122" s="18" t="n"/>
      <c r="Q122" s="18" t="n"/>
      <c r="R122" s="73" t="n"/>
      <c r="S122" s="18" t="n"/>
      <c r="T122" s="18" t="n"/>
      <c r="U122" s="26">
        <f>D122+F122+-(H122+J122+L122+N122+P122+R122+T122)</f>
        <v/>
      </c>
      <c r="V122" t="inlineStr">
        <is>
          <t>SANITARY</t>
        </is>
      </c>
    </row>
    <row r="123" ht="24" customHeight="1">
      <c r="A123" s="22">
        <f>A122+1</f>
        <v/>
      </c>
      <c r="B123" s="122" t="inlineStr">
        <is>
          <t>Floor Drain</t>
        </is>
      </c>
      <c r="C123" s="123" t="inlineStr">
        <is>
          <t>PCS</t>
        </is>
      </c>
      <c r="D123" s="26">
        <f>'Week  (4)'!U123</f>
        <v/>
      </c>
      <c r="E123" s="124" t="n"/>
      <c r="F123" s="62" t="n"/>
      <c r="G123" s="25" t="n"/>
      <c r="H123" s="56" t="n"/>
      <c r="I123" s="19" t="n"/>
      <c r="J123" s="64" t="n"/>
      <c r="K123" s="18" t="n"/>
      <c r="L123" s="73" t="n"/>
      <c r="M123" s="73" t="inlineStr">
        <is>
          <t>Sulawesi 4</t>
        </is>
      </c>
      <c r="N123" s="73" t="n">
        <v>1</v>
      </c>
      <c r="O123" s="19" t="n"/>
      <c r="P123" s="18" t="n"/>
      <c r="Q123" s="18" t="n"/>
      <c r="R123" s="73" t="n"/>
      <c r="S123" s="18" t="n"/>
      <c r="T123" s="18" t="n"/>
      <c r="U123" s="26">
        <f>D123+F123+-(H123+J123+L123+N123+P123+R123+T123)</f>
        <v/>
      </c>
      <c r="V123" t="inlineStr">
        <is>
          <t>SANITARY</t>
        </is>
      </c>
    </row>
    <row r="124" ht="24" customHeight="1">
      <c r="A124" s="22">
        <f>A123+1</f>
        <v/>
      </c>
      <c r="B124" s="122" t="inlineStr">
        <is>
          <t>FREON R 22 DUPONT ( 13,62 Kg )</t>
        </is>
      </c>
      <c r="C124" s="123" t="inlineStr">
        <is>
          <t>BTL</t>
        </is>
      </c>
      <c r="D124" s="26">
        <f>'Week  (4)'!U124</f>
        <v/>
      </c>
      <c r="E124" s="125" t="n"/>
      <c r="F124" s="55" t="n"/>
      <c r="G124" s="52" t="n"/>
      <c r="H124" s="55" t="n"/>
      <c r="I124" s="71" t="n"/>
      <c r="J124" s="55" t="n"/>
      <c r="K124" s="18" t="n"/>
      <c r="L124" s="73" t="n"/>
      <c r="M124" s="73" t="n"/>
      <c r="N124" s="73" t="n"/>
      <c r="O124" s="19" t="n"/>
      <c r="P124" s="18" t="n"/>
      <c r="Q124" s="18" t="n"/>
      <c r="R124" s="73" t="n"/>
      <c r="S124" s="18" t="n"/>
      <c r="T124" s="18" t="n"/>
      <c r="U124" s="26">
        <f>D124+F124+-(H124+J124+L124+N124+P124+R124+T124)</f>
        <v/>
      </c>
      <c r="V124" t="inlineStr">
        <is>
          <t>AC</t>
        </is>
      </c>
    </row>
    <row r="125" ht="24" customHeight="1">
      <c r="A125" s="22">
        <f>A124+1</f>
        <v/>
      </c>
      <c r="B125" s="122" t="inlineStr">
        <is>
          <t xml:space="preserve">FREON R 32 </t>
        </is>
      </c>
      <c r="C125" s="123" t="inlineStr">
        <is>
          <t>BTL</t>
        </is>
      </c>
      <c r="D125" s="26">
        <f>'Week  (4)'!U125</f>
        <v/>
      </c>
      <c r="E125" s="124" t="n"/>
      <c r="F125" s="62" t="n"/>
      <c r="G125" s="25" t="n"/>
      <c r="H125" s="56" t="n"/>
      <c r="I125" s="19" t="n"/>
      <c r="J125" s="64" t="n"/>
      <c r="K125" s="18" t="n"/>
      <c r="L125" s="73" t="n"/>
      <c r="M125" s="73" t="n"/>
      <c r="N125" s="73" t="n"/>
      <c r="O125" s="19" t="n"/>
      <c r="P125" s="18" t="n"/>
      <c r="Q125" s="18" t="n"/>
      <c r="R125" s="73" t="n"/>
      <c r="S125" s="18" t="n"/>
      <c r="T125" s="18" t="n"/>
      <c r="U125" s="26">
        <f>D125+F125+-(H125+J125+L125+N125+P125+R125+T125)</f>
        <v/>
      </c>
      <c r="V125" t="inlineStr">
        <is>
          <t>AC</t>
        </is>
      </c>
    </row>
    <row r="126" ht="27" customHeight="1">
      <c r="A126" s="22">
        <f>A125+1</f>
        <v/>
      </c>
      <c r="B126" s="79" t="inlineStr">
        <is>
          <t>FLANGE PVC 2,5"</t>
        </is>
      </c>
      <c r="C126" s="29" t="inlineStr">
        <is>
          <t>Pcs</t>
        </is>
      </c>
      <c r="D126" s="26">
        <f>'Week  (4)'!U126</f>
        <v/>
      </c>
      <c r="E126" s="125" t="n"/>
      <c r="F126" s="55" t="n"/>
      <c r="G126" s="52" t="n"/>
      <c r="H126" s="55" t="n"/>
      <c r="I126" s="71" t="n"/>
      <c r="J126" s="55" t="n"/>
      <c r="K126" s="18" t="n"/>
      <c r="L126" s="73" t="n"/>
      <c r="M126" s="73" t="n"/>
      <c r="N126" s="73" t="n"/>
      <c r="O126" s="19" t="n"/>
      <c r="P126" s="18" t="n"/>
      <c r="Q126" s="18" t="n"/>
      <c r="R126" s="73" t="n"/>
      <c r="S126" s="18" t="n"/>
      <c r="T126" s="18" t="n"/>
      <c r="U126" s="26">
        <f>D126+F126+-(H126+J126+L126+N126+P126+R126+T126)</f>
        <v/>
      </c>
      <c r="V126" t="inlineStr">
        <is>
          <t>VALVE AND PIPE</t>
        </is>
      </c>
    </row>
    <row r="127" ht="27" customHeight="1">
      <c r="A127" s="22">
        <f>A126+1</f>
        <v/>
      </c>
      <c r="B127" s="79" t="inlineStr">
        <is>
          <t>FLANGE PVC 2"</t>
        </is>
      </c>
      <c r="C127" s="29" t="inlineStr">
        <is>
          <t>Pcs</t>
        </is>
      </c>
      <c r="D127" s="26">
        <f>'Week  (4)'!U127</f>
        <v/>
      </c>
      <c r="E127" s="124" t="n"/>
      <c r="F127" s="62" t="n"/>
      <c r="G127" s="25" t="n"/>
      <c r="H127" s="56" t="n"/>
      <c r="I127" s="19" t="n"/>
      <c r="J127" s="64" t="n"/>
      <c r="K127" s="18" t="n"/>
      <c r="L127" s="73" t="n"/>
      <c r="M127" s="73" t="n"/>
      <c r="N127" s="73" t="n"/>
      <c r="O127" s="19" t="n"/>
      <c r="P127" s="18" t="n"/>
      <c r="Q127" s="19" t="n"/>
      <c r="R127" s="73" t="n"/>
      <c r="S127" s="18" t="n"/>
      <c r="T127" s="18" t="n"/>
      <c r="U127" s="26">
        <f>D127+F127+-(H127+J127+L127+N127+P127+R127+T127)</f>
        <v/>
      </c>
      <c r="V127" t="inlineStr">
        <is>
          <t>VALVE AND PIPE</t>
        </is>
      </c>
    </row>
    <row r="128">
      <c r="A128" s="22">
        <f>A127+1</f>
        <v/>
      </c>
      <c r="B128" s="79" t="inlineStr">
        <is>
          <t xml:space="preserve">Grendel </t>
        </is>
      </c>
      <c r="C128" s="40" t="inlineStr">
        <is>
          <t>Pcs</t>
        </is>
      </c>
      <c r="D128" s="26">
        <f>'Week  (4)'!U128</f>
        <v/>
      </c>
      <c r="E128" s="125" t="n"/>
      <c r="F128" s="55" t="n"/>
      <c r="G128" s="52" t="n"/>
      <c r="H128" s="55" t="n"/>
      <c r="I128" s="71" t="n"/>
      <c r="J128" s="55" t="n"/>
      <c r="K128" s="19" t="n"/>
      <c r="L128" s="73" t="n"/>
      <c r="M128" s="73" t="n"/>
      <c r="N128" s="73" t="n"/>
      <c r="O128" s="19" t="n"/>
      <c r="P128" s="18" t="n"/>
      <c r="Q128" s="18" t="n"/>
      <c r="R128" s="73" t="n"/>
      <c r="S128" s="18" t="n"/>
      <c r="T128" s="18" t="n"/>
      <c r="U128" s="26">
        <f>D128+F128+-(H128+J128+L128+N128+P128+R128+T128)</f>
        <v/>
      </c>
      <c r="V128" t="inlineStr">
        <is>
          <t>CIVIL</t>
        </is>
      </c>
    </row>
    <row r="129" ht="27" customHeight="1">
      <c r="A129" s="22">
        <f>A128+1</f>
        <v/>
      </c>
      <c r="B129" s="122" t="inlineStr">
        <is>
          <t xml:space="preserve">Hand Shower </t>
        </is>
      </c>
      <c r="C129" s="123" t="inlineStr">
        <is>
          <t>PCS</t>
        </is>
      </c>
      <c r="D129" s="26">
        <f>'Week  (4)'!U129</f>
        <v/>
      </c>
      <c r="E129" s="124" t="n"/>
      <c r="F129" s="62" t="n"/>
      <c r="G129" s="68" t="n"/>
      <c r="H129" s="56" t="n"/>
      <c r="I129" s="19" t="n"/>
      <c r="J129" s="64" t="n"/>
      <c r="K129" s="19" t="n"/>
      <c r="L129" s="73" t="n"/>
      <c r="M129" s="73" t="n"/>
      <c r="N129" s="73" t="n"/>
      <c r="O129" s="19" t="n"/>
      <c r="P129" s="18" t="n"/>
      <c r="Q129" s="18" t="n"/>
      <c r="R129" s="73" t="n"/>
      <c r="S129" s="18" t="n"/>
      <c r="T129" s="18" t="n"/>
      <c r="U129" s="26">
        <f>D129+F129+-(H129+J129+L129+N129+P129+R129+T129)</f>
        <v/>
      </c>
      <c r="V129" t="inlineStr">
        <is>
          <t>SANITARY</t>
        </is>
      </c>
    </row>
    <row r="130" ht="27" customHeight="1">
      <c r="A130" s="22">
        <f>A129+1</f>
        <v/>
      </c>
      <c r="B130" s="122" t="inlineStr">
        <is>
          <t xml:space="preserve">HANDLE PINTU </t>
        </is>
      </c>
      <c r="C130" s="123" t="inlineStr">
        <is>
          <t>Set</t>
        </is>
      </c>
      <c r="D130" s="26">
        <f>'Week  (4)'!U130</f>
        <v/>
      </c>
      <c r="E130" s="124" t="n"/>
      <c r="F130" s="55" t="n"/>
      <c r="G130" s="52" t="n"/>
      <c r="H130" s="55" t="n"/>
      <c r="I130" s="71" t="n"/>
      <c r="J130" s="55" t="n"/>
      <c r="K130" s="18" t="n"/>
      <c r="L130" s="73" t="n"/>
      <c r="M130" s="73" t="n"/>
      <c r="N130" s="73" t="n"/>
      <c r="O130" s="19" t="n"/>
      <c r="P130" s="18" t="n"/>
      <c r="Q130" s="18" t="n"/>
      <c r="R130" s="73" t="n"/>
      <c r="S130" s="18" t="n"/>
      <c r="T130" s="18" t="n"/>
      <c r="U130" s="26">
        <f>D130+F130+-(H130+J130+L130+N130+P130+R130+T130)</f>
        <v/>
      </c>
      <c r="V130" t="inlineStr">
        <is>
          <t>CIVIL</t>
        </is>
      </c>
    </row>
    <row r="131" ht="27" customHeight="1">
      <c r="A131" s="22">
        <f>A130+1</f>
        <v/>
      </c>
      <c r="B131" s="122" t="inlineStr">
        <is>
          <t>Hose of Washing Machine Drain</t>
        </is>
      </c>
      <c r="C131" s="123" t="inlineStr">
        <is>
          <t>PCS</t>
        </is>
      </c>
      <c r="D131" s="26">
        <f>'Week  (4)'!U131</f>
        <v/>
      </c>
      <c r="E131" s="124" t="n"/>
      <c r="F131" s="62" t="n"/>
      <c r="G131" s="25" t="n"/>
      <c r="H131" s="56" t="n"/>
      <c r="I131" s="19" t="n"/>
      <c r="J131" s="64" t="n"/>
      <c r="K131" s="18" t="n"/>
      <c r="L131" s="73" t="n"/>
      <c r="M131" s="73" t="n"/>
      <c r="N131" s="73" t="n"/>
      <c r="O131" s="19" t="n"/>
      <c r="P131" s="18" t="n"/>
      <c r="Q131" s="18" t="n"/>
      <c r="R131" s="73" t="n"/>
      <c r="S131" s="18" t="n"/>
      <c r="T131" s="18" t="n"/>
      <c r="U131" s="26">
        <f>D131+F131+-(H131+J131+L131+N131+P131+R131+T131)</f>
        <v/>
      </c>
      <c r="V131" t="inlineStr">
        <is>
          <t>SANITARY</t>
        </is>
      </c>
    </row>
    <row r="132" ht="13.5" customHeight="1">
      <c r="A132" s="22">
        <f>A131+1</f>
        <v/>
      </c>
      <c r="B132" s="122" t="inlineStr">
        <is>
          <t>Ignition of Stove</t>
        </is>
      </c>
      <c r="C132" s="123" t="inlineStr">
        <is>
          <t>PCS</t>
        </is>
      </c>
      <c r="D132" s="26">
        <f>'Week  (4)'!U132</f>
        <v/>
      </c>
      <c r="E132" s="125" t="n"/>
      <c r="F132" s="55" t="n"/>
      <c r="G132" s="52" t="n"/>
      <c r="H132" s="55" t="n"/>
      <c r="I132" s="71" t="n"/>
      <c r="J132" s="55" t="n"/>
      <c r="K132" s="18" t="n"/>
      <c r="L132" s="73" t="n"/>
      <c r="M132" s="73" t="n"/>
      <c r="N132" s="73" t="n"/>
      <c r="O132" s="19" t="n"/>
      <c r="P132" s="18" t="n"/>
      <c r="Q132" s="18" t="n"/>
      <c r="R132" s="73" t="n"/>
      <c r="S132" s="18" t="n"/>
      <c r="T132" s="18" t="n"/>
      <c r="U132" s="26">
        <f>D132+F132+-(H132+J132+L132+N132+P132+R132+T132)</f>
        <v/>
      </c>
      <c r="V132" t="inlineStr">
        <is>
          <t>SPAREPART</t>
        </is>
      </c>
    </row>
    <row r="133" ht="15" customHeight="1">
      <c r="A133" s="22">
        <f>A132+1</f>
        <v/>
      </c>
      <c r="B133" s="122" t="inlineStr">
        <is>
          <t xml:space="preserve">Jati Plywood </t>
        </is>
      </c>
      <c r="C133" s="123" t="inlineStr">
        <is>
          <t>PCS</t>
        </is>
      </c>
      <c r="D133" s="26">
        <f>'Week  (4)'!U133</f>
        <v/>
      </c>
      <c r="E133" s="124" t="n"/>
      <c r="F133" s="62" t="n"/>
      <c r="G133" s="25" t="n"/>
      <c r="H133" s="56" t="n"/>
      <c r="I133" s="19" t="n"/>
      <c r="J133" s="64" t="n"/>
      <c r="K133" s="18" t="n"/>
      <c r="L133" s="73" t="n"/>
      <c r="M133" s="73" t="n"/>
      <c r="N133" s="73" t="n"/>
      <c r="O133" s="19" t="n"/>
      <c r="P133" s="18" t="n"/>
      <c r="Q133" s="18" t="n"/>
      <c r="R133" s="73" t="n"/>
      <c r="S133" s="18" t="n"/>
      <c r="T133" s="18" t="n"/>
      <c r="U133" s="26">
        <f>D133+F133+-(H133+J133+L133+N133+P133+R133+T133)</f>
        <v/>
      </c>
      <c r="V133" t="inlineStr">
        <is>
          <t>CIVIL</t>
        </is>
      </c>
    </row>
    <row r="134" ht="24" customHeight="1">
      <c r="A134" s="22">
        <f>A133+1</f>
        <v/>
      </c>
      <c r="B134" s="79" t="inlineStr">
        <is>
          <t>Kabel NYY 4 x 2,5</t>
        </is>
      </c>
      <c r="C134" s="29" t="inlineStr">
        <is>
          <t>Meter</t>
        </is>
      </c>
      <c r="D134" s="26">
        <f>'Week  (4)'!U134</f>
        <v/>
      </c>
      <c r="E134" s="125" t="n"/>
      <c r="F134" s="55" t="n"/>
      <c r="G134" s="52" t="n"/>
      <c r="H134" s="55" t="n"/>
      <c r="I134" s="71" t="n"/>
      <c r="J134" s="55" t="n"/>
      <c r="K134" s="18" t="n"/>
      <c r="L134" s="73" t="n"/>
      <c r="M134" s="73" t="n"/>
      <c r="N134" s="73" t="n"/>
      <c r="O134" s="19" t="n"/>
      <c r="P134" s="18" t="n"/>
      <c r="Q134" s="18" t="n"/>
      <c r="R134" s="73" t="n"/>
      <c r="S134" s="18" t="n"/>
      <c r="T134" s="18" t="n"/>
      <c r="U134" s="26">
        <f>D134+F134+-(H134+J134+L134+N134+P134+R134+T134)</f>
        <v/>
      </c>
      <c r="V134" t="inlineStr">
        <is>
          <t>ELECTRICAL</t>
        </is>
      </c>
    </row>
    <row r="135" ht="24" customHeight="1">
      <c r="A135" s="22">
        <f>A134+1</f>
        <v/>
      </c>
      <c r="B135" s="79" t="inlineStr">
        <is>
          <t>Kabel NYYHY 4 x 2,5</t>
        </is>
      </c>
      <c r="C135" s="29" t="inlineStr">
        <is>
          <t>Meter</t>
        </is>
      </c>
      <c r="D135" s="26">
        <f>'Week  (4)'!U135</f>
        <v/>
      </c>
      <c r="E135" s="124" t="n"/>
      <c r="F135" s="62" t="n"/>
      <c r="G135" s="25" t="n"/>
      <c r="H135" s="56" t="n"/>
      <c r="I135" s="19" t="n"/>
      <c r="J135" s="64" t="n"/>
      <c r="K135" s="18" t="n"/>
      <c r="L135" s="73" t="n"/>
      <c r="M135" s="73" t="n"/>
      <c r="N135" s="73" t="n"/>
      <c r="O135" s="19" t="n"/>
      <c r="P135" s="18" t="n"/>
      <c r="Q135" s="18" t="n"/>
      <c r="R135" s="73" t="n"/>
      <c r="S135" s="18" t="n"/>
      <c r="T135" s="18" t="n"/>
      <c r="U135" s="26">
        <f>D135+F135+-(H135+J135+L135+N135+P135+R135+T135)</f>
        <v/>
      </c>
      <c r="V135" t="inlineStr">
        <is>
          <t>ELECTRICAL</t>
        </is>
      </c>
    </row>
    <row r="136" ht="24" customHeight="1">
      <c r="A136" s="22">
        <f>A135+1</f>
        <v/>
      </c>
      <c r="B136" s="79" t="inlineStr">
        <is>
          <t>Kabel NYY 3 x 2,5</t>
        </is>
      </c>
      <c r="C136" s="29" t="inlineStr">
        <is>
          <t>Meter</t>
        </is>
      </c>
      <c r="D136" s="26">
        <f>'Week  (4)'!U136</f>
        <v/>
      </c>
      <c r="E136" s="125" t="n"/>
      <c r="F136" s="55" t="n"/>
      <c r="G136" s="52" t="n"/>
      <c r="H136" s="55" t="n"/>
      <c r="I136" s="71" t="n"/>
      <c r="J136" s="55" t="n"/>
      <c r="K136" s="18" t="n"/>
      <c r="L136" s="73" t="n"/>
      <c r="M136" s="73" t="n"/>
      <c r="N136" s="73" t="n"/>
      <c r="O136" s="19" t="n"/>
      <c r="P136" s="18" t="n"/>
      <c r="Q136" s="18" t="n"/>
      <c r="R136" s="73" t="n"/>
      <c r="S136" s="18" t="n"/>
      <c r="T136" s="18" t="n"/>
      <c r="U136" s="26">
        <f>D136+F136+-(H136+J136+L136+N136+P136+R136+T136)</f>
        <v/>
      </c>
      <c r="V136" t="inlineStr">
        <is>
          <t>ELECTRICAL</t>
        </is>
      </c>
    </row>
    <row r="137" ht="24" customHeight="1">
      <c r="A137" s="22">
        <f>A136+1</f>
        <v/>
      </c>
      <c r="B137" s="79" t="inlineStr">
        <is>
          <t>Kabel NYM 3 x 2,5</t>
        </is>
      </c>
      <c r="C137" s="29" t="inlineStr">
        <is>
          <t>Meter</t>
        </is>
      </c>
      <c r="D137" s="26">
        <f>'Week  (4)'!U137</f>
        <v/>
      </c>
      <c r="E137" s="124" t="n"/>
      <c r="F137" s="62" t="n"/>
      <c r="G137" s="25" t="n"/>
      <c r="H137" s="56" t="n"/>
      <c r="I137" s="25" t="n"/>
      <c r="J137" s="56" t="n"/>
      <c r="K137" s="25" t="n"/>
      <c r="L137" s="73" t="n"/>
      <c r="M137" s="73" t="n"/>
      <c r="N137" s="73" t="n"/>
      <c r="O137" s="19" t="n"/>
      <c r="P137" s="18" t="n"/>
      <c r="Q137" s="18" t="n"/>
      <c r="R137" s="73" t="n"/>
      <c r="S137" s="18" t="n"/>
      <c r="T137" s="18" t="n"/>
      <c r="U137" s="26">
        <f>D137+F137+-(H137+J137+L137+N137+P137+R137+T137)</f>
        <v/>
      </c>
      <c r="V137" t="inlineStr">
        <is>
          <t>ELECTRICAL</t>
        </is>
      </c>
    </row>
    <row r="138" ht="24" customHeight="1">
      <c r="A138" s="22">
        <f>A137+1</f>
        <v/>
      </c>
      <c r="B138" s="79" t="inlineStr">
        <is>
          <t>Kabel NYM 3 x 1,5</t>
        </is>
      </c>
      <c r="C138" s="29" t="inlineStr">
        <is>
          <t>Meter</t>
        </is>
      </c>
      <c r="D138" s="26">
        <f>'Week  (4)'!U138</f>
        <v/>
      </c>
      <c r="E138" s="124" t="n"/>
      <c r="F138" s="62" t="n"/>
      <c r="G138" s="25" t="n"/>
      <c r="H138" s="56" t="n"/>
      <c r="I138" s="25" t="n"/>
      <c r="J138" s="56" t="n"/>
      <c r="K138" s="19" t="n"/>
      <c r="L138" s="73" t="n"/>
      <c r="M138" s="73" t="n"/>
      <c r="N138" s="73" t="n"/>
      <c r="O138" s="19" t="inlineStr">
        <is>
          <t>Sumatera 10</t>
        </is>
      </c>
      <c r="P138" s="18" t="n">
        <v>3</v>
      </c>
      <c r="Q138" s="18" t="n"/>
      <c r="R138" s="73" t="n"/>
      <c r="S138" s="18" t="n"/>
      <c r="T138" s="18" t="n"/>
      <c r="U138" s="26">
        <f>D138+F138+-(H138+J138+L138+N138+P138+R138+T138)</f>
        <v/>
      </c>
      <c r="V138" t="inlineStr">
        <is>
          <t>ELECTRICAL</t>
        </is>
      </c>
    </row>
    <row r="139" ht="24" customHeight="1">
      <c r="A139" s="22">
        <f>A138+1</f>
        <v/>
      </c>
      <c r="B139" s="79" t="inlineStr">
        <is>
          <t>Kawat Seling Calfit</t>
        </is>
      </c>
      <c r="C139" s="29" t="inlineStr">
        <is>
          <t>M</t>
        </is>
      </c>
      <c r="D139" s="26">
        <f>'Week  (4)'!U139</f>
        <v/>
      </c>
      <c r="E139" s="125" t="n"/>
      <c r="F139" s="55" t="n"/>
      <c r="G139" s="52" t="n"/>
      <c r="H139" s="55" t="n"/>
      <c r="I139" s="71" t="n"/>
      <c r="J139" s="55" t="n"/>
      <c r="K139" s="18" t="n"/>
      <c r="L139" s="73" t="n"/>
      <c r="M139" s="73" t="n"/>
      <c r="N139" s="73" t="n"/>
      <c r="O139" s="19" t="n"/>
      <c r="P139" s="18" t="n"/>
      <c r="Q139" s="18" t="n"/>
      <c r="R139" s="73" t="n"/>
      <c r="S139" s="18" t="n"/>
      <c r="T139" s="18" t="n"/>
      <c r="U139" s="26">
        <f>D139+F139+-(H139+J139+L139+N139+P139+R139+T139)</f>
        <v/>
      </c>
      <c r="V139" t="inlineStr">
        <is>
          <t>CONSUMABLE</t>
        </is>
      </c>
    </row>
    <row r="140" ht="27" customHeight="1">
      <c r="A140" s="22">
        <f>A139+1</f>
        <v/>
      </c>
      <c r="B140" s="122" t="inlineStr">
        <is>
          <t>Kayu 3 x 20 x 4</t>
        </is>
      </c>
      <c r="C140" s="123" t="inlineStr">
        <is>
          <t>Batang</t>
        </is>
      </c>
      <c r="D140" s="26">
        <f>'Week  (4)'!U140</f>
        <v/>
      </c>
      <c r="E140" s="124" t="n"/>
      <c r="F140" s="62" t="n"/>
      <c r="G140" s="25" t="n"/>
      <c r="H140" s="56" t="n"/>
      <c r="I140" s="19" t="n"/>
      <c r="J140" s="64" t="n"/>
      <c r="K140" s="18" t="n"/>
      <c r="L140" s="73" t="n"/>
      <c r="M140" s="73" t="n"/>
      <c r="N140" s="73" t="n"/>
      <c r="O140" s="19" t="n"/>
      <c r="P140" s="18" t="n"/>
      <c r="Q140" s="18" t="n"/>
      <c r="R140" s="73" t="n"/>
      <c r="S140" s="18" t="n"/>
      <c r="T140" s="18" t="n"/>
      <c r="U140" s="26">
        <f>D140+F140+-(H140+J140+L140+N140+P140+R140+T140)</f>
        <v/>
      </c>
      <c r="V140" t="inlineStr">
        <is>
          <t>CIVIL</t>
        </is>
      </c>
    </row>
    <row r="141" ht="25.5" customHeight="1">
      <c r="A141" s="22">
        <f>A140+1</f>
        <v/>
      </c>
      <c r="B141" s="122" t="inlineStr">
        <is>
          <t>Kayu 6 x 12 x 4</t>
        </is>
      </c>
      <c r="C141" s="123" t="inlineStr">
        <is>
          <t>Batang</t>
        </is>
      </c>
      <c r="D141" s="26">
        <f>'Week  (4)'!U141</f>
        <v/>
      </c>
      <c r="E141" s="125" t="n"/>
      <c r="F141" s="55" t="n"/>
      <c r="G141" s="52" t="n"/>
      <c r="H141" s="55" t="n"/>
      <c r="I141" s="71" t="n"/>
      <c r="J141" s="55" t="n"/>
      <c r="K141" s="18" t="n"/>
      <c r="L141" s="73" t="n"/>
      <c r="M141" s="73" t="n"/>
      <c r="N141" s="73" t="n"/>
      <c r="O141" s="19" t="n"/>
      <c r="P141" s="18" t="n"/>
      <c r="Q141" s="18" t="n"/>
      <c r="R141" s="73" t="n"/>
      <c r="S141" s="18" t="n"/>
      <c r="T141" s="18" t="n"/>
      <c r="U141" s="26">
        <f>D141+F141+-(H141+J141+L141+N141+P141+R141+T141)</f>
        <v/>
      </c>
      <c r="V141" t="inlineStr">
        <is>
          <t>CIVIL</t>
        </is>
      </c>
    </row>
    <row r="142" ht="27" customHeight="1">
      <c r="A142" s="22">
        <f>A141+1</f>
        <v/>
      </c>
      <c r="B142" s="122" t="inlineStr">
        <is>
          <t>Kayu 6 x 15 x 4</t>
        </is>
      </c>
      <c r="C142" s="123" t="inlineStr">
        <is>
          <t>Batang</t>
        </is>
      </c>
      <c r="D142" s="26">
        <f>'Week  (4)'!U142</f>
        <v/>
      </c>
      <c r="E142" s="124" t="n"/>
      <c r="F142" s="62" t="n"/>
      <c r="G142" s="25" t="n"/>
      <c r="H142" s="56" t="n"/>
      <c r="I142" s="19" t="n"/>
      <c r="J142" s="64" t="n"/>
      <c r="K142" s="18" t="n"/>
      <c r="L142" s="73" t="n"/>
      <c r="M142" s="73" t="n"/>
      <c r="N142" s="73" t="n"/>
      <c r="O142" s="19" t="n"/>
      <c r="P142" s="18" t="n"/>
      <c r="Q142" s="18" t="n"/>
      <c r="R142" s="73" t="n"/>
      <c r="S142" s="18" t="n"/>
      <c r="T142" s="18" t="n"/>
      <c r="U142" s="26">
        <f>D142+F142+-(H142+J142+L142+N142+P142+R142+T142)</f>
        <v/>
      </c>
      <c r="V142" t="inlineStr">
        <is>
          <t>CIVIL</t>
        </is>
      </c>
    </row>
    <row r="143" ht="13.5" customHeight="1">
      <c r="A143" s="22">
        <f>A142+1</f>
        <v/>
      </c>
      <c r="B143" s="122" t="inlineStr">
        <is>
          <t>Kayu 8 x 12 x 4</t>
        </is>
      </c>
      <c r="C143" s="123" t="inlineStr">
        <is>
          <t>Batang</t>
        </is>
      </c>
      <c r="D143" s="26">
        <f>'Week  (4)'!U143</f>
        <v/>
      </c>
      <c r="E143" s="125" t="n"/>
      <c r="F143" s="55" t="n"/>
      <c r="G143" s="52" t="n"/>
      <c r="H143" s="55" t="n"/>
      <c r="I143" s="71" t="n"/>
      <c r="J143" s="55" t="n"/>
      <c r="K143" s="18" t="n"/>
      <c r="L143" s="73" t="n"/>
      <c r="M143" s="73" t="n"/>
      <c r="N143" s="73" t="n"/>
      <c r="O143" s="19" t="n"/>
      <c r="P143" s="18" t="n"/>
      <c r="Q143" s="18" t="n"/>
      <c r="R143" s="73" t="n"/>
      <c r="S143" s="18" t="n"/>
      <c r="T143" s="18" t="n"/>
      <c r="U143" s="26">
        <f>D143+F143+-(H143+J143+L143+N143+P143+R143+T143)</f>
        <v/>
      </c>
      <c r="V143" t="inlineStr">
        <is>
          <t>CIVIL</t>
        </is>
      </c>
    </row>
    <row r="144" ht="27.75" customHeight="1">
      <c r="A144" s="22">
        <f>A143+1</f>
        <v/>
      </c>
      <c r="B144" s="79" t="inlineStr">
        <is>
          <t>Klem Selang LPG</t>
        </is>
      </c>
      <c r="C144" s="40" t="inlineStr">
        <is>
          <t>Pcs</t>
        </is>
      </c>
      <c r="D144" s="26">
        <f>'Week  (4)'!U144</f>
        <v/>
      </c>
      <c r="E144" s="124" t="n"/>
      <c r="F144" s="62" t="n"/>
      <c r="G144" s="25" t="n"/>
      <c r="H144" s="56" t="n"/>
      <c r="I144" s="19" t="n"/>
      <c r="J144" s="64" t="n"/>
      <c r="K144" s="18" t="n"/>
      <c r="L144" s="73" t="n"/>
      <c r="M144" s="73" t="n"/>
      <c r="N144" s="73" t="n"/>
      <c r="O144" s="19" t="n"/>
      <c r="P144" s="18" t="n"/>
      <c r="Q144" s="18" t="n"/>
      <c r="R144" s="73" t="n"/>
      <c r="S144" s="18" t="n"/>
      <c r="T144" s="18" t="n"/>
      <c r="U144" s="26">
        <f>D144+F144+-(H144+J144+L144+N144+P144+R144+T144)</f>
        <v/>
      </c>
      <c r="V144" t="inlineStr">
        <is>
          <t>CONSUMABLE</t>
        </is>
      </c>
    </row>
    <row r="145" ht="26.25" customHeight="1">
      <c r="A145" s="22">
        <f>A144+1</f>
        <v/>
      </c>
      <c r="B145" s="79" t="inlineStr">
        <is>
          <t>Klem Seling Calfit</t>
        </is>
      </c>
      <c r="C145" s="29" t="inlineStr">
        <is>
          <t>Pcs</t>
        </is>
      </c>
      <c r="D145" s="26">
        <f>'Week  (4)'!U145</f>
        <v/>
      </c>
      <c r="E145" s="125" t="n"/>
      <c r="F145" s="55" t="n"/>
      <c r="G145" s="52" t="n"/>
      <c r="H145" s="55" t="n"/>
      <c r="I145" s="71" t="n"/>
      <c r="J145" s="55" t="n"/>
      <c r="K145" s="18" t="n"/>
      <c r="L145" s="73" t="n"/>
      <c r="M145" s="73" t="n"/>
      <c r="N145" s="73" t="n"/>
      <c r="O145" s="19" t="n"/>
      <c r="P145" s="18" t="n"/>
      <c r="Q145" s="18" t="n"/>
      <c r="R145" s="73" t="n"/>
      <c r="S145" s="18" t="n"/>
      <c r="T145" s="18" t="n"/>
      <c r="U145" s="26">
        <f>D145+F145+-(H145+J145+L145+N145+P145+R145+T145)</f>
        <v/>
      </c>
      <c r="V145" t="inlineStr">
        <is>
          <t>CONSUMABLE</t>
        </is>
      </c>
    </row>
    <row r="146" ht="26.25" customHeight="1">
      <c r="A146" s="22">
        <f>A145+1</f>
        <v/>
      </c>
      <c r="B146" s="27" t="inlineStr">
        <is>
          <t>Kuas 3"</t>
        </is>
      </c>
      <c r="C146" s="123" t="inlineStr">
        <is>
          <t>PCS</t>
        </is>
      </c>
      <c r="D146" s="26">
        <f>'Week  (4)'!U146</f>
        <v/>
      </c>
      <c r="E146" s="124" t="n"/>
      <c r="F146" s="62" t="n"/>
      <c r="G146" s="25" t="n"/>
      <c r="H146" s="56" t="n"/>
      <c r="I146" s="19" t="n"/>
      <c r="J146" s="64" t="n"/>
      <c r="K146" s="18" t="n"/>
      <c r="L146" s="73" t="n"/>
      <c r="M146" s="73" t="n"/>
      <c r="N146" s="73" t="n"/>
      <c r="O146" s="19" t="n"/>
      <c r="P146" s="18" t="n"/>
      <c r="Q146" s="18" t="n"/>
      <c r="R146" s="73" t="n"/>
      <c r="S146" s="18" t="n"/>
      <c r="T146" s="18" t="n"/>
      <c r="U146" s="26">
        <f>D146+F146+-(H146+J146+L146+N146+P146+R146+T146)</f>
        <v/>
      </c>
      <c r="V146" t="inlineStr">
        <is>
          <t>CONSUMABLE</t>
        </is>
      </c>
    </row>
    <row r="147" ht="15" customHeight="1">
      <c r="A147" s="22">
        <f>A146+1</f>
        <v/>
      </c>
      <c r="B147" s="27" t="inlineStr">
        <is>
          <t>Kuas 2"</t>
        </is>
      </c>
      <c r="C147" s="123" t="inlineStr">
        <is>
          <t>PCS</t>
        </is>
      </c>
      <c r="D147" s="26">
        <f>'Week  (4)'!U147</f>
        <v/>
      </c>
      <c r="E147" s="124" t="n"/>
      <c r="F147" s="55" t="n"/>
      <c r="G147" s="52" t="n"/>
      <c r="H147" s="55" t="n"/>
      <c r="I147" s="19" t="n"/>
      <c r="J147" s="55" t="n"/>
      <c r="K147" s="18" t="n"/>
      <c r="L147" s="73" t="n"/>
      <c r="M147" s="73" t="n"/>
      <c r="N147" s="73" t="n"/>
      <c r="O147" s="19" t="n"/>
      <c r="P147" s="18" t="n"/>
      <c r="Q147" s="18" t="n"/>
      <c r="R147" s="73" t="n"/>
      <c r="S147" s="18" t="n"/>
      <c r="T147" s="18" t="n"/>
      <c r="U147" s="26">
        <f>D147+F147+-(H147+J147+L147+N147+P147+R147+T147)</f>
        <v/>
      </c>
      <c r="V147" t="inlineStr">
        <is>
          <t>CONSUMABLE</t>
        </is>
      </c>
    </row>
    <row r="148" ht="15" customHeight="1">
      <c r="A148" s="22">
        <f>A147+1</f>
        <v/>
      </c>
      <c r="B148" s="78" t="inlineStr">
        <is>
          <t xml:space="preserve">Pipa AC Inverter 1 PK </t>
        </is>
      </c>
      <c r="C148" s="123" t="inlineStr">
        <is>
          <t>PCS</t>
        </is>
      </c>
      <c r="D148" s="26">
        <f>'Week  (4)'!U148</f>
        <v/>
      </c>
      <c r="E148" s="124" t="n"/>
      <c r="F148" s="55" t="n"/>
      <c r="G148" s="52" t="n"/>
      <c r="H148" s="55" t="n"/>
      <c r="I148" s="52" t="n"/>
      <c r="J148" s="55" t="n"/>
      <c r="K148" s="52" t="n"/>
      <c r="L148" s="55" t="n"/>
      <c r="M148" s="73" t="n"/>
      <c r="N148" s="73" t="n"/>
      <c r="O148" s="19" t="n"/>
      <c r="P148" s="18" t="n"/>
      <c r="Q148" s="19" t="n"/>
      <c r="R148" s="18" t="n"/>
      <c r="S148" s="18" t="n"/>
      <c r="T148" s="18" t="n"/>
      <c r="U148" s="26">
        <f>D148+F148+-(H148+J148+L148+N148+P148+R148+T148)</f>
        <v/>
      </c>
      <c r="V148" t="inlineStr">
        <is>
          <t>AC</t>
        </is>
      </c>
    </row>
    <row r="149" ht="15" customHeight="1">
      <c r="A149" s="22">
        <f>A148+1</f>
        <v/>
      </c>
      <c r="B149" s="78" t="inlineStr">
        <is>
          <t xml:space="preserve">Pipa AC Inverter 1,5 PK </t>
        </is>
      </c>
      <c r="C149" s="123" t="inlineStr">
        <is>
          <t>PCS</t>
        </is>
      </c>
      <c r="D149" s="26">
        <f>'Week  (4)'!U149</f>
        <v/>
      </c>
      <c r="E149" s="124" t="n"/>
      <c r="F149" s="55" t="n"/>
      <c r="G149" s="52" t="n"/>
      <c r="H149" s="55" t="n"/>
      <c r="I149" s="71" t="n"/>
      <c r="J149" s="55" t="n"/>
      <c r="K149" s="52" t="n"/>
      <c r="L149" s="55" t="n"/>
      <c r="M149" s="73" t="n"/>
      <c r="N149" s="73" t="n"/>
      <c r="O149" s="19" t="n"/>
      <c r="P149" s="18" t="n"/>
      <c r="Q149" s="18" t="n"/>
      <c r="R149" s="73" t="n"/>
      <c r="S149" s="18" t="n"/>
      <c r="T149" s="18" t="n"/>
      <c r="U149" s="26">
        <f>D149+F149+-(H149+J149+L149+N149+P149+R149+T149)</f>
        <v/>
      </c>
      <c r="V149" t="inlineStr">
        <is>
          <t>AC</t>
        </is>
      </c>
    </row>
    <row r="150" ht="27" customHeight="1">
      <c r="A150" s="22">
        <f>A149+1</f>
        <v/>
      </c>
      <c r="B150" s="79" t="inlineStr">
        <is>
          <t>LAMPU LED PHILIPS 6 WATT KUNING</t>
        </is>
      </c>
      <c r="C150" s="123" t="inlineStr">
        <is>
          <t>PCS</t>
        </is>
      </c>
      <c r="D150" s="26">
        <f>'Week  (4)'!U150</f>
        <v/>
      </c>
      <c r="E150" s="124" t="n"/>
      <c r="F150" s="62" t="n"/>
      <c r="G150" s="25" t="n"/>
      <c r="H150" s="56" t="n"/>
      <c r="I150" s="19" t="n"/>
      <c r="J150" s="64" t="n"/>
      <c r="K150" s="18" t="n"/>
      <c r="L150" s="73" t="n"/>
      <c r="M150" s="73" t="n"/>
      <c r="N150" s="73" t="n"/>
      <c r="O150" s="19" t="n"/>
      <c r="P150" s="18" t="n"/>
      <c r="Q150" s="18" t="n"/>
      <c r="R150" s="73" t="n"/>
      <c r="S150" s="18" t="n"/>
      <c r="T150" s="18" t="n"/>
      <c r="U150" s="26">
        <f>D150+F150+-(H150+J150+L150+N150+P150+R150+T150)</f>
        <v/>
      </c>
      <c r="V150" t="inlineStr">
        <is>
          <t>LAMP</t>
        </is>
      </c>
    </row>
    <row r="151" ht="15" customHeight="1">
      <c r="A151" s="22">
        <f>A150+1</f>
        <v/>
      </c>
      <c r="B151" s="44" t="inlineStr">
        <is>
          <t>Lampu HPLN Philips 250  Watt</t>
        </is>
      </c>
      <c r="C151" s="123" t="inlineStr">
        <is>
          <t>PCS</t>
        </is>
      </c>
      <c r="D151" s="26">
        <f>'Week  (4)'!U151</f>
        <v/>
      </c>
      <c r="E151" s="125" t="n"/>
      <c r="F151" s="55" t="n"/>
      <c r="G151" s="52" t="n"/>
      <c r="H151" s="55" t="n"/>
      <c r="I151" s="71" t="n"/>
      <c r="J151" s="55" t="n"/>
      <c r="K151" s="18" t="n"/>
      <c r="L151" s="73" t="n"/>
      <c r="M151" s="73" t="n"/>
      <c r="N151" s="73" t="n"/>
      <c r="O151" s="19" t="n"/>
      <c r="P151" s="18" t="n"/>
      <c r="Q151" s="18" t="n"/>
      <c r="R151" s="73" t="n"/>
      <c r="S151" s="18" t="n"/>
      <c r="T151" s="18" t="n"/>
      <c r="U151" s="26">
        <f>D151+F151+-(H151+J151+L151+N151+P151+R151+T151)</f>
        <v/>
      </c>
      <c r="V151" t="inlineStr">
        <is>
          <t>LAMP</t>
        </is>
      </c>
    </row>
    <row r="152" ht="25.5" customHeight="1">
      <c r="A152" s="22">
        <f>A151+1</f>
        <v/>
      </c>
      <c r="B152" s="44" t="inlineStr">
        <is>
          <t>LED  DRIVER POWER 56 WATT 50/60 HZ</t>
        </is>
      </c>
      <c r="C152" s="123" t="inlineStr">
        <is>
          <t>PCS</t>
        </is>
      </c>
      <c r="D152" s="26">
        <f>'Week  (4)'!U152</f>
        <v/>
      </c>
      <c r="E152" s="124" t="n"/>
      <c r="F152" s="62" t="n"/>
      <c r="G152" s="25" t="n"/>
      <c r="H152" s="56" t="n"/>
      <c r="I152" s="19" t="n"/>
      <c r="J152" s="64" t="n"/>
      <c r="K152" s="18" t="n"/>
      <c r="L152" s="73" t="n"/>
      <c r="M152" s="73" t="n"/>
      <c r="N152" s="73" t="n"/>
      <c r="O152" s="19" t="n"/>
      <c r="P152" s="18" t="n"/>
      <c r="Q152" s="18" t="n"/>
      <c r="R152" s="73" t="n"/>
      <c r="S152" s="18" t="n"/>
      <c r="T152" s="18" t="n"/>
      <c r="U152" s="26">
        <f>D152+F152+-(H152+J152+L152+N152+P152+R152+T152)</f>
        <v/>
      </c>
      <c r="V152" t="inlineStr">
        <is>
          <t>LAMP</t>
        </is>
      </c>
    </row>
    <row r="153" ht="14.25" customHeight="1">
      <c r="A153" s="22">
        <f>A152+1</f>
        <v/>
      </c>
      <c r="B153" s="79" t="inlineStr">
        <is>
          <t xml:space="preserve">LAMPU LED PHILIPS 10 WATT </t>
        </is>
      </c>
      <c r="C153" s="29" t="inlineStr">
        <is>
          <t>Pcs</t>
        </is>
      </c>
      <c r="D153" s="26">
        <f>'Week  (4)'!U153</f>
        <v/>
      </c>
      <c r="E153" s="125" t="n">
        <v>46020</v>
      </c>
      <c r="F153" s="55" t="n">
        <v>12</v>
      </c>
      <c r="G153" s="72" t="n"/>
      <c r="H153" s="55" t="n"/>
      <c r="I153" s="71" t="inlineStr">
        <is>
          <t>Rechall</t>
        </is>
      </c>
      <c r="J153" s="55" t="n">
        <v>2</v>
      </c>
      <c r="K153" s="18" t="n"/>
      <c r="L153" s="73" t="n"/>
      <c r="M153" s="73" t="n"/>
      <c r="N153" s="73" t="n"/>
      <c r="O153" s="19" t="n"/>
      <c r="P153" s="18" t="n"/>
      <c r="Q153" s="19" t="n"/>
      <c r="R153" s="73" t="n"/>
      <c r="S153" s="18" t="n"/>
      <c r="T153" s="18" t="n"/>
      <c r="U153" s="26">
        <f>D153+F153+-(H153+J153+L153+N153+P153+R153+T153)</f>
        <v/>
      </c>
      <c r="V153" t="inlineStr">
        <is>
          <t>LAMP</t>
        </is>
      </c>
    </row>
    <row r="154" ht="14.25" customHeight="1">
      <c r="A154" s="22">
        <f>A153+1</f>
        <v/>
      </c>
      <c r="B154" s="79" t="inlineStr">
        <is>
          <t xml:space="preserve">LAMPU LED PHILIPS  8 WATT </t>
        </is>
      </c>
      <c r="C154" s="29" t="inlineStr">
        <is>
          <t>Pcs</t>
        </is>
      </c>
      <c r="D154" s="26">
        <f>'Week  (4)'!U154</f>
        <v/>
      </c>
      <c r="E154" s="124" t="n"/>
      <c r="F154" s="62" t="n"/>
      <c r="G154" s="25" t="n"/>
      <c r="H154" s="56" t="n"/>
      <c r="I154" s="19" t="n"/>
      <c r="J154" s="64" t="n"/>
      <c r="K154" s="18" t="n"/>
      <c r="L154" s="73" t="n"/>
      <c r="M154" s="73" t="n"/>
      <c r="N154" s="73" t="n"/>
      <c r="O154" s="19" t="n"/>
      <c r="P154" s="18" t="n"/>
      <c r="Q154" s="18" t="n"/>
      <c r="R154" s="73" t="n"/>
      <c r="S154" s="18" t="n"/>
      <c r="T154" s="18" t="n"/>
      <c r="U154" s="26">
        <f>D154+F154+-(H154+J154+L154+N154+P154+R154+T154)</f>
        <v/>
      </c>
      <c r="V154" t="inlineStr">
        <is>
          <t>LAMP</t>
        </is>
      </c>
    </row>
    <row r="155" ht="14.25" customHeight="1">
      <c r="A155" s="22">
        <f>A154+1</f>
        <v/>
      </c>
      <c r="B155" s="79" t="inlineStr">
        <is>
          <t>LAMPU LED PHILIPS 14,5 WATT</t>
        </is>
      </c>
      <c r="C155" s="29" t="inlineStr">
        <is>
          <t>Pcs</t>
        </is>
      </c>
      <c r="D155" s="26">
        <f>'Week  (4)'!U155</f>
        <v/>
      </c>
      <c r="E155" s="125" t="n"/>
      <c r="F155" s="55" t="n"/>
      <c r="G155" s="52" t="n"/>
      <c r="H155" s="55" t="n"/>
      <c r="I155" s="71" t="n"/>
      <c r="J155" s="55" t="n"/>
      <c r="K155" s="71" t="n"/>
      <c r="L155" s="55" t="n"/>
      <c r="M155" s="73" t="n"/>
      <c r="N155" s="73" t="n"/>
      <c r="O155" s="19" t="n"/>
      <c r="P155" s="18" t="n"/>
      <c r="Q155" s="19" t="n"/>
      <c r="R155" s="73" t="n"/>
      <c r="S155" s="18" t="n"/>
      <c r="T155" s="18" t="n"/>
      <c r="U155" s="26">
        <f>D155+F155+-(H155+J155+L155+N155+P155+R155+T155)</f>
        <v/>
      </c>
      <c r="V155" t="inlineStr">
        <is>
          <t>LAMP</t>
        </is>
      </c>
    </row>
    <row r="156" ht="25.5" customHeight="1">
      <c r="A156" s="22">
        <f>A155+1</f>
        <v/>
      </c>
      <c r="B156" s="79" t="inlineStr">
        <is>
          <t>LAMPU LED PHILIPS 6 WATT</t>
        </is>
      </c>
      <c r="C156" s="29" t="inlineStr">
        <is>
          <t>Pcs</t>
        </is>
      </c>
      <c r="D156" s="26">
        <f>'Week  (4)'!U156</f>
        <v/>
      </c>
      <c r="E156" s="129" t="n"/>
      <c r="F156" s="62" t="n"/>
      <c r="G156" s="68" t="inlineStr">
        <is>
          <t>Sulawesi 21 =1, Bali 24=1</t>
        </is>
      </c>
      <c r="H156" s="56">
        <f>1+1</f>
        <v/>
      </c>
      <c r="I156" s="19" t="inlineStr">
        <is>
          <t>Cafe=1, Timor 1=1</t>
        </is>
      </c>
      <c r="J156" s="64">
        <f>1+1</f>
        <v/>
      </c>
      <c r="K156" s="73" t="n"/>
      <c r="L156" s="73" t="n"/>
      <c r="M156" s="73" t="n"/>
      <c r="N156" s="73" t="n"/>
      <c r="O156" s="19" t="inlineStr">
        <is>
          <t>Sulawesi 6=4, Rechall =1</t>
        </is>
      </c>
      <c r="P156" s="18">
        <f>4+1</f>
        <v/>
      </c>
      <c r="Q156" s="19" t="n"/>
      <c r="R156" s="73" t="n"/>
      <c r="S156" s="19" t="n"/>
      <c r="T156" s="18" t="n"/>
      <c r="U156" s="26">
        <f>D156+F156+-(H156+J156+L156+N156+P156+R156+T156)</f>
        <v/>
      </c>
      <c r="V156" t="inlineStr">
        <is>
          <t>LAMP</t>
        </is>
      </c>
    </row>
    <row r="157" ht="25.5" customHeight="1">
      <c r="A157" s="22">
        <f>A156+1</f>
        <v/>
      </c>
      <c r="B157" s="44" t="inlineStr">
        <is>
          <t>Lampu REFLEKTOR TOKI RF220V 500W</t>
        </is>
      </c>
      <c r="C157" s="123" t="inlineStr">
        <is>
          <t>PCS</t>
        </is>
      </c>
      <c r="D157" s="26">
        <f>'Week  (4)'!U157</f>
        <v/>
      </c>
      <c r="E157" s="125" t="n"/>
      <c r="F157" s="55" t="n"/>
      <c r="G157" s="52" t="n"/>
      <c r="H157" s="55" t="n"/>
      <c r="I157" s="71" t="n"/>
      <c r="J157" s="55" t="n"/>
      <c r="K157" s="18" t="n"/>
      <c r="L157" s="73" t="n"/>
      <c r="M157" s="73" t="n"/>
      <c r="N157" s="73" t="n"/>
      <c r="O157" s="19" t="n"/>
      <c r="P157" s="18" t="n"/>
      <c r="Q157" s="18" t="n"/>
      <c r="R157" s="73" t="n"/>
      <c r="S157" s="18" t="n"/>
      <c r="T157" s="18" t="n"/>
      <c r="U157" s="26">
        <f>D157+F157+-(H157+J157+L157+N157+P157+R157+T157)</f>
        <v/>
      </c>
      <c r="V157" t="inlineStr">
        <is>
          <t>LAMP</t>
        </is>
      </c>
    </row>
    <row r="158" ht="15" customHeight="1">
      <c r="A158" s="22">
        <f>A157+1</f>
        <v/>
      </c>
      <c r="B158" s="122" t="inlineStr">
        <is>
          <t>Lem Fox</t>
        </is>
      </c>
      <c r="C158" s="123" t="inlineStr">
        <is>
          <t>Pcs</t>
        </is>
      </c>
      <c r="D158" s="26">
        <f>'Week  (4)'!U158</f>
        <v/>
      </c>
      <c r="E158" s="124" t="n"/>
      <c r="F158" s="62" t="n"/>
      <c r="G158" s="25" t="n"/>
      <c r="H158" s="56" t="n"/>
      <c r="I158" s="19" t="n"/>
      <c r="J158" s="64" t="n"/>
      <c r="K158" s="73" t="n"/>
      <c r="L158" s="73" t="n"/>
      <c r="M158" s="73" t="n"/>
      <c r="N158" s="73" t="n"/>
      <c r="O158" s="19" t="inlineStr">
        <is>
          <t>Lombok 18</t>
        </is>
      </c>
      <c r="P158" s="18" t="n">
        <v>1</v>
      </c>
      <c r="Q158" s="18" t="n"/>
      <c r="R158" s="73" t="n"/>
      <c r="S158" s="18" t="n"/>
      <c r="T158" s="18" t="n"/>
      <c r="U158" s="26">
        <f>D158+F158+-(H158+J158+L158+N158+P158+R158+T158)</f>
        <v/>
      </c>
      <c r="V158" t="inlineStr">
        <is>
          <t>CIVIL</t>
        </is>
      </c>
    </row>
    <row r="159" ht="15" customHeight="1">
      <c r="A159" s="22">
        <f>A158+1</f>
        <v/>
      </c>
      <c r="B159" s="122" t="inlineStr">
        <is>
          <t>Level Switch, RADAR</t>
        </is>
      </c>
      <c r="C159" s="123" t="inlineStr">
        <is>
          <t>PCS</t>
        </is>
      </c>
      <c r="D159" s="26">
        <f>'Week  (4)'!U159</f>
        <v/>
      </c>
      <c r="E159" s="125" t="n"/>
      <c r="F159" s="55" t="n"/>
      <c r="G159" s="52" t="n"/>
      <c r="H159" s="55" t="n"/>
      <c r="I159" s="71" t="n"/>
      <c r="J159" s="55" t="n"/>
      <c r="K159" s="18" t="n"/>
      <c r="L159" s="73" t="n"/>
      <c r="M159" s="73" t="n"/>
      <c r="N159" s="73" t="n"/>
      <c r="O159" s="19" t="n"/>
      <c r="P159" s="18" t="n"/>
      <c r="Q159" s="18" t="n"/>
      <c r="R159" s="73" t="n"/>
      <c r="S159" s="18" t="n"/>
      <c r="T159" s="18" t="n"/>
      <c r="U159" s="26">
        <f>D159+F159+-(H159+J159+L159+N159+P159+R159+T159)</f>
        <v/>
      </c>
      <c r="V159" t="inlineStr">
        <is>
          <t>SANITARY</t>
        </is>
      </c>
    </row>
    <row r="160" ht="15" customHeight="1">
      <c r="A160" s="22">
        <f>A159+1</f>
        <v/>
      </c>
      <c r="B160" s="122" t="inlineStr">
        <is>
          <t>FLOAT SWITCH</t>
        </is>
      </c>
      <c r="C160" s="123" t="inlineStr">
        <is>
          <t>PCS</t>
        </is>
      </c>
      <c r="D160" s="26">
        <f>'Week  (4)'!U160</f>
        <v/>
      </c>
      <c r="E160" s="124" t="n"/>
      <c r="F160" s="62" t="n"/>
      <c r="G160" s="25" t="n"/>
      <c r="H160" s="56" t="n"/>
      <c r="I160" s="19" t="n"/>
      <c r="J160" s="64" t="n"/>
      <c r="K160" s="18" t="n"/>
      <c r="L160" s="73" t="n"/>
      <c r="M160" s="73" t="n"/>
      <c r="N160" s="73" t="n"/>
      <c r="O160" s="19" t="n"/>
      <c r="P160" s="18" t="n"/>
      <c r="Q160" s="18" t="n"/>
      <c r="R160" s="73" t="n"/>
      <c r="S160" s="18" t="n"/>
      <c r="T160" s="18" t="n"/>
      <c r="U160" s="26">
        <f>D160+F160+-(H160+J160+L160+N160+P160+R160+T160)</f>
        <v/>
      </c>
      <c r="V160" t="inlineStr">
        <is>
          <t>SANITARY</t>
        </is>
      </c>
    </row>
    <row r="161" ht="15" customHeight="1">
      <c r="A161" s="22">
        <f>A160+1</f>
        <v/>
      </c>
      <c r="B161" s="122" t="inlineStr">
        <is>
          <t>Lock 808</t>
        </is>
      </c>
      <c r="C161" s="123" t="inlineStr">
        <is>
          <t>PCS</t>
        </is>
      </c>
      <c r="D161" s="26">
        <f>'Week  (4)'!U161</f>
        <v/>
      </c>
      <c r="E161" s="125" t="n"/>
      <c r="F161" s="55" t="n"/>
      <c r="G161" s="52" t="n"/>
      <c r="H161" s="55" t="n"/>
      <c r="I161" s="71" t="n"/>
      <c r="J161" s="55" t="n"/>
      <c r="K161" s="18" t="n"/>
      <c r="L161" s="73" t="n"/>
      <c r="M161" s="73" t="n"/>
      <c r="N161" s="73" t="n"/>
      <c r="O161" s="19" t="n"/>
      <c r="P161" s="18" t="n"/>
      <c r="Q161" s="18" t="n"/>
      <c r="R161" s="73" t="n"/>
      <c r="S161" s="18" t="n"/>
      <c r="T161" s="18" t="n"/>
      <c r="U161" s="26">
        <f>D161+F161+-(H161+J161+L161+N161+P161+R161+T161)</f>
        <v/>
      </c>
      <c r="V161" t="inlineStr">
        <is>
          <t>CIVIL</t>
        </is>
      </c>
    </row>
    <row r="162" ht="15" customHeight="1">
      <c r="A162" s="22">
        <f>A161+1</f>
        <v/>
      </c>
      <c r="B162" s="122" t="inlineStr">
        <is>
          <t>Pad Lock (Gembok )</t>
        </is>
      </c>
      <c r="C162" s="123" t="inlineStr">
        <is>
          <t>PCS</t>
        </is>
      </c>
      <c r="D162" s="26">
        <f>'Week  (4)'!U162</f>
        <v/>
      </c>
      <c r="E162" s="124" t="n"/>
      <c r="F162" s="62" t="n"/>
      <c r="G162" s="25" t="n"/>
      <c r="H162" s="56" t="n"/>
      <c r="I162" s="19" t="n"/>
      <c r="J162" s="64" t="n"/>
      <c r="K162" s="18" t="n"/>
      <c r="L162" s="73" t="n"/>
      <c r="M162" s="73" t="n"/>
      <c r="N162" s="73" t="n"/>
      <c r="O162" s="19" t="n"/>
      <c r="P162" s="18" t="n"/>
      <c r="Q162" s="18" t="n"/>
      <c r="R162" s="73" t="n"/>
      <c r="S162" s="18" t="n"/>
      <c r="T162" s="18" t="n"/>
      <c r="U162" s="26">
        <f>D162+F162+-(H162+J162+L162+N162+P162+R162+T162)</f>
        <v/>
      </c>
      <c r="V162" t="inlineStr">
        <is>
          <t>CIVIL</t>
        </is>
      </c>
    </row>
    <row r="163" ht="14.25" customHeight="1">
      <c r="A163" s="22">
        <f>A162+1</f>
        <v/>
      </c>
      <c r="B163" s="79" t="inlineStr">
        <is>
          <t>Magneto Stove 4 Burner</t>
        </is>
      </c>
      <c r="C163" s="29" t="inlineStr">
        <is>
          <t>Pcs</t>
        </is>
      </c>
      <c r="D163" s="26">
        <f>'Week  (4)'!U163</f>
        <v/>
      </c>
      <c r="E163" s="125" t="n"/>
      <c r="F163" s="55" t="n"/>
      <c r="G163" s="52" t="n"/>
      <c r="H163" s="55" t="n"/>
      <c r="I163" s="71" t="n"/>
      <c r="J163" s="55" t="n"/>
      <c r="K163" s="18" t="n"/>
      <c r="L163" s="73" t="n"/>
      <c r="M163" s="73" t="n"/>
      <c r="N163" s="73" t="n"/>
      <c r="O163" s="19" t="n"/>
      <c r="P163" s="18" t="n"/>
      <c r="Q163" s="18" t="n"/>
      <c r="R163" s="73" t="n"/>
      <c r="S163" s="18" t="n"/>
      <c r="T163" s="18" t="n"/>
      <c r="U163" s="26">
        <f>D163+F163+-(H163+J163+L163+N163+P163+R163+T163)</f>
        <v/>
      </c>
      <c r="V163" t="inlineStr">
        <is>
          <t>CONSUMABLE</t>
        </is>
      </c>
    </row>
    <row r="164" ht="14.25" customHeight="1">
      <c r="A164" s="22">
        <f>A163+1</f>
        <v/>
      </c>
      <c r="B164" s="79" t="inlineStr">
        <is>
          <t>Magneto Stove 6 Burner</t>
        </is>
      </c>
      <c r="C164" s="29" t="inlineStr">
        <is>
          <t>Pcs</t>
        </is>
      </c>
      <c r="D164" s="26">
        <f>'Week  (4)'!U164</f>
        <v/>
      </c>
      <c r="E164" s="124" t="n"/>
      <c r="F164" s="62" t="n"/>
      <c r="G164" s="25" t="n"/>
      <c r="H164" s="56" t="n"/>
      <c r="I164" s="19" t="n"/>
      <c r="J164" s="64" t="n"/>
      <c r="K164" s="18" t="n"/>
      <c r="L164" s="73" t="n"/>
      <c r="M164" s="73" t="n"/>
      <c r="N164" s="73" t="n"/>
      <c r="O164" s="19" t="n"/>
      <c r="P164" s="18" t="n"/>
      <c r="Q164" s="18" t="n"/>
      <c r="R164" s="73" t="n"/>
      <c r="S164" s="18" t="n"/>
      <c r="T164" s="18" t="n"/>
      <c r="U164" s="26">
        <f>D164+F164+-(H164+J164+L164+N164+P164+R164+T164)</f>
        <v/>
      </c>
      <c r="V164" t="inlineStr">
        <is>
          <t>CONSUMABLE</t>
        </is>
      </c>
    </row>
    <row r="165" ht="15" customHeight="1">
      <c r="A165" s="22">
        <f>A164+1</f>
        <v/>
      </c>
      <c r="B165" s="122" t="inlineStr">
        <is>
          <t>MCB 10 A - 1 Phase, Schneider</t>
        </is>
      </c>
      <c r="C165" s="123" t="inlineStr">
        <is>
          <t>PCS</t>
        </is>
      </c>
      <c r="D165" s="26">
        <f>'Week  (4)'!U165</f>
        <v/>
      </c>
      <c r="E165" s="125" t="n"/>
      <c r="F165" s="55" t="n"/>
      <c r="G165" s="52" t="n"/>
      <c r="H165" s="55" t="n"/>
      <c r="I165" s="71" t="n"/>
      <c r="J165" s="55" t="n"/>
      <c r="K165" s="18" t="n"/>
      <c r="L165" s="73" t="n"/>
      <c r="M165" s="73" t="n"/>
      <c r="N165" s="73" t="n"/>
      <c r="O165" s="19" t="n"/>
      <c r="P165" s="18" t="n"/>
      <c r="Q165" s="18" t="n"/>
      <c r="R165" s="73" t="n"/>
      <c r="S165" s="18" t="n"/>
      <c r="T165" s="18" t="n"/>
      <c r="U165" s="26">
        <f>D165+F165+-(H165+J165+L165+N165+P165+R165+T165)</f>
        <v/>
      </c>
      <c r="V165" t="inlineStr">
        <is>
          <t>ELECTRICAL</t>
        </is>
      </c>
    </row>
    <row r="166" ht="26.25" customHeight="1">
      <c r="A166" s="22">
        <f>A165+1</f>
        <v/>
      </c>
      <c r="B166" s="122" t="inlineStr">
        <is>
          <t>MCB 16 A - 1 Phase, Schneider</t>
        </is>
      </c>
      <c r="C166" s="123" t="inlineStr">
        <is>
          <t>PCS</t>
        </is>
      </c>
      <c r="D166" s="26">
        <f>'Week  (4)'!U166</f>
        <v/>
      </c>
      <c r="E166" s="124" t="n"/>
      <c r="F166" s="62" t="n"/>
      <c r="G166" s="25" t="n"/>
      <c r="H166" s="56" t="n"/>
      <c r="I166" s="19" t="n"/>
      <c r="J166" s="64" t="n"/>
      <c r="K166" s="18" t="n"/>
      <c r="L166" s="73" t="n"/>
      <c r="M166" s="73" t="n"/>
      <c r="N166" s="73" t="n"/>
      <c r="O166" s="19" t="n"/>
      <c r="P166" s="18" t="n"/>
      <c r="Q166" s="18" t="n"/>
      <c r="R166" s="73" t="n"/>
      <c r="S166" s="18" t="n"/>
      <c r="T166" s="18" t="n"/>
      <c r="U166" s="26">
        <f>D166+F166+-(H166+J166+L166+N166+P166+R166+T166)</f>
        <v/>
      </c>
      <c r="V166" t="inlineStr">
        <is>
          <t>ELECTRICAL</t>
        </is>
      </c>
    </row>
    <row r="167" ht="15" customHeight="1">
      <c r="A167" s="22">
        <f>A166+1</f>
        <v/>
      </c>
      <c r="B167" s="122" t="inlineStr">
        <is>
          <t>MCB 16 A - 3 phase</t>
        </is>
      </c>
      <c r="C167" s="123" t="inlineStr">
        <is>
          <t>PCS</t>
        </is>
      </c>
      <c r="D167" s="26">
        <f>'Week  (4)'!U167</f>
        <v/>
      </c>
      <c r="E167" s="125" t="n"/>
      <c r="F167" s="55" t="n"/>
      <c r="G167" s="52" t="n"/>
      <c r="H167" s="55" t="n"/>
      <c r="I167" s="71" t="n"/>
      <c r="J167" s="55" t="n"/>
      <c r="K167" s="18" t="n"/>
      <c r="L167" s="73" t="n"/>
      <c r="M167" s="73" t="n"/>
      <c r="N167" s="73" t="n"/>
      <c r="O167" s="19" t="n"/>
      <c r="P167" s="18" t="n"/>
      <c r="Q167" s="18" t="n"/>
      <c r="R167" s="73" t="n"/>
      <c r="S167" s="18" t="n"/>
      <c r="T167" s="18" t="n"/>
      <c r="U167" s="26">
        <f>D167+F167+-(H167+J167+L167+N167+P167+R167+T167)</f>
        <v/>
      </c>
      <c r="V167" t="inlineStr">
        <is>
          <t>ELECTRICAL</t>
        </is>
      </c>
    </row>
    <row r="168" ht="15" customHeight="1">
      <c r="A168" s="22">
        <f>A167+1</f>
        <v/>
      </c>
      <c r="B168" s="122" t="inlineStr">
        <is>
          <t>MCB 20 A - 1 phase</t>
        </is>
      </c>
      <c r="C168" s="123" t="inlineStr">
        <is>
          <t>PCS</t>
        </is>
      </c>
      <c r="D168" s="26">
        <f>'Week  (4)'!U168</f>
        <v/>
      </c>
      <c r="E168" s="124" t="n"/>
      <c r="F168" s="62" t="n"/>
      <c r="G168" s="25" t="n"/>
      <c r="H168" s="56" t="n"/>
      <c r="I168" s="19" t="n"/>
      <c r="J168" s="64" t="n"/>
      <c r="K168" s="18" t="n"/>
      <c r="L168" s="73" t="n"/>
      <c r="M168" s="73" t="n"/>
      <c r="N168" s="73" t="n"/>
      <c r="O168" s="19" t="n"/>
      <c r="P168" s="18" t="n"/>
      <c r="Q168" s="18" t="n"/>
      <c r="R168" s="73" t="n"/>
      <c r="S168" s="18" t="n"/>
      <c r="T168" s="18" t="n"/>
      <c r="U168" s="26">
        <f>D168+F168+-(H168+J168+L168+N168+P168+R168+T168)</f>
        <v/>
      </c>
      <c r="V168" t="inlineStr">
        <is>
          <t>ELECTRICAL</t>
        </is>
      </c>
    </row>
    <row r="169" ht="15" customHeight="1">
      <c r="A169" s="22">
        <f>A168+1</f>
        <v/>
      </c>
      <c r="B169" s="122" t="inlineStr">
        <is>
          <t>MCB 20 A - 3 phase</t>
        </is>
      </c>
      <c r="C169" s="123" t="inlineStr">
        <is>
          <t>PCS</t>
        </is>
      </c>
      <c r="D169" s="26">
        <f>'Week  (4)'!U169</f>
        <v/>
      </c>
      <c r="E169" s="125" t="n"/>
      <c r="F169" s="55" t="n"/>
      <c r="G169" s="52" t="n"/>
      <c r="H169" s="55" t="n"/>
      <c r="I169" s="71" t="n"/>
      <c r="J169" s="55" t="n"/>
      <c r="K169" s="18" t="n"/>
      <c r="L169" s="73" t="n"/>
      <c r="M169" s="73" t="n"/>
      <c r="N169" s="73" t="n"/>
      <c r="O169" s="19" t="n"/>
      <c r="P169" s="18" t="n"/>
      <c r="Q169" s="18" t="n"/>
      <c r="R169" s="73" t="n"/>
      <c r="S169" s="18" t="n"/>
      <c r="T169" s="18" t="n"/>
      <c r="U169" s="26">
        <f>D169+F169+-(H169+J169+L169+N169+P169+R169+T169)</f>
        <v/>
      </c>
      <c r="V169" t="inlineStr">
        <is>
          <t>ELECTRICAL</t>
        </is>
      </c>
    </row>
    <row r="170" ht="15" customHeight="1">
      <c r="A170" s="22">
        <f>A169+1</f>
        <v/>
      </c>
      <c r="B170" s="122" t="inlineStr">
        <is>
          <t>MCB 32 A - 1 phase</t>
        </is>
      </c>
      <c r="C170" s="123" t="inlineStr">
        <is>
          <t>PCS</t>
        </is>
      </c>
      <c r="D170" s="26">
        <f>'Week  (4)'!U170</f>
        <v/>
      </c>
      <c r="E170" s="124" t="n"/>
      <c r="F170" s="62" t="n"/>
      <c r="G170" s="25" t="n"/>
      <c r="H170" s="56" t="n"/>
      <c r="I170" s="19" t="n"/>
      <c r="J170" s="64" t="n"/>
      <c r="K170" s="18" t="n"/>
      <c r="L170" s="73" t="n"/>
      <c r="M170" s="73" t="n"/>
      <c r="N170" s="73" t="n"/>
      <c r="O170" s="19" t="n"/>
      <c r="P170" s="18" t="n"/>
      <c r="Q170" s="18" t="n"/>
      <c r="R170" s="73" t="n"/>
      <c r="S170" s="18" t="n"/>
      <c r="T170" s="18" t="n"/>
      <c r="U170" s="26">
        <f>D170+F170+-(H170+J170+L170+N170+P170+R170+T170)</f>
        <v/>
      </c>
      <c r="V170" t="inlineStr">
        <is>
          <t>ELECTRICAL</t>
        </is>
      </c>
    </row>
    <row r="171" ht="15" customHeight="1">
      <c r="A171" s="22">
        <f>A170+1</f>
        <v/>
      </c>
      <c r="B171" s="122" t="inlineStr">
        <is>
          <t>MCB 63 A - 1 Phase, Schneider</t>
        </is>
      </c>
      <c r="C171" s="123" t="inlineStr">
        <is>
          <t>PCS</t>
        </is>
      </c>
      <c r="D171" s="26">
        <f>'Week  (4)'!U171</f>
        <v/>
      </c>
      <c r="E171" s="125" t="n"/>
      <c r="F171" s="55" t="n"/>
      <c r="G171" s="52" t="n"/>
      <c r="H171" s="55" t="n"/>
      <c r="I171" s="71" t="n"/>
      <c r="J171" s="55" t="n"/>
      <c r="K171" s="18" t="n"/>
      <c r="L171" s="73" t="n"/>
      <c r="M171" s="73" t="n"/>
      <c r="N171" s="73" t="n"/>
      <c r="O171" s="19" t="n"/>
      <c r="P171" s="18" t="n"/>
      <c r="Q171" s="18" t="n"/>
      <c r="R171" s="73" t="n"/>
      <c r="S171" s="18" t="n"/>
      <c r="T171" s="18" t="n"/>
      <c r="U171" s="26">
        <f>D171+F171+-(H171+J171+L171+N171+P171+R171+T171)</f>
        <v/>
      </c>
      <c r="V171" t="inlineStr">
        <is>
          <t>ELECTRICAL</t>
        </is>
      </c>
    </row>
    <row r="172" ht="15" customHeight="1">
      <c r="A172" s="22">
        <f>A171+1</f>
        <v/>
      </c>
      <c r="B172" s="122" t="inlineStr">
        <is>
          <t>MCB 32 A - 3 phase</t>
        </is>
      </c>
      <c r="C172" s="123" t="inlineStr">
        <is>
          <t>PCS</t>
        </is>
      </c>
      <c r="D172" s="26">
        <f>'Week  (4)'!U172</f>
        <v/>
      </c>
      <c r="E172" s="124" t="n"/>
      <c r="F172" s="62" t="n"/>
      <c r="G172" s="25" t="n"/>
      <c r="H172" s="56" t="n"/>
      <c r="I172" s="19" t="n"/>
      <c r="J172" s="64" t="n"/>
      <c r="K172" s="18" t="n"/>
      <c r="L172" s="73" t="n"/>
      <c r="M172" s="73" t="n"/>
      <c r="N172" s="73" t="n"/>
      <c r="O172" s="19" t="n"/>
      <c r="P172" s="18" t="n"/>
      <c r="Q172" s="18" t="n"/>
      <c r="R172" s="73" t="n"/>
      <c r="S172" s="18" t="n"/>
      <c r="T172" s="18" t="n"/>
      <c r="U172" s="26">
        <f>D172+F172+-(H172+J172+L172+N172+P172+R172+T172)</f>
        <v/>
      </c>
      <c r="V172" t="inlineStr">
        <is>
          <t>ELECTRICAL</t>
        </is>
      </c>
    </row>
    <row r="173" ht="15" customHeight="1">
      <c r="A173" s="22">
        <f>A172+1</f>
        <v/>
      </c>
      <c r="B173" s="122" t="inlineStr">
        <is>
          <t>MCB 50 A - 1 phase</t>
        </is>
      </c>
      <c r="C173" s="123" t="inlineStr">
        <is>
          <t>PCS</t>
        </is>
      </c>
      <c r="D173" s="26">
        <f>'Week  (4)'!U173</f>
        <v/>
      </c>
      <c r="E173" s="125" t="n"/>
      <c r="F173" s="55" t="n"/>
      <c r="G173" s="52" t="n"/>
      <c r="H173" s="55" t="n"/>
      <c r="I173" s="71" t="n"/>
      <c r="J173" s="55" t="n"/>
      <c r="K173" s="18" t="n"/>
      <c r="L173" s="73" t="n"/>
      <c r="M173" s="73" t="n"/>
      <c r="N173" s="73" t="n"/>
      <c r="O173" s="19" t="n"/>
      <c r="P173" s="18" t="n"/>
      <c r="Q173" s="19" t="n"/>
      <c r="R173" s="73" t="n"/>
      <c r="S173" s="18" t="n"/>
      <c r="T173" s="18" t="n"/>
      <c r="U173" s="26">
        <f>D173+F173+-(H173+J173+L173+N173+P173+R173+T173)</f>
        <v/>
      </c>
      <c r="V173" t="inlineStr">
        <is>
          <t>ELECTRICAL</t>
        </is>
      </c>
    </row>
    <row r="174" ht="15" customHeight="1">
      <c r="A174" s="22">
        <f>A173+1</f>
        <v/>
      </c>
      <c r="B174" s="122" t="inlineStr">
        <is>
          <t>MCB 6 A - 1 Phase, Schneider</t>
        </is>
      </c>
      <c r="C174" s="123" t="inlineStr">
        <is>
          <t>PCS</t>
        </is>
      </c>
      <c r="D174" s="26">
        <f>'Week  (4)'!U174</f>
        <v/>
      </c>
      <c r="E174" s="124" t="n"/>
      <c r="F174" s="62" t="n"/>
      <c r="G174" s="25" t="n"/>
      <c r="H174" s="56" t="n"/>
      <c r="I174" s="19" t="n"/>
      <c r="J174" s="64" t="n"/>
      <c r="K174" s="18" t="n"/>
      <c r="L174" s="73" t="n"/>
      <c r="M174" s="73" t="n"/>
      <c r="N174" s="73" t="n"/>
      <c r="O174" s="73" t="n"/>
      <c r="P174" s="73" t="n"/>
      <c r="Q174" s="18" t="n"/>
      <c r="R174" s="73" t="n"/>
      <c r="S174" s="18" t="n"/>
      <c r="T174" s="18" t="n"/>
      <c r="U174" s="26">
        <f>D174+F174+-(H174+J174+L174+N174+P174+R174+T174)</f>
        <v/>
      </c>
      <c r="V174" t="inlineStr">
        <is>
          <t>ELECTRICAL</t>
        </is>
      </c>
    </row>
    <row r="175" ht="15" customHeight="1">
      <c r="A175" s="22">
        <f>A174+1</f>
        <v/>
      </c>
      <c r="B175" s="122" t="inlineStr">
        <is>
          <t>MCB 63 A - 3 Phase, Schneider</t>
        </is>
      </c>
      <c r="C175" s="123" t="inlineStr">
        <is>
          <t>PCS</t>
        </is>
      </c>
      <c r="D175" s="26">
        <f>'Week  (4)'!U175</f>
        <v/>
      </c>
      <c r="E175" s="125" t="n"/>
      <c r="F175" s="55" t="n"/>
      <c r="G175" s="52" t="n"/>
      <c r="H175" s="55" t="n"/>
      <c r="I175" s="71" t="n"/>
      <c r="J175" s="55" t="n"/>
      <c r="K175" s="18" t="n"/>
      <c r="L175" s="73" t="n"/>
      <c r="M175" s="73" t="n"/>
      <c r="N175" s="73" t="n"/>
      <c r="O175" s="19" t="n"/>
      <c r="P175" s="18" t="n"/>
      <c r="Q175" s="18" t="n"/>
      <c r="R175" s="73" t="n"/>
      <c r="S175" s="18" t="n"/>
      <c r="T175" s="18" t="n"/>
      <c r="U175" s="26">
        <f>D175+F175+-(H175+J175+L175+N175+P175+R175+T175)</f>
        <v/>
      </c>
      <c r="V175" t="inlineStr">
        <is>
          <t>ELECTRICAL</t>
        </is>
      </c>
    </row>
    <row r="176" ht="15" customHeight="1">
      <c r="A176" s="22">
        <f>A175+1</f>
        <v/>
      </c>
      <c r="B176" s="122" t="inlineStr">
        <is>
          <t>MCCB 60 A EZC 1000BSchneider</t>
        </is>
      </c>
      <c r="C176" s="123" t="inlineStr">
        <is>
          <t>PCS</t>
        </is>
      </c>
      <c r="D176" s="26">
        <f>'Week  (4)'!U176</f>
        <v/>
      </c>
      <c r="E176" s="124" t="n"/>
      <c r="F176" s="62" t="n"/>
      <c r="G176" s="25" t="n"/>
      <c r="H176" s="56" t="n"/>
      <c r="I176" s="19" t="n"/>
      <c r="J176" s="64" t="n"/>
      <c r="K176" s="18" t="n"/>
      <c r="L176" s="73" t="n"/>
      <c r="M176" s="73" t="n"/>
      <c r="N176" s="73" t="n"/>
      <c r="O176" s="19" t="n"/>
      <c r="P176" s="18" t="n"/>
      <c r="Q176" s="18" t="n"/>
      <c r="R176" s="73" t="n"/>
      <c r="S176" s="18" t="n"/>
      <c r="T176" s="18" t="n"/>
      <c r="U176" s="26">
        <f>D176+F176+-(H176+J176+L176+N176+P176+R176+T176)</f>
        <v/>
      </c>
      <c r="V176" t="inlineStr">
        <is>
          <t>ELECTRICAL</t>
        </is>
      </c>
    </row>
    <row r="177" ht="15" customHeight="1">
      <c r="A177" s="22">
        <f>A176+1</f>
        <v/>
      </c>
      <c r="B177" s="122" t="inlineStr">
        <is>
          <t>Mechanical seal 560-20</t>
        </is>
      </c>
      <c r="C177" s="123" t="inlineStr">
        <is>
          <t>PCS</t>
        </is>
      </c>
      <c r="D177" s="26">
        <f>'Week  (4)'!U177</f>
        <v/>
      </c>
      <c r="E177" s="125" t="n"/>
      <c r="F177" s="55" t="n"/>
      <c r="G177" s="52" t="n"/>
      <c r="H177" s="55" t="n"/>
      <c r="I177" s="71" t="n"/>
      <c r="J177" s="55" t="n"/>
      <c r="K177" s="18" t="n"/>
      <c r="L177" s="73" t="n"/>
      <c r="M177" s="73" t="n"/>
      <c r="N177" s="73" t="n"/>
      <c r="O177" s="19" t="n"/>
      <c r="P177" s="18" t="n"/>
      <c r="Q177" s="18" t="n"/>
      <c r="R177" s="73" t="n"/>
      <c r="S177" s="18" t="n"/>
      <c r="T177" s="18" t="n"/>
      <c r="U177" s="26">
        <f>D177+F177+-(H177+J177+L177+N177+P177+R177+T177)</f>
        <v/>
      </c>
      <c r="V177" t="inlineStr">
        <is>
          <t>MECHANICAL</t>
        </is>
      </c>
    </row>
    <row r="178" ht="30" customHeight="1">
      <c r="A178" s="22">
        <f>A177+1</f>
        <v/>
      </c>
      <c r="B178" s="122" t="inlineStr">
        <is>
          <t>Modul Indoor AC 1,5 PK Panasonic</t>
        </is>
      </c>
      <c r="C178" s="123" t="inlineStr">
        <is>
          <t>PCS</t>
        </is>
      </c>
      <c r="D178" s="26">
        <f>'Week  (4)'!U178</f>
        <v/>
      </c>
      <c r="E178" s="124" t="n"/>
      <c r="F178" s="62" t="n"/>
      <c r="G178" s="25" t="n"/>
      <c r="H178" s="56" t="n"/>
      <c r="I178" s="19" t="n"/>
      <c r="J178" s="64" t="n"/>
      <c r="K178" s="18" t="n"/>
      <c r="L178" s="73" t="n"/>
      <c r="M178" s="73" t="n"/>
      <c r="N178" s="73" t="n"/>
      <c r="O178" s="19" t="n"/>
      <c r="P178" s="18" t="n"/>
      <c r="Q178" s="18" t="n"/>
      <c r="R178" s="73" t="n"/>
      <c r="S178" s="18" t="n"/>
      <c r="T178" s="18" t="n"/>
      <c r="U178" s="26">
        <f>D178+F178+-(H178+J178+L178+N178+P178+R178+T178)</f>
        <v/>
      </c>
      <c r="V178" t="inlineStr">
        <is>
          <t>AC</t>
        </is>
      </c>
    </row>
    <row r="179" ht="15" customHeight="1">
      <c r="A179" s="22">
        <f>A178+1</f>
        <v/>
      </c>
      <c r="B179" s="122" t="inlineStr">
        <is>
          <t>Mowilek  503</t>
        </is>
      </c>
      <c r="C179" s="123" t="inlineStr">
        <is>
          <t>KG</t>
        </is>
      </c>
      <c r="D179" s="26">
        <f>'Week  (4)'!U179</f>
        <v/>
      </c>
      <c r="E179" s="125" t="n"/>
      <c r="F179" s="55" t="n"/>
      <c r="G179" s="52" t="n"/>
      <c r="H179" s="55" t="n"/>
      <c r="I179" s="71" t="n"/>
      <c r="J179" s="55" t="n"/>
      <c r="K179" s="18" t="n"/>
      <c r="L179" s="73" t="n"/>
      <c r="M179" s="73" t="n"/>
      <c r="N179" s="73" t="n"/>
      <c r="O179" s="19" t="n"/>
      <c r="P179" s="18" t="n"/>
      <c r="Q179" s="18" t="n"/>
      <c r="R179" s="73" t="n"/>
      <c r="S179" s="18" t="n"/>
      <c r="T179" s="18" t="n"/>
      <c r="U179" s="26">
        <f>D179+F179+-(H179+J179+L179+N179+P179+R179+T179)</f>
        <v/>
      </c>
      <c r="V179" t="inlineStr">
        <is>
          <t>CIVIL</t>
        </is>
      </c>
    </row>
    <row r="180" ht="15" customHeight="1">
      <c r="A180" s="22">
        <f>A179+1</f>
        <v/>
      </c>
      <c r="B180" s="122" t="inlineStr">
        <is>
          <t>NO DROP</t>
        </is>
      </c>
      <c r="C180" s="123" t="inlineStr">
        <is>
          <t>KG</t>
        </is>
      </c>
      <c r="D180" s="26">
        <f>'Week  (4)'!U180</f>
        <v/>
      </c>
      <c r="E180" s="124" t="n"/>
      <c r="F180" s="62" t="n"/>
      <c r="G180" s="68" t="n"/>
      <c r="H180" s="69" t="n"/>
      <c r="I180" s="19" t="n"/>
      <c r="J180" s="64" t="n"/>
      <c r="K180" s="18" t="n"/>
      <c r="L180" s="73" t="n"/>
      <c r="M180" s="73" t="n"/>
      <c r="N180" s="73" t="n"/>
      <c r="O180" s="19" t="n"/>
      <c r="P180" s="18" t="n"/>
      <c r="Q180" s="18" t="n"/>
      <c r="R180" s="73" t="n"/>
      <c r="S180" s="18" t="n"/>
      <c r="T180" s="18" t="n"/>
      <c r="U180" s="26">
        <f>D180+F180+-(H180+J180+L180+N180+P180+R180+T180)</f>
        <v/>
      </c>
      <c r="V180" t="inlineStr">
        <is>
          <t>CIVIL</t>
        </is>
      </c>
    </row>
    <row r="181" ht="15" customHeight="1">
      <c r="A181" s="22">
        <f>A180+1</f>
        <v/>
      </c>
      <c r="B181" s="122" t="inlineStr">
        <is>
          <t>NO DROP KASSA</t>
        </is>
      </c>
      <c r="C181" s="123" t="inlineStr">
        <is>
          <t>PCS</t>
        </is>
      </c>
      <c r="D181" s="26">
        <f>'Week  (4)'!U181</f>
        <v/>
      </c>
      <c r="E181" s="125" t="n"/>
      <c r="F181" s="55" t="n"/>
      <c r="G181" s="68" t="n"/>
      <c r="H181" s="56" t="n"/>
      <c r="I181" s="19" t="n"/>
      <c r="J181" s="55" t="n"/>
      <c r="K181" s="18" t="n"/>
      <c r="L181" s="73" t="n"/>
      <c r="M181" s="73" t="n"/>
      <c r="N181" s="73" t="n"/>
      <c r="O181" s="19" t="n"/>
      <c r="P181" s="18" t="n"/>
      <c r="Q181" s="18" t="n"/>
      <c r="R181" s="73" t="n"/>
      <c r="S181" s="18" t="n"/>
      <c r="T181" s="18" t="n"/>
      <c r="U181" s="26">
        <f>D181+F181+-(H181+J181+L181+N181+P181+R181+T181)</f>
        <v/>
      </c>
      <c r="V181" t="inlineStr">
        <is>
          <t>CIVIL</t>
        </is>
      </c>
    </row>
    <row r="182" ht="30" customHeight="1">
      <c r="A182" s="22">
        <f>A181+1</f>
        <v/>
      </c>
      <c r="B182" s="122" t="inlineStr">
        <is>
          <t>OIL COMPRESSOR SUNISO, 4 TR</t>
        </is>
      </c>
      <c r="C182" s="123" t="inlineStr">
        <is>
          <t>GLN</t>
        </is>
      </c>
      <c r="D182" s="26">
        <f>'Week  (4)'!U182</f>
        <v/>
      </c>
      <c r="E182" s="124" t="n"/>
      <c r="F182" s="62" t="n"/>
      <c r="G182" s="25" t="n"/>
      <c r="H182" s="56" t="n"/>
      <c r="I182" s="19" t="n"/>
      <c r="J182" s="64" t="n"/>
      <c r="K182" s="18" t="n"/>
      <c r="L182" s="73" t="n"/>
      <c r="M182" s="73" t="n"/>
      <c r="N182" s="73" t="n"/>
      <c r="O182" s="19" t="n"/>
      <c r="P182" s="18" t="n"/>
      <c r="Q182" s="18" t="n"/>
      <c r="R182" s="73" t="n"/>
      <c r="S182" s="18" t="n"/>
      <c r="T182" s="18" t="n"/>
      <c r="U182" s="26">
        <f>D182+F182+-(H182+J182+L182+N182+P182+R182+T182)</f>
        <v/>
      </c>
      <c r="V182" t="inlineStr">
        <is>
          <t>OIL &amp; GAS</t>
        </is>
      </c>
    </row>
    <row r="183" ht="15" customHeight="1">
      <c r="A183" s="22">
        <f>A182+1</f>
        <v/>
      </c>
      <c r="B183" s="122" t="inlineStr">
        <is>
          <t>OIL MEDITRAN SX , 4 LTR</t>
        </is>
      </c>
      <c r="C183" s="123" t="inlineStr">
        <is>
          <t>GLN</t>
        </is>
      </c>
      <c r="D183" s="26">
        <f>'Week  (4)'!U183</f>
        <v/>
      </c>
      <c r="E183" s="125" t="n"/>
      <c r="F183" s="55" t="n"/>
      <c r="G183" s="52" t="n"/>
      <c r="H183" s="55" t="n"/>
      <c r="I183" s="71" t="n"/>
      <c r="J183" s="55" t="n"/>
      <c r="K183" s="18" t="n"/>
      <c r="L183" s="73" t="n"/>
      <c r="M183" s="73" t="n"/>
      <c r="N183" s="73" t="n"/>
      <c r="O183" s="19" t="n"/>
      <c r="P183" s="18" t="n"/>
      <c r="Q183" s="18" t="n"/>
      <c r="R183" s="73" t="n"/>
      <c r="S183" s="18" t="n"/>
      <c r="T183" s="18" t="n"/>
      <c r="U183" s="26">
        <f>D183+F183+-(H183+J183+L183+N183+P183+R183+T183)</f>
        <v/>
      </c>
      <c r="V183" t="inlineStr">
        <is>
          <t>OIL &amp; GAS</t>
        </is>
      </c>
    </row>
    <row r="184" ht="30" customHeight="1">
      <c r="A184" s="22">
        <f>A183+1</f>
        <v/>
      </c>
      <c r="B184" s="122" t="inlineStr">
        <is>
          <t>Over Load Relay  LRD 08, SCHNEIDER 4 A</t>
        </is>
      </c>
      <c r="C184" s="123" t="inlineStr">
        <is>
          <t>PCS</t>
        </is>
      </c>
      <c r="D184" s="26">
        <f>'Week  (4)'!U184</f>
        <v/>
      </c>
      <c r="E184" s="124" t="n"/>
      <c r="F184" s="62" t="n"/>
      <c r="G184" s="25" t="n"/>
      <c r="H184" s="56" t="n"/>
      <c r="I184" s="19" t="n"/>
      <c r="J184" s="64" t="n"/>
      <c r="K184" s="18" t="n"/>
      <c r="L184" s="73" t="n"/>
      <c r="M184" s="73" t="n"/>
      <c r="N184" s="73" t="n"/>
      <c r="O184" s="19" t="n"/>
      <c r="P184" s="18" t="n"/>
      <c r="Q184" s="18" t="n"/>
      <c r="R184" s="73" t="n"/>
      <c r="S184" s="18" t="n"/>
      <c r="T184" s="18" t="n"/>
      <c r="U184" s="26">
        <f>D184+F184+-(H184+J184+L184+N184+P184+R184+T184)</f>
        <v/>
      </c>
      <c r="V184" t="inlineStr">
        <is>
          <t>ELECTRICAL</t>
        </is>
      </c>
    </row>
    <row r="185" ht="30" customHeight="1">
      <c r="A185" s="22">
        <f>A184+1</f>
        <v/>
      </c>
      <c r="B185" s="122" t="inlineStr">
        <is>
          <t>Over Load  Relay LRD 10, SCHNEIDER 6 A</t>
        </is>
      </c>
      <c r="C185" s="123" t="inlineStr">
        <is>
          <t>PCS</t>
        </is>
      </c>
      <c r="D185" s="26">
        <f>'Week  (4)'!U185</f>
        <v/>
      </c>
      <c r="E185" s="125" t="n"/>
      <c r="F185" s="55" t="n"/>
      <c r="G185" s="52" t="n"/>
      <c r="H185" s="55" t="n"/>
      <c r="I185" s="71" t="n"/>
      <c r="J185" s="55" t="n"/>
      <c r="K185" s="18" t="n"/>
      <c r="L185" s="73" t="n"/>
      <c r="M185" s="73" t="n"/>
      <c r="N185" s="73" t="n"/>
      <c r="O185" s="19" t="n"/>
      <c r="P185" s="18" t="n"/>
      <c r="Q185" s="18" t="n"/>
      <c r="R185" s="73" t="n"/>
      <c r="S185" s="18" t="n"/>
      <c r="T185" s="18" t="n"/>
      <c r="U185" s="26">
        <f>D185+F185+-(H185+J185+L185+N185+P185+R185+T185)</f>
        <v/>
      </c>
      <c r="V185" t="inlineStr">
        <is>
          <t>ELECTRICAL</t>
        </is>
      </c>
    </row>
    <row r="186" ht="30" customHeight="1">
      <c r="A186" s="22">
        <f>A185+1</f>
        <v/>
      </c>
      <c r="B186" s="122" t="inlineStr">
        <is>
          <t>Over Load  Relay LRD 12 , SCHNEIDER 8 A</t>
        </is>
      </c>
      <c r="C186" s="123" t="inlineStr">
        <is>
          <t>PCS</t>
        </is>
      </c>
      <c r="D186" s="26">
        <f>'Week  (4)'!U186</f>
        <v/>
      </c>
      <c r="E186" s="124" t="n"/>
      <c r="F186" s="62" t="n"/>
      <c r="G186" s="25" t="n"/>
      <c r="H186" s="56" t="n"/>
      <c r="I186" s="19" t="n"/>
      <c r="J186" s="64" t="n"/>
      <c r="K186" s="18" t="n"/>
      <c r="L186" s="73" t="n"/>
      <c r="M186" s="73" t="n"/>
      <c r="N186" s="73" t="n"/>
      <c r="O186" s="19" t="n"/>
      <c r="P186" s="18" t="n"/>
      <c r="Q186" s="18" t="n"/>
      <c r="R186" s="73" t="n"/>
      <c r="S186" s="18" t="n"/>
      <c r="T186" s="18" t="n"/>
      <c r="U186" s="26">
        <f>D186+F186+-(H186+J186+L186+N186+P186+R186+T186)</f>
        <v/>
      </c>
      <c r="V186" t="inlineStr">
        <is>
          <t>ELECTRICAL</t>
        </is>
      </c>
    </row>
    <row r="187" ht="30" customHeight="1">
      <c r="A187" s="22">
        <f>A186+1</f>
        <v/>
      </c>
      <c r="B187" s="122" t="inlineStr">
        <is>
          <t>Over Load  Relay LRD 14, SCHNEIDER 10 A</t>
        </is>
      </c>
      <c r="C187" s="123" t="inlineStr">
        <is>
          <t>PCS</t>
        </is>
      </c>
      <c r="D187" s="26">
        <f>'Week  (4)'!U187</f>
        <v/>
      </c>
      <c r="E187" s="125" t="n"/>
      <c r="F187" s="55" t="n"/>
      <c r="G187" s="52" t="n"/>
      <c r="H187" s="55" t="n"/>
      <c r="I187" s="71" t="n"/>
      <c r="J187" s="55" t="n"/>
      <c r="K187" s="18" t="n"/>
      <c r="L187" s="73" t="n"/>
      <c r="M187" s="73" t="n"/>
      <c r="N187" s="73" t="n"/>
      <c r="O187" s="19" t="n"/>
      <c r="P187" s="18" t="n"/>
      <c r="Q187" s="18" t="n"/>
      <c r="R187" s="73" t="n"/>
      <c r="S187" s="18" t="n"/>
      <c r="T187" s="18" t="n"/>
      <c r="U187" s="26">
        <f>D187+F187+-(H187+J187+L187+N187+P187+R187+T187)</f>
        <v/>
      </c>
      <c r="V187" t="inlineStr">
        <is>
          <t>ELECTRICAL</t>
        </is>
      </c>
    </row>
    <row r="188" ht="30" customHeight="1">
      <c r="A188" s="22">
        <f>A187+1</f>
        <v/>
      </c>
      <c r="B188" s="122" t="inlineStr">
        <is>
          <t>Over Load  Relay LRD 16, SCHNEIDER 13</t>
        </is>
      </c>
      <c r="C188" s="123" t="inlineStr">
        <is>
          <t>PCS</t>
        </is>
      </c>
      <c r="D188" s="26">
        <f>'Week  (4)'!U188</f>
        <v/>
      </c>
      <c r="E188" s="124" t="n"/>
      <c r="F188" s="62" t="n"/>
      <c r="G188" s="25" t="n"/>
      <c r="H188" s="56" t="n"/>
      <c r="I188" s="19" t="n"/>
      <c r="J188" s="64" t="n"/>
      <c r="K188" s="18" t="n"/>
      <c r="L188" s="73" t="n"/>
      <c r="M188" s="73" t="n"/>
      <c r="N188" s="73" t="n"/>
      <c r="O188" s="19" t="n"/>
      <c r="P188" s="18" t="n"/>
      <c r="Q188" s="18" t="n"/>
      <c r="R188" s="73" t="n"/>
      <c r="S188" s="18" t="n"/>
      <c r="T188" s="18" t="n"/>
      <c r="U188" s="26">
        <f>D188+F188+-(H188+J188+L188+N188+P188+R188+T188)</f>
        <v/>
      </c>
      <c r="V188" t="inlineStr">
        <is>
          <t>ELECTRICAL</t>
        </is>
      </c>
    </row>
    <row r="189" ht="30" customHeight="1">
      <c r="A189" s="22">
        <f>A188+1</f>
        <v/>
      </c>
      <c r="B189" s="122" t="inlineStr">
        <is>
          <t>Over Load  Relay LRD 21, SCHNEIDER 18 A</t>
        </is>
      </c>
      <c r="C189" s="123" t="inlineStr">
        <is>
          <t>PCS</t>
        </is>
      </c>
      <c r="D189" s="26">
        <f>'Week  (4)'!U189</f>
        <v/>
      </c>
      <c r="E189" s="125" t="n"/>
      <c r="F189" s="55" t="n"/>
      <c r="G189" s="52" t="n"/>
      <c r="H189" s="55" t="n"/>
      <c r="I189" s="71" t="n"/>
      <c r="J189" s="55" t="n"/>
      <c r="K189" s="18" t="n"/>
      <c r="L189" s="73" t="n"/>
      <c r="M189" s="73" t="n"/>
      <c r="N189" s="73" t="n"/>
      <c r="O189" s="19" t="n"/>
      <c r="P189" s="18" t="n"/>
      <c r="Q189" s="18" t="n"/>
      <c r="R189" s="73" t="n"/>
      <c r="S189" s="18" t="n"/>
      <c r="T189" s="18" t="n"/>
      <c r="U189" s="26">
        <f>D189+F189+-(H189+J189+L189+N189+P189+R189+T189)</f>
        <v/>
      </c>
      <c r="V189" t="inlineStr">
        <is>
          <t>ELECTRICAL</t>
        </is>
      </c>
    </row>
    <row r="190" ht="30" customHeight="1">
      <c r="A190" s="22">
        <f>A189+1</f>
        <v/>
      </c>
      <c r="B190" s="122" t="inlineStr">
        <is>
          <t>Over Load  Relay LRD 22, SCHNEIDER 24 A</t>
        </is>
      </c>
      <c r="C190" s="123" t="inlineStr">
        <is>
          <t>PCS</t>
        </is>
      </c>
      <c r="D190" s="26">
        <f>'Week  (4)'!U190</f>
        <v/>
      </c>
      <c r="E190" s="124" t="n"/>
      <c r="F190" s="62" t="n"/>
      <c r="G190" s="25" t="n"/>
      <c r="H190" s="56" t="n"/>
      <c r="I190" s="19" t="n"/>
      <c r="J190" s="64" t="n"/>
      <c r="K190" s="18" t="n"/>
      <c r="L190" s="73" t="n"/>
      <c r="M190" s="73" t="n"/>
      <c r="N190" s="73" t="n"/>
      <c r="O190" s="19" t="n"/>
      <c r="P190" s="18" t="n"/>
      <c r="Q190" s="19" t="n"/>
      <c r="R190" s="18" t="n"/>
      <c r="S190" s="18" t="n"/>
      <c r="T190" s="18" t="n"/>
      <c r="U190" s="26">
        <f>D190+F190+-(H190+J190+L190+N190+P190+R190+T190)</f>
        <v/>
      </c>
      <c r="V190" t="inlineStr">
        <is>
          <t>ELECTRICAL</t>
        </is>
      </c>
    </row>
    <row r="191" ht="30" customHeight="1">
      <c r="A191" s="22">
        <f>A190+1</f>
        <v/>
      </c>
      <c r="B191" s="122" t="inlineStr">
        <is>
          <t>Over Load  Relay LRD 32, SCHNEIDER 32 A</t>
        </is>
      </c>
      <c r="C191" s="123" t="inlineStr">
        <is>
          <t>PCS</t>
        </is>
      </c>
      <c r="D191" s="26">
        <f>'Week  (4)'!U191</f>
        <v/>
      </c>
      <c r="E191" s="125" t="n"/>
      <c r="F191" s="55" t="n"/>
      <c r="G191" s="52" t="n"/>
      <c r="H191" s="55" t="n"/>
      <c r="I191" s="71" t="n"/>
      <c r="J191" s="55" t="n"/>
      <c r="K191" s="18" t="n"/>
      <c r="L191" s="73" t="n"/>
      <c r="M191" s="73" t="n"/>
      <c r="N191" s="73" t="n"/>
      <c r="O191" s="19" t="n"/>
      <c r="P191" s="18" t="n"/>
      <c r="Q191" s="18" t="n"/>
      <c r="R191" s="73" t="n"/>
      <c r="S191" s="18" t="n"/>
      <c r="T191" s="18" t="n"/>
      <c r="U191" s="26">
        <f>D191+F191+-(H191+J191+L191+N191+P191+R191+T191)</f>
        <v/>
      </c>
      <c r="V191" t="inlineStr">
        <is>
          <t>ELECTRICAL</t>
        </is>
      </c>
    </row>
    <row r="192" ht="30" customHeight="1">
      <c r="A192" s="22">
        <f>A191+1</f>
        <v/>
      </c>
      <c r="B192" s="122" t="inlineStr">
        <is>
          <t>Overload of Water Dispencer 1/5 PK</t>
        </is>
      </c>
      <c r="C192" s="123" t="inlineStr">
        <is>
          <t>PCS</t>
        </is>
      </c>
      <c r="D192" s="26">
        <f>'Week  (4)'!U192</f>
        <v/>
      </c>
      <c r="E192" s="124" t="n"/>
      <c r="F192" s="62" t="n"/>
      <c r="G192" s="25" t="n"/>
      <c r="H192" s="56" t="n"/>
      <c r="I192" s="19" t="n"/>
      <c r="J192" s="64" t="n"/>
      <c r="K192" s="18" t="n"/>
      <c r="L192" s="73" t="n"/>
      <c r="M192" s="73" t="n"/>
      <c r="N192" s="73" t="n"/>
      <c r="O192" s="19" t="n"/>
      <c r="P192" s="18" t="n"/>
      <c r="Q192" s="18" t="n"/>
      <c r="R192" s="73" t="n"/>
      <c r="S192" s="18" t="n"/>
      <c r="T192" s="18" t="n"/>
      <c r="U192" s="26">
        <f>D192+F192+-(H192+J192+L192+N192+P192+R192+T192)</f>
        <v/>
      </c>
      <c r="V192" t="inlineStr">
        <is>
          <t>ELECTRICAL</t>
        </is>
      </c>
    </row>
    <row r="193" ht="15" customHeight="1">
      <c r="A193" s="22">
        <f>A192+1</f>
        <v/>
      </c>
      <c r="B193" s="122" t="inlineStr">
        <is>
          <t xml:space="preserve">Overload Refrigerator </t>
        </is>
      </c>
      <c r="C193" s="123" t="inlineStr">
        <is>
          <t>PCS</t>
        </is>
      </c>
      <c r="D193" s="26">
        <f>'Week  (4)'!U193</f>
        <v/>
      </c>
      <c r="E193" s="125" t="n"/>
      <c r="F193" s="55" t="n"/>
      <c r="G193" s="52" t="n"/>
      <c r="H193" s="55" t="n"/>
      <c r="I193" s="71" t="n"/>
      <c r="J193" s="55" t="n"/>
      <c r="K193" s="18" t="n"/>
      <c r="L193" s="73" t="n"/>
      <c r="M193" s="73" t="n"/>
      <c r="N193" s="73" t="n"/>
      <c r="O193" s="19" t="n"/>
      <c r="P193" s="18" t="n"/>
      <c r="Q193" s="18" t="n"/>
      <c r="R193" s="73" t="n"/>
      <c r="S193" s="18" t="n"/>
      <c r="T193" s="18" t="n"/>
      <c r="U193" s="26">
        <f>D193+F193+-(H193+J193+L193+N193+P193+R193+T193)</f>
        <v/>
      </c>
      <c r="V193" t="inlineStr">
        <is>
          <t>ELECTRICAL</t>
        </is>
      </c>
    </row>
    <row r="194" ht="15" customHeight="1">
      <c r="A194" s="22">
        <f>A193+1</f>
        <v/>
      </c>
      <c r="B194" s="122" t="inlineStr">
        <is>
          <t>PAKAN LAS RD 460 2,0</t>
        </is>
      </c>
      <c r="C194" s="123" t="inlineStr">
        <is>
          <t>KG</t>
        </is>
      </c>
      <c r="D194" s="26">
        <f>'Week  (4)'!U194</f>
        <v/>
      </c>
      <c r="E194" s="124" t="n"/>
      <c r="F194" s="62" t="n"/>
      <c r="G194" s="25" t="n"/>
      <c r="H194" s="69" t="n"/>
      <c r="I194" s="19" t="n"/>
      <c r="J194" s="73" t="n"/>
      <c r="K194" s="19" t="n"/>
      <c r="L194" s="73" t="n"/>
      <c r="M194" s="73" t="n"/>
      <c r="N194" s="73" t="n"/>
      <c r="O194" s="19" t="n"/>
      <c r="P194" s="73" t="n"/>
      <c r="Q194" s="73" t="n"/>
      <c r="R194" s="73" t="n"/>
      <c r="S194" s="18" t="n"/>
      <c r="T194" s="18" t="n"/>
      <c r="U194" s="26">
        <f>D194+F194+-(H194+J194+L194+N194+P194+R194+T194)</f>
        <v/>
      </c>
      <c r="V194" t="inlineStr">
        <is>
          <t>CONSUMABLE</t>
        </is>
      </c>
    </row>
    <row r="195" ht="15" customHeight="1">
      <c r="A195" s="22">
        <f>A194+1</f>
        <v/>
      </c>
      <c r="B195" s="122" t="inlineStr">
        <is>
          <t>PRESSURE GAUGE WIKA 10</t>
        </is>
      </c>
      <c r="C195" s="123" t="inlineStr">
        <is>
          <t>PCS</t>
        </is>
      </c>
      <c r="D195" s="26">
        <f>'Week  (4)'!U195</f>
        <v/>
      </c>
      <c r="E195" s="125" t="n"/>
      <c r="F195" s="55" t="n"/>
      <c r="G195" s="52" t="n"/>
      <c r="H195" s="55" t="n"/>
      <c r="I195" s="71" t="n"/>
      <c r="J195" s="55" t="n"/>
      <c r="K195" s="18" t="n"/>
      <c r="L195" s="73" t="n"/>
      <c r="M195" s="73" t="n"/>
      <c r="N195" s="73" t="n"/>
      <c r="O195" s="19" t="n"/>
      <c r="P195" s="18" t="n"/>
      <c r="Q195" s="18" t="n"/>
      <c r="R195" s="73" t="n"/>
      <c r="S195" s="18" t="n"/>
      <c r="T195" s="18" t="n"/>
      <c r="U195" s="26">
        <f>D195+F195+-(H195+J195+L195+N195+P195+R195+T195)</f>
        <v/>
      </c>
      <c r="V195" t="inlineStr">
        <is>
          <t>VALVE AND PIPE</t>
        </is>
      </c>
    </row>
    <row r="196" ht="30" customHeight="1">
      <c r="A196" s="22">
        <f>A195+1</f>
        <v/>
      </c>
      <c r="B196" s="122" t="inlineStr">
        <is>
          <t>Pee Pipe DUPON 4160 NC ( Syphon Kitchen sink )</t>
        </is>
      </c>
      <c r="C196" s="123" t="inlineStr">
        <is>
          <t>SET</t>
        </is>
      </c>
      <c r="D196" s="26">
        <f>'Week  (4)'!U196</f>
        <v/>
      </c>
      <c r="E196" s="124" t="n"/>
      <c r="F196" s="62" t="n"/>
      <c r="G196" s="25" t="n"/>
      <c r="H196" s="56" t="n"/>
      <c r="I196" s="19" t="n"/>
      <c r="J196" s="64" t="n"/>
      <c r="K196" s="18" t="n"/>
      <c r="L196" s="73" t="n"/>
      <c r="M196" s="73" t="n"/>
      <c r="N196" s="73" t="n"/>
      <c r="O196" s="19" t="inlineStr">
        <is>
          <t>Sulawesi 17</t>
        </is>
      </c>
      <c r="P196" s="18" t="n">
        <v>1</v>
      </c>
      <c r="Q196" s="18" t="n"/>
      <c r="R196" s="73" t="n"/>
      <c r="S196" s="18" t="n"/>
      <c r="T196" s="18" t="n"/>
      <c r="U196" s="26">
        <f>D196+F196+-(H196+J196+L196+N196+P196+R196+T196)</f>
        <v/>
      </c>
      <c r="V196" t="inlineStr">
        <is>
          <t>SANITARY</t>
        </is>
      </c>
    </row>
    <row r="197" ht="15" customHeight="1">
      <c r="A197" s="22">
        <f>A196+1</f>
        <v/>
      </c>
      <c r="B197" s="122" t="inlineStr">
        <is>
          <t xml:space="preserve">PESAWAT TELEPHONE </t>
        </is>
      </c>
      <c r="C197" s="123" t="inlineStr">
        <is>
          <t>SET</t>
        </is>
      </c>
      <c r="D197" s="26">
        <f>'Week  (4)'!U197</f>
        <v/>
      </c>
      <c r="E197" s="125" t="n"/>
      <c r="F197" s="55" t="n"/>
      <c r="G197" s="52" t="n"/>
      <c r="H197" s="55" t="n"/>
      <c r="I197" s="71" t="n"/>
      <c r="J197" s="55" t="n"/>
      <c r="K197" s="18" t="n"/>
      <c r="L197" s="73" t="n"/>
      <c r="M197" s="73" t="n"/>
      <c r="N197" s="73" t="n"/>
      <c r="O197" s="19" t="n"/>
      <c r="P197" s="18" t="n"/>
      <c r="Q197" s="18" t="n"/>
      <c r="R197" s="73" t="n"/>
      <c r="S197" s="18" t="n"/>
      <c r="T197" s="18" t="n"/>
      <c r="U197" s="26">
        <f>D197+F197+-(H197+J197+L197+N197+P197+R197+T197)</f>
        <v/>
      </c>
      <c r="V197" t="inlineStr">
        <is>
          <t>CONSUMABLE</t>
        </is>
      </c>
    </row>
    <row r="198">
      <c r="A198" s="22">
        <f>A197+1</f>
        <v/>
      </c>
      <c r="B198" s="79" t="inlineStr">
        <is>
          <t>Plug Besi 1/2"</t>
        </is>
      </c>
      <c r="C198" s="40" t="inlineStr">
        <is>
          <t>Pcs</t>
        </is>
      </c>
      <c r="D198" s="26">
        <f>'Week  (4)'!U198</f>
        <v/>
      </c>
      <c r="E198" s="124" t="n"/>
      <c r="F198" s="62" t="n"/>
      <c r="G198" s="25" t="n"/>
      <c r="H198" s="56" t="n"/>
      <c r="I198" s="19" t="n"/>
      <c r="J198" s="64" t="n"/>
      <c r="K198" s="18" t="n"/>
      <c r="L198" s="73" t="n"/>
      <c r="M198" s="73" t="n"/>
      <c r="N198" s="73" t="n"/>
      <c r="O198" s="19" t="inlineStr">
        <is>
          <t>Lombok 6</t>
        </is>
      </c>
      <c r="P198" s="18" t="n">
        <v>1</v>
      </c>
      <c r="Q198" s="18" t="n"/>
      <c r="R198" s="73" t="n"/>
      <c r="S198" s="18" t="n"/>
      <c r="T198" s="18" t="n"/>
      <c r="U198" s="26">
        <f>D198+F198+-(H198+J198+L198+N198+P198+R198+T198)</f>
        <v/>
      </c>
      <c r="V198" t="inlineStr">
        <is>
          <t>VALVE AND PIPE</t>
        </is>
      </c>
    </row>
    <row r="199" ht="15" customHeight="1">
      <c r="A199" s="22">
        <f>A198+1</f>
        <v/>
      </c>
      <c r="B199" s="122" t="inlineStr">
        <is>
          <t>Plywood Meranti 6mm</t>
        </is>
      </c>
      <c r="C199" s="123" t="inlineStr">
        <is>
          <t xml:space="preserve">Lbr </t>
        </is>
      </c>
      <c r="D199" s="26">
        <f>'Week  (4)'!U199</f>
        <v/>
      </c>
      <c r="E199" s="125" t="n"/>
      <c r="F199" s="55" t="n"/>
      <c r="G199" s="52" t="n"/>
      <c r="H199" s="74" t="n"/>
      <c r="I199" s="71" t="n"/>
      <c r="J199" s="55" t="n"/>
      <c r="K199" s="19" t="n"/>
      <c r="L199" s="73" t="n"/>
      <c r="M199" s="73" t="n"/>
      <c r="N199" s="73" t="n"/>
      <c r="O199" s="19" t="n"/>
      <c r="P199" s="18" t="n"/>
      <c r="Q199" s="18" t="n"/>
      <c r="R199" s="73" t="n"/>
      <c r="S199" s="18" t="n"/>
      <c r="T199" s="18" t="n"/>
      <c r="U199" s="26">
        <f>D199+F199+-(H199+J199+L199+N199+P199+R199+T199)</f>
        <v/>
      </c>
      <c r="V199" t="inlineStr">
        <is>
          <t>CIVIL</t>
        </is>
      </c>
    </row>
    <row r="200" ht="15" customHeight="1">
      <c r="A200" s="22">
        <f>A199+1</f>
        <v/>
      </c>
      <c r="B200" s="122" t="inlineStr">
        <is>
          <t>Plywood Meranti 20 mm</t>
        </is>
      </c>
      <c r="C200" s="123" t="inlineStr">
        <is>
          <t xml:space="preserve">Lbr </t>
        </is>
      </c>
      <c r="D200" s="26">
        <f>'Week  (4)'!U200</f>
        <v/>
      </c>
      <c r="E200" s="124" t="n"/>
      <c r="F200" s="62" t="n"/>
      <c r="G200" s="25" t="n"/>
      <c r="H200" s="66" t="n"/>
      <c r="I200" s="19" t="n"/>
      <c r="J200" s="64" t="n"/>
      <c r="K200" s="18" t="n"/>
      <c r="L200" s="73" t="n"/>
      <c r="M200" s="73" t="n"/>
      <c r="N200" s="73" t="n"/>
      <c r="O200" s="19" t="n"/>
      <c r="P200" s="18" t="n"/>
      <c r="Q200" s="18" t="n"/>
      <c r="R200" s="73" t="n"/>
      <c r="S200" s="18" t="n"/>
      <c r="T200" s="18" t="n"/>
      <c r="U200" s="26">
        <f>D200+F200+-(H200+J200+L200+N200+P200+R200+T200)</f>
        <v/>
      </c>
      <c r="V200" t="inlineStr">
        <is>
          <t>CIVIL</t>
        </is>
      </c>
    </row>
    <row r="201" ht="15" customHeight="1">
      <c r="A201" s="22">
        <f>A200+1</f>
        <v/>
      </c>
      <c r="B201" s="122" t="inlineStr">
        <is>
          <t>PIPA PVC 2"</t>
        </is>
      </c>
      <c r="C201" s="123" t="inlineStr">
        <is>
          <t>PCS</t>
        </is>
      </c>
      <c r="D201" s="26">
        <f>'Week  (4)'!U201</f>
        <v/>
      </c>
      <c r="E201" s="125" t="n"/>
      <c r="F201" s="55" t="n"/>
      <c r="G201" s="52" t="n"/>
      <c r="H201" s="55" t="n"/>
      <c r="I201" s="71" t="n"/>
      <c r="J201" s="55" t="n"/>
      <c r="K201" s="18" t="n"/>
      <c r="L201" s="73" t="n"/>
      <c r="M201" s="73" t="n"/>
      <c r="N201" s="73" t="n"/>
      <c r="O201" s="19" t="n"/>
      <c r="P201" s="18" t="n"/>
      <c r="Q201" s="18" t="n"/>
      <c r="R201" s="73" t="n"/>
      <c r="S201" s="18" t="n"/>
      <c r="T201" s="18" t="n"/>
      <c r="U201" s="26">
        <f>D201+F201+-(H201+J201+L201+N201+P201+R201+T201)</f>
        <v/>
      </c>
      <c r="V201" t="inlineStr">
        <is>
          <t>VALVE AND PIPE</t>
        </is>
      </c>
    </row>
    <row r="202" ht="15" customHeight="1">
      <c r="A202" s="22">
        <f>A201+1</f>
        <v/>
      </c>
      <c r="B202" s="122" t="inlineStr">
        <is>
          <t>PIPA PVC 1"</t>
        </is>
      </c>
      <c r="C202" s="123" t="inlineStr">
        <is>
          <t>PCS</t>
        </is>
      </c>
      <c r="D202" s="26">
        <f>'Week  (4)'!U202</f>
        <v/>
      </c>
      <c r="E202" s="124" t="n"/>
      <c r="F202" s="62" t="n"/>
      <c r="G202" s="25" t="n"/>
      <c r="H202" s="56" t="n"/>
      <c r="I202" s="19" t="n"/>
      <c r="J202" s="64" t="n"/>
      <c r="K202" s="18" t="n"/>
      <c r="L202" s="73" t="n"/>
      <c r="M202" s="73" t="n"/>
      <c r="N202" s="73" t="n"/>
      <c r="O202" s="19" t="n"/>
      <c r="P202" s="18" t="n"/>
      <c r="Q202" s="18" t="n"/>
      <c r="R202" s="73" t="n"/>
      <c r="S202" s="18" t="n"/>
      <c r="T202" s="18" t="n"/>
      <c r="U202" s="26">
        <f>D202+F202+-(H202+J202+L202+N202+P202+R202+T202)</f>
        <v/>
      </c>
      <c r="V202" t="inlineStr">
        <is>
          <t>VALVE AND PIPE</t>
        </is>
      </c>
    </row>
    <row r="203" ht="15" customHeight="1">
      <c r="A203" s="22">
        <f>A202+1</f>
        <v/>
      </c>
      <c r="B203" s="122" t="inlineStr">
        <is>
          <t>PIPA PVC 3/4"</t>
        </is>
      </c>
      <c r="C203" s="123" t="inlineStr">
        <is>
          <t>PCS</t>
        </is>
      </c>
      <c r="D203" s="26">
        <f>'Week  (4)'!U203</f>
        <v/>
      </c>
      <c r="E203" s="125" t="n"/>
      <c r="F203" s="55" t="n"/>
      <c r="G203" s="52" t="n"/>
      <c r="H203" s="55" t="n"/>
      <c r="I203" s="71" t="n"/>
      <c r="J203" s="55" t="n"/>
      <c r="K203" s="18" t="n"/>
      <c r="L203" s="73" t="n"/>
      <c r="M203" s="73" t="n"/>
      <c r="N203" s="73" t="n"/>
      <c r="O203" s="19" t="n"/>
      <c r="P203" s="18" t="n"/>
      <c r="Q203" s="18" t="n"/>
      <c r="R203" s="73" t="n"/>
      <c r="S203" s="18" t="n"/>
      <c r="T203" s="18" t="n"/>
      <c r="U203" s="26">
        <f>D203+F203+-(H203+J203+L203+N203+P203+R203+T203)</f>
        <v/>
      </c>
      <c r="V203" t="inlineStr">
        <is>
          <t>VALVE AND PIPE</t>
        </is>
      </c>
    </row>
    <row r="204" ht="15" customHeight="1">
      <c r="A204" s="22">
        <f>A203+1</f>
        <v/>
      </c>
      <c r="B204" s="122" t="inlineStr">
        <is>
          <t>PIPA PVC 1/2"</t>
        </is>
      </c>
      <c r="C204" s="123" t="inlineStr">
        <is>
          <t>PCS</t>
        </is>
      </c>
      <c r="D204" s="26">
        <f>'Week  (4)'!U204</f>
        <v/>
      </c>
      <c r="E204" s="124" t="n"/>
      <c r="F204" s="62" t="n"/>
      <c r="G204" s="25" t="n"/>
      <c r="H204" s="56" t="n"/>
      <c r="I204" s="18" t="n"/>
      <c r="J204" s="64" t="n"/>
      <c r="K204" s="18" t="inlineStr">
        <is>
          <t>Pos s</t>
        </is>
      </c>
      <c r="L204" s="64" t="n">
        <v>1</v>
      </c>
      <c r="M204" s="73" t="n"/>
      <c r="N204" s="73" t="n"/>
      <c r="O204" s="19" t="n"/>
      <c r="P204" s="18" t="n"/>
      <c r="Q204" s="18" t="n"/>
      <c r="R204" s="73" t="n"/>
      <c r="S204" s="18" t="n"/>
      <c r="T204" s="18" t="n"/>
      <c r="U204" s="26">
        <f>D204+F204+-(H204+J204+L204+N204+P204+R204+T204)</f>
        <v/>
      </c>
      <c r="V204" t="inlineStr">
        <is>
          <t>VALVE AND PIPE</t>
        </is>
      </c>
    </row>
    <row r="205" ht="30" customHeight="1">
      <c r="A205" s="22">
        <f>A204+1</f>
        <v/>
      </c>
      <c r="B205" s="122" t="inlineStr">
        <is>
          <t>Push Drainage ( Avur Wash Basin )</t>
        </is>
      </c>
      <c r="C205" s="123" t="inlineStr">
        <is>
          <t>PCS</t>
        </is>
      </c>
      <c r="D205" s="26">
        <f>'Week  (4)'!U205</f>
        <v/>
      </c>
      <c r="E205" s="125" t="n"/>
      <c r="F205" s="55" t="n"/>
      <c r="G205" s="52" t="n"/>
      <c r="H205" s="55" t="n"/>
      <c r="I205" s="71" t="n"/>
      <c r="J205" s="55" t="n"/>
      <c r="K205" s="18" t="n"/>
      <c r="L205" s="73" t="n"/>
      <c r="M205" s="73" t="n"/>
      <c r="N205" s="73" t="n"/>
      <c r="O205" s="19" t="n"/>
      <c r="P205" s="18" t="n"/>
      <c r="Q205" s="18" t="n"/>
      <c r="R205" s="73" t="n"/>
      <c r="S205" s="18" t="n"/>
      <c r="T205" s="18" t="n"/>
      <c r="U205" s="26">
        <f>D205+F205+-(H205+J205+L205+N205+P205+R205+T205)</f>
        <v/>
      </c>
      <c r="V205" t="inlineStr">
        <is>
          <t>SANITARY</t>
        </is>
      </c>
    </row>
    <row r="206" ht="15" customHeight="1">
      <c r="A206" s="22">
        <f>A205+1</f>
        <v/>
      </c>
      <c r="B206" s="122" t="inlineStr">
        <is>
          <t>Regulator LPG</t>
        </is>
      </c>
      <c r="C206" s="123" t="inlineStr">
        <is>
          <t>PCS</t>
        </is>
      </c>
      <c r="D206" s="26">
        <f>'Week  (4)'!U206</f>
        <v/>
      </c>
      <c r="E206" s="124" t="n"/>
      <c r="F206" s="62" t="n"/>
      <c r="G206" s="68" t="n"/>
      <c r="H206" s="56" t="n"/>
      <c r="I206" s="19" t="n"/>
      <c r="J206" s="64" t="n"/>
      <c r="K206" s="19" t="n"/>
      <c r="L206" s="73" t="n"/>
      <c r="M206" s="73" t="n"/>
      <c r="N206" s="73" t="n"/>
      <c r="O206" s="19" t="n"/>
      <c r="P206" s="18" t="n"/>
      <c r="Q206" s="18" t="n"/>
      <c r="R206" s="73" t="n"/>
      <c r="S206" s="18" t="n"/>
      <c r="T206" s="18" t="n"/>
      <c r="U206" s="26">
        <f>D206+F206+-(H206+J206+L206+N206+P206+R206+T206)</f>
        <v/>
      </c>
      <c r="V206" t="inlineStr">
        <is>
          <t>CONSUMABLE</t>
        </is>
      </c>
    </row>
    <row r="207" ht="15" customHeight="1">
      <c r="A207" s="22">
        <f>A206+1</f>
        <v/>
      </c>
      <c r="B207" s="122" t="inlineStr">
        <is>
          <t>REMOTE AC MULTI</t>
        </is>
      </c>
      <c r="C207" s="123" t="inlineStr">
        <is>
          <t>PCS</t>
        </is>
      </c>
      <c r="D207" s="26">
        <f>'Week  (4)'!U207</f>
        <v/>
      </c>
      <c r="E207" s="125" t="n"/>
      <c r="F207" s="55" t="n"/>
      <c r="G207" s="52" t="n"/>
      <c r="H207" s="55" t="n"/>
      <c r="I207" s="71" t="n"/>
      <c r="J207" s="55" t="n"/>
      <c r="K207" s="18" t="n"/>
      <c r="L207" s="73" t="n"/>
      <c r="M207" s="73" t="n"/>
      <c r="N207" s="73" t="n"/>
      <c r="O207" s="19" t="n"/>
      <c r="P207" s="18" t="n"/>
      <c r="Q207" s="18" t="n"/>
      <c r="R207" s="73" t="n"/>
      <c r="S207" s="18" t="n"/>
      <c r="T207" s="18" t="n"/>
      <c r="U207" s="26">
        <f>D207+F207+-(H207+J207+L207+N207+P207+R207+T207)</f>
        <v/>
      </c>
      <c r="V207" t="inlineStr">
        <is>
          <t>AC</t>
        </is>
      </c>
    </row>
    <row r="208" ht="15" customHeight="1">
      <c r="A208" s="22">
        <f>A207+1</f>
        <v/>
      </c>
      <c r="B208" s="122" t="inlineStr">
        <is>
          <t>REMOTE TV  MULTI</t>
        </is>
      </c>
      <c r="C208" s="123" t="inlineStr">
        <is>
          <t>PCS</t>
        </is>
      </c>
      <c r="D208" s="26">
        <f>'Week  (4)'!U208</f>
        <v/>
      </c>
      <c r="E208" s="124" t="n"/>
      <c r="F208" s="62" t="n"/>
      <c r="G208" s="25" t="n"/>
      <c r="H208" s="56" t="n"/>
      <c r="I208" s="19" t="n"/>
      <c r="J208" s="64" t="n"/>
      <c r="K208" s="18" t="n"/>
      <c r="L208" s="73" t="n"/>
      <c r="M208" s="73" t="n"/>
      <c r="N208" s="73" t="n"/>
      <c r="O208" s="19" t="n"/>
      <c r="P208" s="18" t="n"/>
      <c r="Q208" s="18" t="n"/>
      <c r="R208" s="73" t="n"/>
      <c r="S208" s="18" t="n"/>
      <c r="T208" s="18" t="n"/>
      <c r="U208" s="26">
        <f>D208+F208+-(H208+J208+L208+N208+P208+R208+T208)</f>
        <v/>
      </c>
      <c r="V208" t="inlineStr">
        <is>
          <t>AC</t>
        </is>
      </c>
    </row>
    <row r="209" ht="15" customHeight="1">
      <c r="A209" s="22">
        <f>A208+1</f>
        <v/>
      </c>
      <c r="B209" s="122" t="inlineStr">
        <is>
          <t xml:space="preserve">SAKLAR DOBLE </t>
        </is>
      </c>
      <c r="C209" s="123" t="inlineStr">
        <is>
          <t>PCS</t>
        </is>
      </c>
      <c r="D209" s="26">
        <f>'Week  (4)'!U209</f>
        <v/>
      </c>
      <c r="E209" s="125" t="n"/>
      <c r="F209" s="55" t="n"/>
      <c r="G209" s="52" t="n"/>
      <c r="H209" s="55" t="n"/>
      <c r="I209" s="71" t="n"/>
      <c r="J209" s="55" t="n"/>
      <c r="K209" s="18" t="n"/>
      <c r="L209" s="73" t="n"/>
      <c r="M209" s="73" t="n"/>
      <c r="N209" s="73" t="n"/>
      <c r="O209" s="19" t="n"/>
      <c r="P209" s="18" t="n"/>
      <c r="Q209" s="18" t="n"/>
      <c r="R209" s="73" t="n"/>
      <c r="S209" s="18" t="n"/>
      <c r="T209" s="18" t="n"/>
      <c r="U209" s="26">
        <f>D209+F209+-(H209+J209+L209+N209+P209+R209+T209)</f>
        <v/>
      </c>
      <c r="V209" t="inlineStr">
        <is>
          <t>ELECTRICAL</t>
        </is>
      </c>
    </row>
    <row r="210" ht="15" customHeight="1">
      <c r="A210" s="22">
        <f>A209+1</f>
        <v/>
      </c>
      <c r="B210" s="122" t="inlineStr">
        <is>
          <t>SAKLAR TUNGGAL</t>
        </is>
      </c>
      <c r="C210" s="123" t="inlineStr">
        <is>
          <t>PCS</t>
        </is>
      </c>
      <c r="D210" s="26">
        <f>'Week  (4)'!U210</f>
        <v/>
      </c>
      <c r="E210" s="124" t="n"/>
      <c r="F210" s="62" t="n"/>
      <c r="G210" s="25" t="n"/>
      <c r="H210" s="56" t="n"/>
      <c r="I210" s="19" t="n"/>
      <c r="J210" s="64" t="n"/>
      <c r="K210" s="18" t="n"/>
      <c r="L210" s="73" t="n"/>
      <c r="M210" s="73" t="n"/>
      <c r="N210" s="73" t="n"/>
      <c r="O210" s="19" t="n"/>
      <c r="P210" s="18" t="n"/>
      <c r="Q210" s="18" t="n"/>
      <c r="R210" s="73" t="n"/>
      <c r="S210" s="18" t="n"/>
      <c r="T210" s="18" t="n"/>
      <c r="U210" s="26">
        <f>D210+F210+-(H210+J210+L210+N210+P210+R210+T210)</f>
        <v/>
      </c>
      <c r="V210" t="inlineStr">
        <is>
          <t>ELECTRICAL</t>
        </is>
      </c>
    </row>
    <row r="211" ht="15" customHeight="1">
      <c r="A211" s="22">
        <f>A210+1</f>
        <v/>
      </c>
      <c r="B211" s="38" t="inlineStr">
        <is>
          <t>Sock Drat LUAR 20 x 1/2" HDPE</t>
        </is>
      </c>
      <c r="C211" s="123" t="inlineStr">
        <is>
          <t>PCS</t>
        </is>
      </c>
      <c r="D211" s="26">
        <f>'Week  (4)'!U211</f>
        <v/>
      </c>
      <c r="E211" s="125" t="n"/>
      <c r="F211" s="55" t="n"/>
      <c r="G211" s="52" t="n"/>
      <c r="H211" s="55" t="n"/>
      <c r="I211" s="71" t="n"/>
      <c r="J211" s="55" t="n"/>
      <c r="K211" s="18" t="n"/>
      <c r="L211" s="73" t="n"/>
      <c r="M211" s="73" t="n"/>
      <c r="N211" s="73" t="n"/>
      <c r="O211" s="19" t="n"/>
      <c r="P211" s="18" t="n"/>
      <c r="Q211" s="18" t="n"/>
      <c r="R211" s="73" t="n"/>
      <c r="S211" s="18" t="n"/>
      <c r="T211" s="18" t="n"/>
      <c r="U211" s="26">
        <f>D211+F211+-(H211+J211+L211+N211+P211+R211+T211)</f>
        <v/>
      </c>
      <c r="V211" t="inlineStr">
        <is>
          <t>VALVE AND PIPE</t>
        </is>
      </c>
    </row>
    <row r="212" ht="15" customHeight="1">
      <c r="A212" s="22">
        <f>A211+1</f>
        <v/>
      </c>
      <c r="B212" s="128" t="inlineStr">
        <is>
          <t>Seat &amp; Cover Closet</t>
        </is>
      </c>
      <c r="C212" s="123" t="inlineStr">
        <is>
          <t>PCS</t>
        </is>
      </c>
      <c r="D212" s="26">
        <f>'Week  (4)'!U212</f>
        <v/>
      </c>
      <c r="E212" s="124" t="n"/>
      <c r="F212" s="62" t="n"/>
      <c r="G212" s="68" t="n"/>
      <c r="H212" s="56" t="n"/>
      <c r="I212" s="19" t="n"/>
      <c r="J212" s="64" t="n"/>
      <c r="K212" s="18" t="n"/>
      <c r="L212" s="73" t="n"/>
      <c r="M212" s="73" t="n"/>
      <c r="N212" s="73" t="n"/>
      <c r="O212" s="19" t="n"/>
      <c r="P212" s="18" t="n"/>
      <c r="Q212" s="18" t="n"/>
      <c r="R212" s="73" t="n"/>
      <c r="S212" s="18" t="n"/>
      <c r="T212" s="18" t="n"/>
      <c r="U212" s="26">
        <f>D212+F212+-(H212+J212+L212+N212+P212+R212+T212)</f>
        <v/>
      </c>
      <c r="V212" t="inlineStr">
        <is>
          <t>SANITARY</t>
        </is>
      </c>
    </row>
    <row r="213">
      <c r="A213" s="22">
        <f>A212+1</f>
        <v/>
      </c>
      <c r="B213" s="79" t="inlineStr">
        <is>
          <t xml:space="preserve">Selang LPG </t>
        </is>
      </c>
      <c r="C213" s="40" t="inlineStr">
        <is>
          <t>M</t>
        </is>
      </c>
      <c r="D213" s="26">
        <f>'Week  (4)'!U213</f>
        <v/>
      </c>
      <c r="E213" s="125" t="n"/>
      <c r="F213" s="55" t="n"/>
      <c r="G213" s="52" t="n"/>
      <c r="H213" s="55" t="n"/>
      <c r="I213" s="71" t="n"/>
      <c r="J213" s="55" t="n"/>
      <c r="K213" s="18" t="n"/>
      <c r="L213" s="73" t="n"/>
      <c r="M213" s="73" t="n"/>
      <c r="N213" s="73" t="n"/>
      <c r="O213" s="19" t="n"/>
      <c r="P213" s="18" t="n"/>
      <c r="Q213" s="18" t="n"/>
      <c r="R213" s="73" t="n"/>
      <c r="S213" s="18" t="n"/>
      <c r="T213" s="18" t="n"/>
      <c r="U213" s="26">
        <f>D213+F213+-(H213+J213+L213+N213+P213+R213+T213)</f>
        <v/>
      </c>
      <c r="V213" t="inlineStr">
        <is>
          <t>OIL &amp; GAS</t>
        </is>
      </c>
    </row>
    <row r="214" ht="15" customHeight="1">
      <c r="A214" s="22">
        <f>A213+1</f>
        <v/>
      </c>
      <c r="B214" s="128" t="inlineStr">
        <is>
          <t>SELENOID DRAIN MESIN CUCI</t>
        </is>
      </c>
      <c r="C214" s="123" t="inlineStr">
        <is>
          <t>PCS</t>
        </is>
      </c>
      <c r="D214" s="26">
        <f>'Week  (4)'!U214</f>
        <v/>
      </c>
      <c r="E214" s="124" t="n"/>
      <c r="F214" s="62" t="n"/>
      <c r="G214" s="25" t="n"/>
      <c r="H214" s="56" t="n"/>
      <c r="I214" s="19" t="n"/>
      <c r="J214" s="64" t="n"/>
      <c r="K214" s="18" t="n"/>
      <c r="L214" s="73" t="n"/>
      <c r="M214" s="73" t="n"/>
      <c r="N214" s="73" t="n"/>
      <c r="O214" s="19" t="n"/>
      <c r="P214" s="18" t="n"/>
      <c r="Q214" s="18" t="n"/>
      <c r="R214" s="73" t="n"/>
      <c r="S214" s="18" t="n"/>
      <c r="T214" s="18" t="n"/>
      <c r="U214" s="26">
        <f>D214+F214+-(H214+J214+L214+N214+P214+R214+T214)</f>
        <v/>
      </c>
      <c r="V214" t="inlineStr">
        <is>
          <t>SANITARY</t>
        </is>
      </c>
    </row>
    <row r="215" ht="15" customHeight="1">
      <c r="A215" s="22">
        <f>A214+1</f>
        <v/>
      </c>
      <c r="B215" s="128" t="inlineStr">
        <is>
          <t xml:space="preserve">Shower Curtain </t>
        </is>
      </c>
      <c r="C215" s="123" t="inlineStr">
        <is>
          <t>PCS</t>
        </is>
      </c>
      <c r="D215" s="26">
        <f>'Week  (4)'!U215</f>
        <v/>
      </c>
      <c r="E215" s="125" t="n"/>
      <c r="F215" s="55" t="n"/>
      <c r="G215" s="52" t="n"/>
      <c r="H215" s="55" t="n"/>
      <c r="I215" s="71" t="n"/>
      <c r="J215" s="55" t="n"/>
      <c r="K215" s="18" t="n"/>
      <c r="L215" s="73" t="n"/>
      <c r="M215" s="73" t="n"/>
      <c r="N215" s="73" t="n"/>
      <c r="O215" s="19" t="n"/>
      <c r="P215" s="18" t="n"/>
      <c r="Q215" s="19" t="n"/>
      <c r="R215" s="73" t="n"/>
      <c r="S215" s="18" t="n"/>
      <c r="T215" s="18" t="n"/>
      <c r="U215" s="26">
        <f>D215+F215+-(H215+J215+L215+N215+P215+R215+T215)</f>
        <v/>
      </c>
      <c r="V215" t="inlineStr">
        <is>
          <t>CIVIL</t>
        </is>
      </c>
    </row>
    <row r="216" ht="15" customHeight="1">
      <c r="A216" s="22">
        <f>A215+1</f>
        <v/>
      </c>
      <c r="B216" s="128" t="inlineStr">
        <is>
          <t>Silicon Sealant Clear</t>
        </is>
      </c>
      <c r="C216" s="123" t="inlineStr">
        <is>
          <t>PCS</t>
        </is>
      </c>
      <c r="D216" s="26">
        <f>'Week  (4)'!U216</f>
        <v/>
      </c>
      <c r="E216" s="124" t="n"/>
      <c r="F216" s="62" t="n"/>
      <c r="G216" s="25" t="n"/>
      <c r="H216" s="56" t="n"/>
      <c r="I216" s="19" t="n"/>
      <c r="J216" s="64" t="n"/>
      <c r="K216" s="19" t="n"/>
      <c r="L216" s="64" t="n"/>
      <c r="M216" s="73" t="n"/>
      <c r="N216" s="73" t="n"/>
      <c r="O216" s="19" t="n"/>
      <c r="P216" s="18" t="n"/>
      <c r="Q216" s="18" t="n"/>
      <c r="R216" s="73" t="n"/>
      <c r="S216" s="18" t="n"/>
      <c r="T216" s="18" t="n"/>
      <c r="U216" s="26">
        <f>D216+F216+-(H216+J216+L216+N216+P216+R216+T216)</f>
        <v/>
      </c>
      <c r="V216" t="inlineStr">
        <is>
          <t>CONSUMABLE</t>
        </is>
      </c>
    </row>
    <row r="217" ht="15" customHeight="1">
      <c r="A217" s="22">
        <f>A216+1</f>
        <v/>
      </c>
      <c r="B217" s="122" t="inlineStr">
        <is>
          <t>SEAL TAPE</t>
        </is>
      </c>
      <c r="C217" s="123" t="inlineStr">
        <is>
          <t>PCS</t>
        </is>
      </c>
      <c r="D217" s="26">
        <f>'Week  (4)'!U217</f>
        <v/>
      </c>
      <c r="E217" s="125" t="n"/>
      <c r="F217" s="55" t="n"/>
      <c r="G217" s="72" t="n"/>
      <c r="H217" s="55" t="n"/>
      <c r="I217" s="71" t="n"/>
      <c r="J217" s="55" t="n"/>
      <c r="K217" s="19" t="n"/>
      <c r="L217" s="73" t="n"/>
      <c r="M217" s="73" t="n"/>
      <c r="N217" s="73" t="n"/>
      <c r="O217" s="19" t="n"/>
      <c r="P217" s="18" t="n"/>
      <c r="Q217" s="18" t="n"/>
      <c r="R217" s="73" t="n"/>
      <c r="S217" s="18" t="n"/>
      <c r="T217" s="18" t="n"/>
      <c r="U217" s="26">
        <f>D217+F217+-(H217+J217+L217+N217+P217+R217+T217)</f>
        <v/>
      </c>
      <c r="V217" t="inlineStr">
        <is>
          <t>CONSUMABLE</t>
        </is>
      </c>
    </row>
    <row r="218" ht="15" customHeight="1">
      <c r="A218" s="22">
        <f>A217+1</f>
        <v/>
      </c>
      <c r="B218" s="38" t="inlineStr">
        <is>
          <t>Sock Drat Dalam 20 x 1/2"</t>
        </is>
      </c>
      <c r="C218" s="123" t="inlineStr">
        <is>
          <t>PCS</t>
        </is>
      </c>
      <c r="D218" s="26">
        <f>'Week  (4)'!U218</f>
        <v/>
      </c>
      <c r="E218" s="124" t="n"/>
      <c r="F218" s="62" t="n"/>
      <c r="G218" s="25" t="n"/>
      <c r="H218" s="56" t="n"/>
      <c r="I218" s="19" t="n"/>
      <c r="J218" s="64" t="n"/>
      <c r="K218" s="18" t="n"/>
      <c r="L218" s="73" t="n"/>
      <c r="M218" s="73" t="n"/>
      <c r="N218" s="73" t="n"/>
      <c r="O218" s="19" t="n"/>
      <c r="P218" s="18" t="n"/>
      <c r="Q218" s="18" t="n"/>
      <c r="R218" s="73" t="n"/>
      <c r="S218" s="18" t="n"/>
      <c r="T218" s="18" t="n"/>
      <c r="U218" s="26">
        <f>D218+F218+-(H218+J218+L218+N218+P218+R218+T218)</f>
        <v/>
      </c>
      <c r="V218" t="inlineStr">
        <is>
          <t>VALVE AND PIPE</t>
        </is>
      </c>
    </row>
    <row r="219">
      <c r="A219" s="22">
        <f>A218+1</f>
        <v/>
      </c>
      <c r="B219" s="79" t="inlineStr">
        <is>
          <t>Sock PVC AW  1"</t>
        </is>
      </c>
      <c r="C219" s="40" t="inlineStr">
        <is>
          <t>Pcs</t>
        </is>
      </c>
      <c r="D219" s="26">
        <f>'Week  (4)'!U219</f>
        <v/>
      </c>
      <c r="E219" s="125" t="n"/>
      <c r="F219" s="55" t="n"/>
      <c r="G219" s="52" t="n"/>
      <c r="H219" s="55" t="n"/>
      <c r="I219" s="71" t="n"/>
      <c r="J219" s="55" t="n"/>
      <c r="K219" s="18" t="n"/>
      <c r="L219" s="73" t="n"/>
      <c r="M219" s="73" t="n"/>
      <c r="N219" s="73" t="n"/>
      <c r="O219" s="19" t="n"/>
      <c r="P219" s="18" t="n"/>
      <c r="Q219" s="18" t="n"/>
      <c r="R219" s="73" t="n"/>
      <c r="S219" s="18" t="n"/>
      <c r="T219" s="18" t="n"/>
      <c r="U219" s="26">
        <f>D219+F219+-(H219+J219+L219+N219+P219+R219+T219)</f>
        <v/>
      </c>
      <c r="V219" t="inlineStr">
        <is>
          <t>VALVE AND PIPE</t>
        </is>
      </c>
    </row>
    <row r="220">
      <c r="A220" s="22">
        <f>A219+1</f>
        <v/>
      </c>
      <c r="B220" s="79" t="inlineStr">
        <is>
          <t>Sock PVC AW  2"</t>
        </is>
      </c>
      <c r="C220" s="40" t="inlineStr">
        <is>
          <t>Pcs</t>
        </is>
      </c>
      <c r="D220" s="26">
        <f>'Week  (4)'!U220</f>
        <v/>
      </c>
      <c r="E220" s="124" t="n"/>
      <c r="F220" s="62" t="n"/>
      <c r="G220" s="25" t="n"/>
      <c r="H220" s="56" t="n"/>
      <c r="I220" s="19" t="n"/>
      <c r="J220" s="64" t="n"/>
      <c r="K220" s="18" t="n"/>
      <c r="L220" s="73" t="n"/>
      <c r="M220" s="73" t="n"/>
      <c r="N220" s="73" t="n"/>
      <c r="O220" s="19" t="n"/>
      <c r="P220" s="18" t="n"/>
      <c r="Q220" s="18" t="n"/>
      <c r="R220" s="73" t="n"/>
      <c r="S220" s="18" t="n"/>
      <c r="T220" s="18" t="n"/>
      <c r="U220" s="26">
        <f>D220+F220+-(H220+J220+L220+N220+P220+R220+T220)</f>
        <v/>
      </c>
      <c r="V220" t="inlineStr">
        <is>
          <t>VALVE AND PIPE</t>
        </is>
      </c>
    </row>
    <row r="221">
      <c r="A221" s="22">
        <f>A220+1</f>
        <v/>
      </c>
      <c r="B221" s="79" t="inlineStr">
        <is>
          <t>Sock PVC AW  3/4"</t>
        </is>
      </c>
      <c r="C221" s="40" t="inlineStr">
        <is>
          <t>Pcs</t>
        </is>
      </c>
      <c r="D221" s="26">
        <f>'Week  (4)'!U221</f>
        <v/>
      </c>
      <c r="E221" s="125" t="n"/>
      <c r="F221" s="55" t="n"/>
      <c r="G221" s="52" t="n"/>
      <c r="H221" s="55" t="n"/>
      <c r="I221" s="71" t="n"/>
      <c r="J221" s="55" t="n"/>
      <c r="K221" s="18" t="n"/>
      <c r="L221" s="73" t="n"/>
      <c r="M221" s="73" t="n"/>
      <c r="N221" s="73" t="n"/>
      <c r="O221" s="19" t="n"/>
      <c r="P221" s="18" t="n"/>
      <c r="Q221" s="18" t="n"/>
      <c r="R221" s="73" t="n"/>
      <c r="S221" s="18" t="n"/>
      <c r="T221" s="18" t="n"/>
      <c r="U221" s="26">
        <f>D221+F221+-(H221+J221+L221+N221+P221+R221+T221)</f>
        <v/>
      </c>
      <c r="V221" t="inlineStr">
        <is>
          <t>VALVE AND PIPE</t>
        </is>
      </c>
    </row>
    <row r="222">
      <c r="A222" s="22">
        <f>A221+1</f>
        <v/>
      </c>
      <c r="B222" s="79" t="inlineStr">
        <is>
          <t>Sock PVC AW 1/2"</t>
        </is>
      </c>
      <c r="C222" s="40" t="inlineStr">
        <is>
          <t>Pcs</t>
        </is>
      </c>
      <c r="D222" s="26">
        <f>'Week  (4)'!U222</f>
        <v/>
      </c>
      <c r="E222" s="124" t="n"/>
      <c r="F222" s="62" t="n"/>
      <c r="G222" s="25" t="n"/>
      <c r="H222" s="56" t="n"/>
      <c r="I222" s="25" t="n"/>
      <c r="J222" s="56" t="n"/>
      <c r="K222" s="18" t="n"/>
      <c r="L222" s="73" t="n"/>
      <c r="M222" s="73" t="n"/>
      <c r="N222" s="73" t="n"/>
      <c r="O222" s="19" t="n"/>
      <c r="P222" s="18" t="n"/>
      <c r="Q222" s="18" t="n"/>
      <c r="R222" s="73" t="n"/>
      <c r="S222" s="18" t="n"/>
      <c r="T222" s="18" t="n"/>
      <c r="U222" s="26">
        <f>D222+F222+-(H222+J222+L222+N222+P222+R222+T222)</f>
        <v/>
      </c>
      <c r="V222" t="inlineStr">
        <is>
          <t>VALVE AND PIPE</t>
        </is>
      </c>
    </row>
    <row r="223" ht="30" customHeight="1">
      <c r="A223" s="22">
        <f>A222+1</f>
        <v/>
      </c>
      <c r="B223" s="122" t="inlineStr">
        <is>
          <t>Stater TLD 40 W (TLD-S10), Philips</t>
        </is>
      </c>
      <c r="C223" s="123" t="inlineStr">
        <is>
          <t>PCS</t>
        </is>
      </c>
      <c r="D223" s="26">
        <f>'Week  (4)'!U223</f>
        <v/>
      </c>
      <c r="E223" s="125" t="n"/>
      <c r="F223" s="55" t="n"/>
      <c r="G223" s="52" t="n"/>
      <c r="H223" s="55" t="n"/>
      <c r="I223" s="71" t="n"/>
      <c r="J223" s="55" t="n"/>
      <c r="K223" s="18" t="n"/>
      <c r="L223" s="73" t="n"/>
      <c r="M223" s="73" t="n"/>
      <c r="N223" s="73" t="n"/>
      <c r="O223" s="19" t="n"/>
      <c r="P223" s="18" t="n"/>
      <c r="Q223" s="18" t="n"/>
      <c r="R223" s="73" t="n"/>
      <c r="S223" s="18" t="n"/>
      <c r="T223" s="18" t="n"/>
      <c r="U223" s="26">
        <f>D223+F223+-(H223+J223+L223+N223+P223+R223+T223)</f>
        <v/>
      </c>
      <c r="V223" t="inlineStr">
        <is>
          <t>LAMP</t>
        </is>
      </c>
    </row>
    <row r="224" ht="15" customHeight="1">
      <c r="A224" s="22">
        <f>A223+1</f>
        <v/>
      </c>
      <c r="B224" s="122" t="inlineStr">
        <is>
          <t>STECKER ARDE BROCO</t>
        </is>
      </c>
      <c r="C224" s="123" t="inlineStr">
        <is>
          <t>PCS</t>
        </is>
      </c>
      <c r="D224" s="26">
        <f>'Week  (4)'!U224</f>
        <v/>
      </c>
      <c r="E224" s="124" t="n"/>
      <c r="F224" s="62" t="n"/>
      <c r="G224" s="25" t="n"/>
      <c r="H224" s="56" t="n"/>
      <c r="I224" s="19" t="n"/>
      <c r="J224" s="64" t="n"/>
      <c r="K224" s="19" t="n"/>
      <c r="L224" s="73" t="n"/>
      <c r="M224" s="73" t="n"/>
      <c r="N224" s="73" t="n"/>
      <c r="O224" s="19" t="inlineStr">
        <is>
          <t>Sumatera 10</t>
        </is>
      </c>
      <c r="P224" s="18" t="n">
        <v>1</v>
      </c>
      <c r="Q224" s="19" t="n"/>
      <c r="R224" s="73" t="n"/>
      <c r="S224" s="18" t="n"/>
      <c r="T224" s="18" t="n"/>
      <c r="U224" s="26">
        <f>D224+F224+-(H224+J224+L224+N224+P224+R224+T224)</f>
        <v/>
      </c>
      <c r="V224" t="inlineStr">
        <is>
          <t>ELECTRICAL</t>
        </is>
      </c>
    </row>
    <row r="225" ht="15" customHeight="1">
      <c r="A225" s="22">
        <f>A224+1</f>
        <v/>
      </c>
      <c r="B225" s="43" t="inlineStr">
        <is>
          <t>Stick of Shower Curtain</t>
        </is>
      </c>
      <c r="C225" s="123" t="inlineStr">
        <is>
          <t>PCS</t>
        </is>
      </c>
      <c r="D225" s="26">
        <f>'Week  (4)'!U225</f>
        <v/>
      </c>
      <c r="E225" s="125" t="n"/>
      <c r="F225" s="55" t="n"/>
      <c r="G225" s="52" t="n"/>
      <c r="H225" s="55" t="n"/>
      <c r="I225" s="71" t="n"/>
      <c r="J225" s="55" t="n"/>
      <c r="K225" s="18" t="n"/>
      <c r="L225" s="73" t="n"/>
      <c r="M225" s="73" t="n"/>
      <c r="N225" s="73" t="n"/>
      <c r="O225" s="19" t="n"/>
      <c r="P225" s="18" t="n"/>
      <c r="Q225" s="19" t="n"/>
      <c r="R225" s="73" t="n"/>
      <c r="S225" s="18" t="n"/>
      <c r="T225" s="18" t="n"/>
      <c r="U225" s="26">
        <f>D225+F225+-(H225+J225+L225+N225+P225+R225+T225)</f>
        <v/>
      </c>
      <c r="V225" t="inlineStr">
        <is>
          <t>CIVIL</t>
        </is>
      </c>
    </row>
    <row r="226" ht="15" customHeight="1">
      <c r="A226" s="22">
        <f>A225+1</f>
        <v/>
      </c>
      <c r="B226" s="122" t="inlineStr">
        <is>
          <t>Stop Contact  AC</t>
        </is>
      </c>
      <c r="C226" s="123" t="inlineStr">
        <is>
          <t>PCS</t>
        </is>
      </c>
      <c r="D226" s="26">
        <f>'Week  (4)'!U226</f>
        <v/>
      </c>
      <c r="E226" s="124" t="n"/>
      <c r="F226" s="62" t="n"/>
      <c r="G226" s="25" t="n"/>
      <c r="H226" s="56" t="n"/>
      <c r="I226" s="19" t="n"/>
      <c r="J226" s="64" t="n"/>
      <c r="K226" s="19" t="n"/>
      <c r="L226" s="64" t="n"/>
      <c r="M226" s="73" t="n"/>
      <c r="N226" s="73" t="n"/>
      <c r="O226" s="19" t="n"/>
      <c r="P226" s="18" t="n"/>
      <c r="Q226" s="19" t="n"/>
      <c r="R226" s="64" t="n"/>
      <c r="S226" s="18" t="n"/>
      <c r="T226" s="18" t="n"/>
      <c r="U226" s="26">
        <f>D226+F226+-(H226+J226+L226+N226+P226+R226+T226)</f>
        <v/>
      </c>
      <c r="V226" t="inlineStr">
        <is>
          <t>AC</t>
        </is>
      </c>
    </row>
    <row r="227" ht="15" customHeight="1">
      <c r="A227" s="22">
        <f>A226+1</f>
        <v/>
      </c>
      <c r="B227" s="122" t="inlineStr">
        <is>
          <t>Stop Contact  Tanam</t>
        </is>
      </c>
      <c r="C227" s="123" t="inlineStr">
        <is>
          <t>PCS</t>
        </is>
      </c>
      <c r="D227" s="26">
        <f>'Week  (4)'!U227</f>
        <v/>
      </c>
      <c r="E227" s="124" t="n"/>
      <c r="F227" s="55" t="n"/>
      <c r="G227" s="52" t="n"/>
      <c r="H227" s="55" t="n"/>
      <c r="I227" s="71" t="n"/>
      <c r="J227" s="55" t="n"/>
      <c r="K227" s="18" t="n"/>
      <c r="L227" s="73" t="n"/>
      <c r="M227" s="73" t="n"/>
      <c r="N227" s="73" t="n"/>
      <c r="O227" s="19" t="n"/>
      <c r="P227" s="18" t="n"/>
      <c r="Q227" s="18" t="n"/>
      <c r="R227" s="73" t="n"/>
      <c r="S227" s="18" t="n"/>
      <c r="T227" s="18" t="n"/>
      <c r="U227" s="26">
        <f>D227+F227+-(H227+J227+L227+N227+P227+R227+T227)</f>
        <v/>
      </c>
      <c r="V227" t="inlineStr">
        <is>
          <t>ELECTRICAL</t>
        </is>
      </c>
    </row>
    <row r="228" ht="15" customHeight="1">
      <c r="A228" s="22">
        <f>A227+1</f>
        <v/>
      </c>
      <c r="B228" s="122" t="inlineStr">
        <is>
          <t>Stop Contact  TEMPEL</t>
        </is>
      </c>
      <c r="C228" s="123" t="inlineStr">
        <is>
          <t>PCS</t>
        </is>
      </c>
      <c r="D228" s="26">
        <f>'Week  (4)'!U228</f>
        <v/>
      </c>
      <c r="E228" s="124" t="n"/>
      <c r="F228" s="62" t="n"/>
      <c r="G228" s="25" t="n"/>
      <c r="H228" s="56" t="n"/>
      <c r="I228" s="19" t="n"/>
      <c r="J228" s="64" t="n"/>
      <c r="K228" s="18" t="n"/>
      <c r="L228" s="73" t="n"/>
      <c r="M228" s="73" t="n"/>
      <c r="N228" s="73" t="n"/>
      <c r="O228" s="19" t="n"/>
      <c r="P228" s="18" t="n"/>
      <c r="Q228" s="19" t="n"/>
      <c r="R228" s="73" t="n"/>
      <c r="S228" s="18" t="n"/>
      <c r="T228" s="18" t="n"/>
      <c r="U228" s="26">
        <f>D228+F228+-(H228+J228+L228+N228+P228+R228+T228)</f>
        <v/>
      </c>
      <c r="V228" t="inlineStr">
        <is>
          <t>ELECTRICAL</t>
        </is>
      </c>
    </row>
    <row r="229" ht="15" customHeight="1">
      <c r="A229" s="22">
        <f>A228+1</f>
        <v/>
      </c>
      <c r="B229" s="38" t="inlineStr">
        <is>
          <t>Straight Coupler  25x 20</t>
        </is>
      </c>
      <c r="C229" s="123" t="inlineStr">
        <is>
          <t>PCS</t>
        </is>
      </c>
      <c r="D229" s="26">
        <f>'Week  (4)'!U229</f>
        <v/>
      </c>
      <c r="E229" s="125" t="n"/>
      <c r="F229" s="55" t="n"/>
      <c r="G229" s="52" t="n"/>
      <c r="H229" s="55" t="n"/>
      <c r="I229" s="71" t="n"/>
      <c r="J229" s="55" t="n"/>
      <c r="K229" s="18" t="n"/>
      <c r="L229" s="73" t="n"/>
      <c r="M229" s="73" t="n"/>
      <c r="N229" s="73" t="n"/>
      <c r="O229" s="19" t="n"/>
      <c r="P229" s="18" t="n"/>
      <c r="Q229" s="18" t="n"/>
      <c r="R229" s="73" t="n"/>
      <c r="S229" s="18" t="n"/>
      <c r="T229" s="18" t="n"/>
      <c r="U229" s="26">
        <f>D229+F229+-(H229+J229+L229+N229+P229+R229+T229)</f>
        <v/>
      </c>
      <c r="V229" t="inlineStr">
        <is>
          <t>VALVE AND PIPE</t>
        </is>
      </c>
    </row>
    <row r="230" ht="15" customHeight="1">
      <c r="A230" s="22">
        <f>A229+1</f>
        <v/>
      </c>
      <c r="B230" s="38" t="inlineStr">
        <is>
          <t>Straight Coupler 32 x 25</t>
        </is>
      </c>
      <c r="C230" s="123" t="inlineStr">
        <is>
          <t>PCS</t>
        </is>
      </c>
      <c r="D230" s="26">
        <f>'Week  (4)'!U230</f>
        <v/>
      </c>
      <c r="E230" s="124" t="n"/>
      <c r="F230" s="62" t="n"/>
      <c r="G230" s="25" t="n"/>
      <c r="H230" s="56" t="n"/>
      <c r="I230" s="19" t="n"/>
      <c r="J230" s="64" t="n"/>
      <c r="K230" s="18" t="n"/>
      <c r="L230" s="73" t="n"/>
      <c r="M230" s="73" t="n"/>
      <c r="N230" s="73" t="n"/>
      <c r="O230" s="19" t="n"/>
      <c r="P230" s="18" t="n"/>
      <c r="Q230" s="18" t="n"/>
      <c r="R230" s="73" t="n"/>
      <c r="S230" s="18" t="n"/>
      <c r="T230" s="18" t="n"/>
      <c r="U230" s="26">
        <f>D230+F230+-(H230+J230+L230+N230+P230+R230+T230)</f>
        <v/>
      </c>
      <c r="V230" t="inlineStr">
        <is>
          <t>VALVE AND PIPE</t>
        </is>
      </c>
    </row>
    <row r="231" ht="15" customHeight="1">
      <c r="A231" s="22">
        <f>A230+1</f>
        <v/>
      </c>
      <c r="B231" s="122" t="inlineStr">
        <is>
          <t>Switch Ceiling Fan</t>
        </is>
      </c>
      <c r="C231" s="123" t="inlineStr">
        <is>
          <t>PCS</t>
        </is>
      </c>
      <c r="D231" s="26">
        <f>'Week  (4)'!U231</f>
        <v/>
      </c>
      <c r="E231" s="125" t="n"/>
      <c r="F231" s="55" t="n"/>
      <c r="G231" s="52" t="n"/>
      <c r="H231" s="55" t="n"/>
      <c r="I231" s="71" t="n"/>
      <c r="J231" s="55" t="n"/>
      <c r="K231" s="18" t="n"/>
      <c r="L231" s="73" t="n"/>
      <c r="M231" s="73" t="n"/>
      <c r="N231" s="73" t="n"/>
      <c r="O231" s="19" t="n"/>
      <c r="P231" s="18" t="n"/>
      <c r="Q231" s="18" t="n"/>
      <c r="R231" s="73" t="n"/>
      <c r="S231" s="18" t="n"/>
      <c r="T231" s="18" t="n"/>
      <c r="U231" s="26">
        <f>D231+F231+-(H231+J231+L231+N231+P231+R231+T231)</f>
        <v/>
      </c>
      <c r="V231" t="inlineStr">
        <is>
          <t>ELECTRICAL</t>
        </is>
      </c>
    </row>
    <row r="232" ht="15" customHeight="1">
      <c r="A232" s="22">
        <f>A231+1</f>
        <v/>
      </c>
      <c r="B232" s="122" t="inlineStr">
        <is>
          <t>Switch Ceiling Lamp</t>
        </is>
      </c>
      <c r="C232" s="131" t="inlineStr">
        <is>
          <t>PCS</t>
        </is>
      </c>
      <c r="D232" s="26">
        <f>'Week  (4)'!U232</f>
        <v/>
      </c>
      <c r="E232" s="124" t="n"/>
      <c r="F232" s="62" t="n"/>
      <c r="G232" s="25" t="n"/>
      <c r="H232" s="56" t="n"/>
      <c r="I232" s="19" t="n"/>
      <c r="J232" s="64" t="n"/>
      <c r="K232" s="18" t="n"/>
      <c r="L232" s="73" t="n"/>
      <c r="M232" s="73" t="n"/>
      <c r="N232" s="73" t="n"/>
      <c r="O232" s="19" t="n"/>
      <c r="P232" s="18" t="n"/>
      <c r="Q232" s="18" t="n"/>
      <c r="R232" s="73" t="n"/>
      <c r="S232" s="18" t="n"/>
      <c r="T232" s="18" t="n"/>
      <c r="U232" s="26">
        <f>D232+F232+-(H232+J232+L232+N232+P232+R232+T232)</f>
        <v/>
      </c>
      <c r="V232" t="inlineStr">
        <is>
          <t>ELECTRICAL</t>
        </is>
      </c>
    </row>
    <row r="233" ht="30" customHeight="1">
      <c r="A233" s="22">
        <f>A232+1</f>
        <v/>
      </c>
      <c r="B233" s="30" t="inlineStr">
        <is>
          <t>Tap  for Kitchen Sink Dupon 8938 NC, Hot and Cold</t>
        </is>
      </c>
      <c r="C233" s="46" t="inlineStr">
        <is>
          <t>SET</t>
        </is>
      </c>
      <c r="D233" s="26">
        <f>'Week  (4)'!U233</f>
        <v/>
      </c>
      <c r="E233" s="125" t="n"/>
      <c r="F233" s="55" t="n"/>
      <c r="G233" s="52" t="n"/>
      <c r="H233" s="55" t="n"/>
      <c r="I233" s="71" t="n"/>
      <c r="J233" s="55" t="n"/>
      <c r="K233" s="18" t="n"/>
      <c r="L233" s="73" t="n"/>
      <c r="M233" s="73" t="n"/>
      <c r="N233" s="73" t="n"/>
      <c r="O233" s="19" t="n"/>
      <c r="P233" s="18" t="n"/>
      <c r="Q233" s="18" t="n"/>
      <c r="R233" s="73" t="n"/>
      <c r="S233" s="18" t="n"/>
      <c r="T233" s="18" t="n"/>
      <c r="U233" s="26">
        <f>D233+F233+-(H233+J233+L233+N233+P233+R233+T233)</f>
        <v/>
      </c>
      <c r="V233" t="inlineStr">
        <is>
          <t>VALVE AND PIPE</t>
        </is>
      </c>
    </row>
    <row r="234" ht="30" customHeight="1">
      <c r="A234" s="22">
        <f>A233+1</f>
        <v/>
      </c>
      <c r="B234" s="122" t="inlineStr">
        <is>
          <t>Tap  for Washbasin Dupon, Hot and Cold</t>
        </is>
      </c>
      <c r="C234" s="46" t="inlineStr">
        <is>
          <t>SET</t>
        </is>
      </c>
      <c r="D234" s="26">
        <f>'Week  (4)'!U234</f>
        <v/>
      </c>
      <c r="E234" s="124" t="n"/>
      <c r="F234" s="62" t="n"/>
      <c r="G234" s="25" t="n"/>
      <c r="H234" s="56" t="n"/>
      <c r="I234" s="19" t="n"/>
      <c r="J234" s="64" t="n"/>
      <c r="K234" s="18" t="n"/>
      <c r="L234" s="73" t="n"/>
      <c r="M234" s="73" t="n"/>
      <c r="N234" s="73" t="n"/>
      <c r="O234" s="19" t="n"/>
      <c r="P234" s="18" t="n"/>
      <c r="Q234" s="18" t="n"/>
      <c r="R234" s="73" t="n"/>
      <c r="S234" s="18" t="n"/>
      <c r="T234" s="18" t="n"/>
      <c r="U234" s="26">
        <f>D234+F234+-(H234+J234+L234+N234+P234+R234+T234)</f>
        <v/>
      </c>
      <c r="V234" t="inlineStr">
        <is>
          <t>VALVE AND PIPE</t>
        </is>
      </c>
    </row>
    <row r="235" ht="30" customHeight="1">
      <c r="A235" s="22">
        <f>A234+1</f>
        <v/>
      </c>
      <c r="B235" s="122" t="inlineStr">
        <is>
          <t>Tap  for Washbasin FIORENTINO , Hot and Cold</t>
        </is>
      </c>
      <c r="C235" s="46" t="inlineStr">
        <is>
          <t>SET</t>
        </is>
      </c>
      <c r="D235" s="26">
        <f>'Week  (4)'!U235</f>
        <v/>
      </c>
      <c r="E235" s="125" t="n"/>
      <c r="F235" s="55" t="n"/>
      <c r="G235" s="52" t="n"/>
      <c r="H235" s="55" t="n"/>
      <c r="I235" s="71" t="n"/>
      <c r="J235" s="55" t="n"/>
      <c r="K235" s="18" t="n"/>
      <c r="L235" s="73" t="n"/>
      <c r="M235" s="73" t="n"/>
      <c r="N235" s="73" t="n"/>
      <c r="O235" s="19" t="n"/>
      <c r="P235" s="18" t="n"/>
      <c r="Q235" s="18" t="n"/>
      <c r="R235" s="73" t="n"/>
      <c r="S235" s="18" t="n"/>
      <c r="T235" s="18" t="n"/>
      <c r="U235" s="26">
        <f>D235+F235+-(H235+J235+L235+N235+P235+R235+T235)</f>
        <v/>
      </c>
      <c r="V235" t="inlineStr">
        <is>
          <t>VALVE AND PIPE</t>
        </is>
      </c>
    </row>
    <row r="236" ht="15" customHeight="1">
      <c r="A236" s="22">
        <f>A235+1</f>
        <v/>
      </c>
      <c r="B236" s="122" t="inlineStr">
        <is>
          <t>Tap  Mono Wash Basin</t>
        </is>
      </c>
      <c r="C236" s="46" t="inlineStr">
        <is>
          <t>SET</t>
        </is>
      </c>
      <c r="D236" s="26">
        <f>'Week  (4)'!U236</f>
        <v/>
      </c>
      <c r="E236" s="124" t="n"/>
      <c r="F236" s="62" t="n"/>
      <c r="G236" s="25" t="n"/>
      <c r="H236" s="56" t="n"/>
      <c r="I236" s="19" t="n"/>
      <c r="J236" s="64" t="n"/>
      <c r="K236" s="18" t="n"/>
      <c r="L236" s="73" t="n"/>
      <c r="M236" s="73" t="n"/>
      <c r="N236" s="73" t="n"/>
      <c r="O236" s="19" t="n"/>
      <c r="P236" s="18" t="n"/>
      <c r="Q236" s="18" t="n"/>
      <c r="R236" s="73" t="n"/>
      <c r="S236" s="18" t="n"/>
      <c r="T236" s="18" t="n"/>
      <c r="U236" s="26">
        <f>D236+F236+-(H236+J236+L236+N236+P236+R236+T236)</f>
        <v/>
      </c>
      <c r="V236" t="inlineStr">
        <is>
          <t>VALVE AND PIPE</t>
        </is>
      </c>
    </row>
    <row r="237" ht="28.5" customHeight="1">
      <c r="A237" s="22">
        <f>A236+1</f>
        <v/>
      </c>
      <c r="B237" s="122" t="inlineStr">
        <is>
          <t>Tap for Mono  Shower</t>
        </is>
      </c>
      <c r="C237" s="131" t="inlineStr">
        <is>
          <t>PCS</t>
        </is>
      </c>
      <c r="D237" s="26">
        <f>'Week  (4)'!U237</f>
        <v/>
      </c>
      <c r="E237" s="125" t="n"/>
      <c r="F237" s="55" t="n"/>
      <c r="G237" s="25" t="n"/>
      <c r="H237" s="55" t="n"/>
      <c r="I237" s="71" t="n"/>
      <c r="J237" s="55" t="n"/>
      <c r="K237" s="18" t="n"/>
      <c r="L237" s="73" t="n"/>
      <c r="M237" s="73" t="n"/>
      <c r="N237" s="73" t="n"/>
      <c r="O237" s="19" t="n"/>
      <c r="P237" s="18" t="n"/>
      <c r="Q237" s="18" t="n"/>
      <c r="R237" s="73" t="n"/>
      <c r="S237" s="18" t="n"/>
      <c r="T237" s="18" t="n"/>
      <c r="U237" s="26">
        <f>D237+F237+-(H237+J237+L237+N237+P237+R237+T237)</f>
        <v/>
      </c>
      <c r="V237" t="inlineStr">
        <is>
          <t>VALVE AND PIPE</t>
        </is>
      </c>
    </row>
    <row r="238" ht="30" customHeight="1">
      <c r="A238" s="22">
        <f>A237+1</f>
        <v/>
      </c>
      <c r="B238" s="122" t="inlineStr">
        <is>
          <t xml:space="preserve">Tap for Shower, Dupon  Hot &amp; Clod </t>
        </is>
      </c>
      <c r="C238" s="131" t="inlineStr">
        <is>
          <t>SET</t>
        </is>
      </c>
      <c r="D238" s="26">
        <f>'Week  (4)'!U238</f>
        <v/>
      </c>
      <c r="E238" s="124" t="n"/>
      <c r="F238" s="62" t="n"/>
      <c r="G238" s="25" t="n"/>
      <c r="H238" s="56" t="n"/>
      <c r="I238" s="19" t="n"/>
      <c r="J238" s="64" t="n"/>
      <c r="K238" s="18" t="n"/>
      <c r="L238" s="73" t="n"/>
      <c r="M238" s="73" t="n"/>
      <c r="N238" s="73" t="n"/>
      <c r="O238" s="19" t="n"/>
      <c r="P238" s="18" t="n"/>
      <c r="Q238" s="18" t="n"/>
      <c r="R238" s="73" t="n"/>
      <c r="S238" s="18" t="n"/>
      <c r="T238" s="18" t="n"/>
      <c r="U238" s="26">
        <f>D238+F238+-(H238+J238+L238+N238+P238+R238+T238)</f>
        <v/>
      </c>
      <c r="V238" t="inlineStr">
        <is>
          <t>VALVE AND PIPE</t>
        </is>
      </c>
    </row>
    <row r="239" ht="30" customHeight="1">
      <c r="A239" s="22">
        <f>A238+1</f>
        <v/>
      </c>
      <c r="B239" s="122" t="inlineStr">
        <is>
          <t xml:space="preserve">Tap for Shower, WASER  Hot &amp; Clod </t>
        </is>
      </c>
      <c r="C239" s="131" t="inlineStr">
        <is>
          <t>SET</t>
        </is>
      </c>
      <c r="D239" s="26">
        <f>'Week  (4)'!U239</f>
        <v/>
      </c>
      <c r="E239" s="125" t="n"/>
      <c r="F239" s="55" t="n"/>
      <c r="G239" s="52" t="n"/>
      <c r="H239" s="55" t="n"/>
      <c r="I239" s="71" t="n"/>
      <c r="J239" s="55" t="n"/>
      <c r="K239" s="18" t="n"/>
      <c r="L239" s="73" t="n"/>
      <c r="M239" s="73" t="n"/>
      <c r="N239" s="73" t="n"/>
      <c r="O239" s="19" t="n"/>
      <c r="P239" s="18" t="n"/>
      <c r="Q239" s="18" t="n"/>
      <c r="R239" s="73" t="n"/>
      <c r="S239" s="18" t="n"/>
      <c r="T239" s="18" t="n"/>
      <c r="U239" s="26">
        <f>D239+F239+-(H239+J239+L239+N239+P239+R239+T239)</f>
        <v/>
      </c>
      <c r="V239" t="inlineStr">
        <is>
          <t>VALVE AND PIPE</t>
        </is>
      </c>
    </row>
    <row r="240" ht="15" customHeight="1">
      <c r="A240" s="22">
        <f>A239+1</f>
        <v/>
      </c>
      <c r="B240" s="43" t="inlineStr">
        <is>
          <t>Tap of Bath Tub, Dupon</t>
        </is>
      </c>
      <c r="C240" s="131" t="inlineStr">
        <is>
          <t>SET</t>
        </is>
      </c>
      <c r="D240" s="26">
        <f>'Week  (4)'!U240</f>
        <v/>
      </c>
      <c r="E240" s="124" t="n"/>
      <c r="F240" s="62" t="n"/>
      <c r="G240" s="25" t="n"/>
      <c r="H240" s="56" t="n"/>
      <c r="I240" s="19" t="n"/>
      <c r="J240" s="64" t="n"/>
      <c r="K240" s="18" t="n"/>
      <c r="L240" s="73" t="n"/>
      <c r="M240" s="73" t="n"/>
      <c r="N240" s="73" t="n"/>
      <c r="O240" s="19" t="n"/>
      <c r="P240" s="18" t="n"/>
      <c r="Q240" s="18" t="n"/>
      <c r="R240" s="73" t="n"/>
      <c r="S240" s="18" t="n"/>
      <c r="T240" s="18" t="n"/>
      <c r="U240" s="26">
        <f>D240+F240+-(H240+J240+L240+N240+P240+R240+T240)</f>
        <v/>
      </c>
      <c r="V240" t="inlineStr">
        <is>
          <t>VALVE AND PIPE</t>
        </is>
      </c>
    </row>
    <row r="241" ht="15" customHeight="1">
      <c r="A241" s="22">
        <f>A240+1</f>
        <v/>
      </c>
      <c r="B241" s="43" t="inlineStr">
        <is>
          <t xml:space="preserve">Tap of Bath Tub, WASSER </t>
        </is>
      </c>
      <c r="C241" s="131" t="inlineStr">
        <is>
          <t>SET</t>
        </is>
      </c>
      <c r="D241" s="26">
        <f>'Week  (4)'!U241</f>
        <v/>
      </c>
      <c r="E241" s="125" t="n"/>
      <c r="F241" s="55" t="n"/>
      <c r="G241" s="52" t="n"/>
      <c r="H241" s="55" t="n"/>
      <c r="I241" s="71" t="n"/>
      <c r="J241" s="55" t="n"/>
      <c r="K241" s="18" t="n"/>
      <c r="L241" s="73" t="n"/>
      <c r="M241" s="73" t="n"/>
      <c r="N241" s="73" t="n"/>
      <c r="O241" s="19" t="n"/>
      <c r="P241" s="18" t="n"/>
      <c r="Q241" s="18" t="n"/>
      <c r="R241" s="73" t="n"/>
      <c r="S241" s="18" t="n"/>
      <c r="T241" s="18" t="n"/>
      <c r="U241" s="26">
        <f>D241+F241+-(H241+J241+L241+N241+P241+R241+T241)</f>
        <v/>
      </c>
      <c r="V241" t="inlineStr">
        <is>
          <t>VALVE AND PIPE</t>
        </is>
      </c>
    </row>
    <row r="242" ht="15" customHeight="1">
      <c r="A242" s="22">
        <f>A241+1</f>
        <v/>
      </c>
      <c r="B242" s="122" t="inlineStr">
        <is>
          <t>Tap of Water Dispenser</t>
        </is>
      </c>
      <c r="C242" s="131" t="inlineStr">
        <is>
          <t>PCS</t>
        </is>
      </c>
      <c r="D242" s="26">
        <f>'Week  (4)'!U242</f>
        <v/>
      </c>
      <c r="E242" s="124" t="n"/>
      <c r="F242" s="62" t="n"/>
      <c r="G242" s="25" t="n"/>
      <c r="H242" s="56" t="n"/>
      <c r="I242" s="19" t="n"/>
      <c r="J242" s="64" t="n"/>
      <c r="K242" s="18" t="n"/>
      <c r="L242" s="73" t="n"/>
      <c r="M242" s="73" t="n"/>
      <c r="N242" s="73" t="n"/>
      <c r="O242" s="19" t="n"/>
      <c r="P242" s="18" t="n"/>
      <c r="Q242" s="18" t="n"/>
      <c r="R242" s="73" t="n"/>
      <c r="S242" s="18" t="n"/>
      <c r="T242" s="18" t="n"/>
      <c r="U242" s="26">
        <f>D242+F242+-(H242+J242+L242+N242+P242+R242+T242)</f>
        <v/>
      </c>
      <c r="V242" t="inlineStr">
        <is>
          <t>CONSUMABLE</t>
        </is>
      </c>
    </row>
    <row r="243" ht="30" customHeight="1">
      <c r="A243" s="22">
        <f>A242+1</f>
        <v/>
      </c>
      <c r="B243" s="122" t="inlineStr">
        <is>
          <t>Tap size 0.5", ONDA ( KRAN ONDA )</t>
        </is>
      </c>
      <c r="C243" s="131" t="inlineStr">
        <is>
          <t>PCS</t>
        </is>
      </c>
      <c r="D243" s="26">
        <f>'Week  (4)'!U243</f>
        <v/>
      </c>
      <c r="E243" s="125" t="n"/>
      <c r="F243" s="55" t="n"/>
      <c r="G243" s="125" t="n"/>
      <c r="H243" s="55" t="n"/>
      <c r="I243" s="71" t="n"/>
      <c r="J243" s="55" t="n"/>
      <c r="K243" s="18" t="n"/>
      <c r="L243" s="73" t="n"/>
      <c r="M243" s="73" t="n"/>
      <c r="N243" s="73" t="n"/>
      <c r="O243" s="19" t="n"/>
      <c r="P243" s="18" t="n"/>
      <c r="Q243" s="18" t="n"/>
      <c r="R243" s="73" t="n"/>
      <c r="S243" s="18" t="n"/>
      <c r="T243" s="18" t="n"/>
      <c r="U243" s="26">
        <f>D243+F243+-(H243+J243+L243+N243+P243+R243+T243)</f>
        <v/>
      </c>
      <c r="V243" t="inlineStr">
        <is>
          <t>VALVE AND PIPE</t>
        </is>
      </c>
    </row>
    <row r="244">
      <c r="A244" s="22">
        <f>A243+1</f>
        <v/>
      </c>
      <c r="B244" s="79" t="inlineStr">
        <is>
          <t>Tee Besi 1/2"</t>
        </is>
      </c>
      <c r="C244" s="18" t="inlineStr">
        <is>
          <t>Pcs</t>
        </is>
      </c>
      <c r="D244" s="26">
        <f>'Week  (4)'!U244</f>
        <v/>
      </c>
      <c r="E244" s="124" t="n"/>
      <c r="F244" s="62" t="n"/>
      <c r="G244" s="25" t="n"/>
      <c r="H244" s="56" t="n"/>
      <c r="I244" s="19" t="n"/>
      <c r="J244" s="64" t="n"/>
      <c r="K244" s="18" t="n"/>
      <c r="L244" s="73" t="n"/>
      <c r="M244" s="73" t="n"/>
      <c r="N244" s="73" t="n"/>
      <c r="O244" s="19" t="n"/>
      <c r="P244" s="18" t="n"/>
      <c r="Q244" s="18" t="n"/>
      <c r="R244" s="73" t="n"/>
      <c r="S244" s="18" t="n"/>
      <c r="T244" s="18" t="n"/>
      <c r="U244" s="26">
        <f>D244+F244+-(H244+J244+L244+N244+P244+R244+T244)</f>
        <v/>
      </c>
      <c r="V244" t="inlineStr">
        <is>
          <t>VALVE AND PIPE</t>
        </is>
      </c>
    </row>
    <row r="245" ht="15" customHeight="1">
      <c r="A245" s="22">
        <f>A244+1</f>
        <v/>
      </c>
      <c r="B245" s="122" t="inlineStr">
        <is>
          <t>Tee Galvanis</t>
        </is>
      </c>
      <c r="C245" s="131" t="inlineStr">
        <is>
          <t>PCS</t>
        </is>
      </c>
      <c r="D245" s="26">
        <f>'Week  (4)'!U245</f>
        <v/>
      </c>
      <c r="E245" s="125" t="n"/>
      <c r="F245" s="55" t="n"/>
      <c r="G245" s="52" t="n"/>
      <c r="H245" s="55" t="n"/>
      <c r="I245" s="71" t="n"/>
      <c r="J245" s="55" t="n"/>
      <c r="K245" s="18" t="n"/>
      <c r="L245" s="73" t="n"/>
      <c r="M245" s="73" t="n"/>
      <c r="N245" s="73" t="n"/>
      <c r="O245" s="19" t="n"/>
      <c r="P245" s="18" t="n"/>
      <c r="Q245" s="18" t="n"/>
      <c r="R245" s="73" t="n"/>
      <c r="S245" s="18" t="n"/>
      <c r="T245" s="18" t="n"/>
      <c r="U245" s="26">
        <f>D245+F245+-(H245+J245+L245+N245+P245+R245+T245)</f>
        <v/>
      </c>
      <c r="V245" t="inlineStr">
        <is>
          <t>VALVE AND PIPE</t>
        </is>
      </c>
    </row>
    <row r="246">
      <c r="A246" s="22">
        <f>A245+1</f>
        <v/>
      </c>
      <c r="B246" s="79" t="inlineStr">
        <is>
          <t>TEE PVC AW  1"</t>
        </is>
      </c>
      <c r="C246" s="18" t="inlineStr">
        <is>
          <t>Pcs</t>
        </is>
      </c>
      <c r="D246" s="26">
        <f>'Week  (4)'!U246</f>
        <v/>
      </c>
      <c r="E246" s="124" t="n"/>
      <c r="F246" s="62" t="n"/>
      <c r="G246" s="25" t="n"/>
      <c r="H246" s="56" t="n"/>
      <c r="I246" s="19" t="n"/>
      <c r="J246" s="64" t="n"/>
      <c r="K246" s="18" t="n"/>
      <c r="L246" s="73" t="n"/>
      <c r="M246" s="73" t="n"/>
      <c r="N246" s="73" t="n"/>
      <c r="O246" s="19" t="n"/>
      <c r="P246" s="18" t="n"/>
      <c r="Q246" s="18" t="n"/>
      <c r="R246" s="73" t="n"/>
      <c r="S246" s="18" t="n"/>
      <c r="T246" s="18" t="n"/>
      <c r="U246" s="26">
        <f>D246+F246+-(H246+J246+L246+N246+P246+R246+T246)</f>
        <v/>
      </c>
      <c r="V246" t="inlineStr">
        <is>
          <t>VALVE AND PIPE</t>
        </is>
      </c>
    </row>
    <row r="247">
      <c r="A247" s="22">
        <f>A246+1</f>
        <v/>
      </c>
      <c r="B247" s="79" t="inlineStr">
        <is>
          <t>TEE PVC AW  3/4"</t>
        </is>
      </c>
      <c r="C247" s="18" t="inlineStr">
        <is>
          <t>Pcs</t>
        </is>
      </c>
      <c r="D247" s="26">
        <f>'Week  (4)'!U247</f>
        <v/>
      </c>
      <c r="E247" s="124" t="n"/>
      <c r="F247" s="55" t="n"/>
      <c r="G247" s="52" t="n"/>
      <c r="H247" s="55" t="n"/>
      <c r="I247" s="71" t="n"/>
      <c r="J247" s="55" t="n"/>
      <c r="K247" s="18" t="n"/>
      <c r="L247" s="73" t="n"/>
      <c r="M247" s="73" t="n"/>
      <c r="N247" s="73" t="n"/>
      <c r="O247" s="19" t="n"/>
      <c r="P247" s="18" t="n"/>
      <c r="Q247" s="18" t="n"/>
      <c r="R247" s="73" t="n"/>
      <c r="S247" s="18" t="n"/>
      <c r="T247" s="18" t="n"/>
      <c r="U247" s="26">
        <f>D247+F247+-(H247+J247+L247+N247+P247+R247+T247)</f>
        <v/>
      </c>
      <c r="V247" t="inlineStr">
        <is>
          <t>VALVE AND PIPE</t>
        </is>
      </c>
    </row>
    <row r="248">
      <c r="A248" s="22">
        <f>A247+1</f>
        <v/>
      </c>
      <c r="B248" s="79" t="inlineStr">
        <is>
          <t>TEE PVC AW 1/2"</t>
        </is>
      </c>
      <c r="C248" s="18" t="inlineStr">
        <is>
          <t>Pcs</t>
        </is>
      </c>
      <c r="D248" s="26">
        <f>'Week  (4)'!U248</f>
        <v/>
      </c>
      <c r="E248" s="124" t="n"/>
      <c r="F248" s="62" t="n"/>
      <c r="G248" s="25" t="n"/>
      <c r="H248" s="56" t="n"/>
      <c r="I248" s="19" t="n"/>
      <c r="J248" s="64" t="n"/>
      <c r="K248" s="18" t="n"/>
      <c r="L248" s="73" t="n"/>
      <c r="M248" s="73" t="n"/>
      <c r="N248" s="73" t="n"/>
      <c r="O248" s="19" t="n"/>
      <c r="P248" s="18" t="n"/>
      <c r="Q248" s="18" t="n"/>
      <c r="R248" s="73" t="n"/>
      <c r="S248" s="18" t="n"/>
      <c r="T248" s="18" t="n"/>
      <c r="U248" s="26">
        <f>D248+F248+-(H248+J248+L248+N248+P248+R248+T248)</f>
        <v/>
      </c>
      <c r="V248" t="inlineStr">
        <is>
          <t>VALVE AND PIPE</t>
        </is>
      </c>
    </row>
    <row r="249">
      <c r="A249" s="22">
        <f>A248+1</f>
        <v/>
      </c>
      <c r="B249" s="79" t="inlineStr">
        <is>
          <t>TEE PVC AW 2"</t>
        </is>
      </c>
      <c r="C249" s="18" t="inlineStr">
        <is>
          <t>Pcs</t>
        </is>
      </c>
      <c r="D249" s="26">
        <f>'Week  (4)'!U249</f>
        <v/>
      </c>
      <c r="E249" s="125" t="n"/>
      <c r="F249" s="55" t="n"/>
      <c r="G249" s="52" t="n"/>
      <c r="H249" s="55" t="n"/>
      <c r="I249" s="71" t="n"/>
      <c r="J249" s="55" t="n"/>
      <c r="K249" s="18" t="n"/>
      <c r="L249" s="73" t="n"/>
      <c r="M249" s="73" t="n"/>
      <c r="N249" s="73" t="n"/>
      <c r="O249" s="19" t="n"/>
      <c r="P249" s="18" t="n"/>
      <c r="Q249" s="18" t="n"/>
      <c r="R249" s="73" t="n"/>
      <c r="S249" s="18" t="n"/>
      <c r="T249" s="18" t="n"/>
      <c r="U249" s="26">
        <f>D249+F249+-(H249+J249+L249+N249+P249+R249+T249)</f>
        <v/>
      </c>
      <c r="V249" t="inlineStr">
        <is>
          <t>VALVE AND PIPE</t>
        </is>
      </c>
    </row>
    <row r="250" ht="15" customHeight="1">
      <c r="A250" s="22">
        <f>A249+1</f>
        <v/>
      </c>
      <c r="B250" s="30" t="inlineStr">
        <is>
          <t>TERMINAL 4 PAIR</t>
        </is>
      </c>
      <c r="C250" s="46" t="inlineStr">
        <is>
          <t>PCS</t>
        </is>
      </c>
      <c r="D250" s="26">
        <f>'Week  (4)'!U250</f>
        <v/>
      </c>
      <c r="E250" s="124" t="n"/>
      <c r="F250" s="62" t="n"/>
      <c r="G250" s="25" t="n"/>
      <c r="H250" s="56" t="n"/>
      <c r="I250" s="19" t="n"/>
      <c r="J250" s="64" t="n"/>
      <c r="K250" s="18" t="n"/>
      <c r="L250" s="73" t="n"/>
      <c r="M250" s="73" t="n"/>
      <c r="N250" s="73" t="n"/>
      <c r="O250" s="19" t="n"/>
      <c r="P250" s="18" t="n"/>
      <c r="Q250" s="18" t="n"/>
      <c r="R250" s="73" t="n"/>
      <c r="S250" s="18" t="n"/>
      <c r="T250" s="18" t="n"/>
      <c r="U250" s="26">
        <f>D250+F250+-(H250+J250+L250+N250+P250+R250+T250)</f>
        <v/>
      </c>
      <c r="V250" t="inlineStr">
        <is>
          <t>ELECTRICAL</t>
        </is>
      </c>
    </row>
    <row r="251" ht="15" customHeight="1">
      <c r="A251" s="22">
        <f>A250+1</f>
        <v/>
      </c>
      <c r="B251" s="30" t="inlineStr">
        <is>
          <t>TEMPAT HANDUK</t>
        </is>
      </c>
      <c r="C251" s="46" t="inlineStr">
        <is>
          <t>SET</t>
        </is>
      </c>
      <c r="D251" s="26">
        <f>'Week  (4)'!U251</f>
        <v/>
      </c>
      <c r="E251" s="125" t="n"/>
      <c r="F251" s="55" t="n"/>
      <c r="G251" s="52" t="n"/>
      <c r="H251" s="55" t="n"/>
      <c r="I251" s="71" t="n"/>
      <c r="J251" s="55" t="n"/>
      <c r="K251" s="18" t="n"/>
      <c r="L251" s="73" t="n"/>
      <c r="M251" s="73" t="n"/>
      <c r="N251" s="73" t="n"/>
      <c r="O251" s="19" t="n"/>
      <c r="P251" s="18" t="n"/>
      <c r="Q251" s="18" t="n"/>
      <c r="R251" s="73" t="n"/>
      <c r="S251" s="18" t="n"/>
      <c r="T251" s="18" t="n"/>
      <c r="U251" s="26">
        <f>D251+F251+-(H251+J251+L251+N251+P251+R251+T251)</f>
        <v/>
      </c>
      <c r="V251" t="inlineStr">
        <is>
          <t>CONSUMABLE</t>
        </is>
      </c>
    </row>
    <row r="252" ht="60" customHeight="1">
      <c r="A252" s="22">
        <f>A251+1</f>
        <v/>
      </c>
      <c r="B252" s="43" t="inlineStr">
        <is>
          <t>Thinner A Special</t>
        </is>
      </c>
      <c r="C252" s="46" t="inlineStr">
        <is>
          <t>LTR</t>
        </is>
      </c>
      <c r="D252" s="26">
        <f>'Week  (4)'!U252</f>
        <v/>
      </c>
      <c r="E252" s="129" t="n"/>
      <c r="F252" s="62" t="n"/>
      <c r="G252" s="19" t="n"/>
      <c r="H252" s="18" t="n"/>
      <c r="I252" s="19" t="n"/>
      <c r="J252" s="18" t="n"/>
      <c r="K252" s="19" t="n"/>
      <c r="L252" s="18" t="n"/>
      <c r="M252" s="19" t="n"/>
      <c r="N252" s="18" t="n"/>
      <c r="O252" s="19" t="inlineStr">
        <is>
          <t>Lombok 16 &amp; 18</t>
        </is>
      </c>
      <c r="P252" s="70" t="n">
        <v>1</v>
      </c>
      <c r="Q252" s="19" t="n"/>
      <c r="R252" s="70" t="n"/>
      <c r="S252" s="18" t="n"/>
      <c r="T252" s="18" t="n"/>
      <c r="U252" s="26">
        <f>D252+F252+-(H252+J252+L252+N252+P252+R252+T252)</f>
        <v/>
      </c>
      <c r="V252" t="inlineStr">
        <is>
          <t>CIVIL</t>
        </is>
      </c>
    </row>
    <row r="253" ht="15" customHeight="1">
      <c r="A253" s="22">
        <f>A252+1</f>
        <v/>
      </c>
      <c r="B253" s="122" t="inlineStr">
        <is>
          <t>TL Lamp 18 W, Ballas Philips</t>
        </is>
      </c>
      <c r="C253" s="131" t="inlineStr">
        <is>
          <t>PCS</t>
        </is>
      </c>
      <c r="D253" s="26">
        <f>'Week  (4)'!U253</f>
        <v/>
      </c>
      <c r="E253" s="125" t="n"/>
      <c r="F253" s="55" t="n"/>
      <c r="G253" s="52" t="n"/>
      <c r="H253" s="55" t="n"/>
      <c r="I253" s="71" t="n"/>
      <c r="J253" s="55" t="n"/>
      <c r="K253" s="18" t="n"/>
      <c r="L253" s="73" t="n"/>
      <c r="M253" s="73" t="n"/>
      <c r="N253" s="73" t="n"/>
      <c r="O253" s="19" t="n"/>
      <c r="P253" s="18" t="n"/>
      <c r="Q253" s="18" t="n"/>
      <c r="R253" s="73" t="n"/>
      <c r="S253" s="18" t="n"/>
      <c r="T253" s="18" t="n"/>
      <c r="U253" s="26">
        <f>D253+F253+-(H253+J253+L253+N253+P253+R253+T253)</f>
        <v/>
      </c>
      <c r="V253" t="inlineStr">
        <is>
          <t>LAMP</t>
        </is>
      </c>
    </row>
    <row r="254" ht="15" customHeight="1">
      <c r="A254" s="22">
        <f>A253+1</f>
        <v/>
      </c>
      <c r="B254" s="122" t="inlineStr">
        <is>
          <t>TL Lamp 18 W, Philips</t>
        </is>
      </c>
      <c r="C254" s="131" t="inlineStr">
        <is>
          <t>PCS</t>
        </is>
      </c>
      <c r="D254" s="26">
        <f>'Week  (4)'!U254</f>
        <v/>
      </c>
      <c r="E254" s="124" t="n"/>
      <c r="F254" s="62" t="n"/>
      <c r="G254" s="25" t="n"/>
      <c r="H254" s="56" t="n"/>
      <c r="I254" s="19" t="n"/>
      <c r="J254" s="64" t="n"/>
      <c r="K254" s="18" t="n"/>
      <c r="L254" s="73" t="n"/>
      <c r="M254" s="73" t="n"/>
      <c r="N254" s="73" t="n"/>
      <c r="O254" s="19" t="n"/>
      <c r="P254" s="18" t="n"/>
      <c r="Q254" s="18" t="n"/>
      <c r="R254" s="73" t="n"/>
      <c r="S254" s="18" t="n"/>
      <c r="T254" s="18" t="n"/>
      <c r="U254" s="26">
        <f>D254+F254+-(H254+J254+L254+N254+P254+R254+T254)</f>
        <v/>
      </c>
      <c r="V254" t="inlineStr">
        <is>
          <t>LAMP</t>
        </is>
      </c>
    </row>
    <row r="255" ht="15" customHeight="1">
      <c r="A255" s="22">
        <f>A254+1</f>
        <v/>
      </c>
      <c r="B255" s="122" t="inlineStr">
        <is>
          <t>TL Lamp 36 W, Ballas Philips</t>
        </is>
      </c>
      <c r="C255" s="131" t="inlineStr">
        <is>
          <t>PCS</t>
        </is>
      </c>
      <c r="D255" s="26">
        <f>'Week  (4)'!U255</f>
        <v/>
      </c>
      <c r="E255" s="125" t="n"/>
      <c r="F255" s="55" t="n"/>
      <c r="G255" s="52" t="n"/>
      <c r="H255" s="55" t="n"/>
      <c r="I255" s="71" t="n"/>
      <c r="J255" s="55" t="n"/>
      <c r="K255" s="18" t="n"/>
      <c r="L255" s="73" t="n"/>
      <c r="M255" s="73" t="n"/>
      <c r="N255" s="73" t="n"/>
      <c r="O255" s="19" t="n"/>
      <c r="P255" s="18" t="n"/>
      <c r="Q255" s="18" t="n"/>
      <c r="R255" s="73" t="n"/>
      <c r="S255" s="18" t="n"/>
      <c r="T255" s="18" t="n"/>
      <c r="U255" s="26">
        <f>D255+F255+-(H255+J255+L255+N255+P255+R255+T255)</f>
        <v/>
      </c>
      <c r="V255" t="inlineStr">
        <is>
          <t>LAMP</t>
        </is>
      </c>
    </row>
    <row r="256" ht="15" customHeight="1">
      <c r="A256" s="22">
        <f>A255+1</f>
        <v/>
      </c>
      <c r="B256" s="30" t="inlineStr">
        <is>
          <t>TL Lamp 36/40 W, Philips</t>
        </is>
      </c>
      <c r="C256" s="47" t="inlineStr">
        <is>
          <t>PCS</t>
        </is>
      </c>
      <c r="D256" s="26">
        <f>'Week  (4)'!U256</f>
        <v/>
      </c>
      <c r="E256" s="124" t="n"/>
      <c r="F256" s="62" t="n"/>
      <c r="G256" s="25" t="n"/>
      <c r="H256" s="56" t="n"/>
      <c r="I256" s="19" t="n"/>
      <c r="J256" s="64" t="n"/>
      <c r="K256" s="18" t="n"/>
      <c r="L256" s="73" t="n"/>
      <c r="M256" s="73" t="n"/>
      <c r="N256" s="73" t="n"/>
      <c r="O256" s="19" t="n"/>
      <c r="P256" s="18" t="n"/>
      <c r="Q256" s="18" t="n"/>
      <c r="R256" s="73" t="n"/>
      <c r="S256" s="18" t="n"/>
      <c r="T256" s="18" t="n"/>
      <c r="U256" s="26">
        <f>D256+F256+-(H256+J256+L256+N256+P256+R256+T256)</f>
        <v/>
      </c>
      <c r="V256" t="inlineStr">
        <is>
          <t>LAMP</t>
        </is>
      </c>
    </row>
    <row r="257" ht="15" customHeight="1">
      <c r="A257" s="22">
        <f>A256+1</f>
        <v/>
      </c>
      <c r="B257" s="122" t="inlineStr">
        <is>
          <t>TL RING 22 W, Philips</t>
        </is>
      </c>
      <c r="C257" s="47" t="inlineStr">
        <is>
          <t>PCS</t>
        </is>
      </c>
      <c r="D257" s="26">
        <f>'Week  (4)'!U257</f>
        <v/>
      </c>
      <c r="E257" s="125" t="n"/>
      <c r="F257" s="55" t="n"/>
      <c r="G257" s="52" t="n"/>
      <c r="H257" s="55" t="n"/>
      <c r="I257" s="71" t="n"/>
      <c r="J257" s="55" t="n"/>
      <c r="K257" s="18" t="n"/>
      <c r="L257" s="73" t="n"/>
      <c r="M257" s="73" t="n"/>
      <c r="N257" s="73" t="n"/>
      <c r="O257" s="19" t="n"/>
      <c r="P257" s="18" t="n"/>
      <c r="Q257" s="18" t="n"/>
      <c r="R257" s="73" t="n"/>
      <c r="S257" s="18" t="n"/>
      <c r="T257" s="18" t="n"/>
      <c r="U257" s="26">
        <f>D257+F257+-(H257+J257+L257+N257+P257+R257+T257)</f>
        <v/>
      </c>
      <c r="V257" t="inlineStr">
        <is>
          <t>LAMP</t>
        </is>
      </c>
    </row>
    <row r="258" ht="15" customHeight="1">
      <c r="A258" s="22">
        <f>A257+1</f>
        <v/>
      </c>
      <c r="B258" s="122" t="inlineStr">
        <is>
          <t>TL RING 32 W, Philips</t>
        </is>
      </c>
      <c r="C258" s="132" t="inlineStr">
        <is>
          <t>PCS</t>
        </is>
      </c>
      <c r="D258" s="26">
        <f>'Week  (4)'!U258</f>
        <v/>
      </c>
      <c r="E258" s="124" t="n"/>
      <c r="F258" s="62" t="n"/>
      <c r="G258" s="25" t="n"/>
      <c r="H258" s="56" t="n"/>
      <c r="I258" s="19" t="n"/>
      <c r="J258" s="64" t="n"/>
      <c r="K258" s="18" t="n"/>
      <c r="L258" s="73" t="n"/>
      <c r="M258" s="73" t="n"/>
      <c r="N258" s="73" t="n"/>
      <c r="O258" s="19" t="n"/>
      <c r="P258" s="18" t="n"/>
      <c r="Q258" s="18" t="n"/>
      <c r="R258" s="73" t="n"/>
      <c r="S258" s="18" t="n"/>
      <c r="T258" s="18" t="n"/>
      <c r="U258" s="26">
        <f>D258+F258+-(H258+J258+L258+N258+P258+R258+T258)</f>
        <v/>
      </c>
      <c r="V258" t="inlineStr">
        <is>
          <t>LAMP</t>
        </is>
      </c>
    </row>
    <row r="259" ht="15" customHeight="1">
      <c r="A259" s="22">
        <f>A258+1</f>
        <v/>
      </c>
      <c r="B259" s="122" t="inlineStr">
        <is>
          <t>Toilet Shower, San-Ei</t>
        </is>
      </c>
      <c r="C259" s="132" t="inlineStr">
        <is>
          <t>SET</t>
        </is>
      </c>
      <c r="D259" s="26">
        <f>'Week  (4)'!U259</f>
        <v/>
      </c>
      <c r="E259" s="130" t="n"/>
      <c r="F259" s="55" t="n"/>
      <c r="G259" s="52" t="n"/>
      <c r="H259" s="55" t="n"/>
      <c r="I259" s="71" t="n"/>
      <c r="J259" s="55" t="n"/>
      <c r="K259" s="18" t="n"/>
      <c r="L259" s="73" t="n"/>
      <c r="M259" s="73" t="n"/>
      <c r="N259" s="73" t="n"/>
      <c r="O259" s="19" t="n"/>
      <c r="P259" s="18" t="n"/>
      <c r="Q259" s="18" t="n"/>
      <c r="R259" s="73" t="n"/>
      <c r="S259" s="18" t="n"/>
      <c r="T259" s="18" t="n"/>
      <c r="U259" s="26">
        <f>D259+F259+-(H259+J259+L259+N259+P259+R259+T259)</f>
        <v/>
      </c>
      <c r="V259" t="inlineStr">
        <is>
          <t>-</t>
        </is>
      </c>
    </row>
    <row r="260" ht="15" customHeight="1">
      <c r="A260" s="22">
        <f>A259+1</f>
        <v/>
      </c>
      <c r="B260" s="122" t="inlineStr">
        <is>
          <t>TL  LED 16 W, Philips</t>
        </is>
      </c>
      <c r="C260" s="132" t="inlineStr">
        <is>
          <t>PCS</t>
        </is>
      </c>
      <c r="D260" s="26">
        <f>'Week  (4)'!U260</f>
        <v/>
      </c>
      <c r="E260" s="124" t="n"/>
      <c r="F260" s="62" t="n"/>
      <c r="G260" s="68" t="n"/>
      <c r="H260" s="56" t="n"/>
      <c r="I260" s="19" t="n"/>
      <c r="J260" s="64" t="n"/>
      <c r="K260" s="18" t="n"/>
      <c r="L260" s="73" t="n"/>
      <c r="M260" s="73" t="n"/>
      <c r="N260" s="73" t="n"/>
      <c r="O260" s="19" t="n"/>
      <c r="P260" s="18" t="n"/>
      <c r="Q260" s="19" t="n"/>
      <c r="R260" s="18" t="n"/>
      <c r="S260" s="18" t="n"/>
      <c r="T260" s="18" t="n"/>
      <c r="U260" s="26">
        <f>D260+F260+-(H260+J260+L260+N260+P260+R260+T260)</f>
        <v/>
      </c>
      <c r="V260" t="inlineStr">
        <is>
          <t>LAMP</t>
        </is>
      </c>
    </row>
    <row r="261" ht="15" customHeight="1">
      <c r="A261" s="22">
        <f>A260+1</f>
        <v/>
      </c>
      <c r="B261" s="122" t="inlineStr">
        <is>
          <t>TL  LED 8 W, Philips</t>
        </is>
      </c>
      <c r="C261" s="132" t="inlineStr">
        <is>
          <t>PCS</t>
        </is>
      </c>
      <c r="D261" s="26">
        <f>'Week  (4)'!U261</f>
        <v/>
      </c>
      <c r="E261" s="125" t="n"/>
      <c r="F261" s="55" t="n"/>
      <c r="G261" s="52" t="n"/>
      <c r="H261" s="55" t="n"/>
      <c r="I261" s="71" t="n"/>
      <c r="J261" s="55" t="n"/>
      <c r="K261" s="18" t="n"/>
      <c r="L261" s="73" t="n"/>
      <c r="M261" s="73" t="n"/>
      <c r="N261" s="73" t="n"/>
      <c r="O261" s="19" t="n"/>
      <c r="P261" s="18" t="n"/>
      <c r="Q261" s="18" t="n"/>
      <c r="R261" s="73" t="n"/>
      <c r="S261" s="18" t="n"/>
      <c r="T261" s="18" t="n"/>
      <c r="U261" s="26">
        <f>D261+F261+-(H261+J261+L261+N261+P261+R261+T261)</f>
        <v/>
      </c>
      <c r="V261" t="inlineStr">
        <is>
          <t>LAMP</t>
        </is>
      </c>
    </row>
    <row r="262" ht="15" customHeight="1">
      <c r="A262" s="22">
        <f>A261+1</f>
        <v/>
      </c>
      <c r="B262" s="122" t="inlineStr">
        <is>
          <t>Tornado Lamp 20 W, Philips</t>
        </is>
      </c>
      <c r="C262" s="132" t="inlineStr">
        <is>
          <t>PCS</t>
        </is>
      </c>
      <c r="D262" s="26">
        <f>'Week  (4)'!U262</f>
        <v/>
      </c>
      <c r="E262" s="124" t="n"/>
      <c r="F262" s="62" t="n"/>
      <c r="G262" s="25" t="n"/>
      <c r="H262" s="56" t="n"/>
      <c r="I262" s="19" t="n"/>
      <c r="J262" s="64" t="n"/>
      <c r="K262" s="18" t="n"/>
      <c r="L262" s="73" t="n"/>
      <c r="M262" s="73" t="n"/>
      <c r="N262" s="73" t="n"/>
      <c r="O262" s="19" t="n"/>
      <c r="P262" s="18" t="n"/>
      <c r="Q262" s="18" t="n"/>
      <c r="R262" s="73" t="n"/>
      <c r="S262" s="18" t="n"/>
      <c r="T262" s="18" t="n"/>
      <c r="U262" s="26">
        <f>D262+F262+-(H262+J262+L262+N262+P262+R262+T262)</f>
        <v/>
      </c>
      <c r="V262" t="inlineStr">
        <is>
          <t>LAMP</t>
        </is>
      </c>
    </row>
    <row r="263" ht="15" customHeight="1">
      <c r="A263" s="22">
        <f>A262+1</f>
        <v/>
      </c>
      <c r="B263" s="43" t="inlineStr">
        <is>
          <t>Tornado Lamp 5 W, Philips</t>
        </is>
      </c>
      <c r="C263" s="47" t="inlineStr">
        <is>
          <t>PCS</t>
        </is>
      </c>
      <c r="D263" s="26">
        <f>'Week  (4)'!U263</f>
        <v/>
      </c>
      <c r="E263" s="125" t="n"/>
      <c r="F263" s="55" t="n"/>
      <c r="G263" s="52" t="n"/>
      <c r="H263" s="55" t="n"/>
      <c r="I263" s="71" t="n"/>
      <c r="J263" s="55" t="n"/>
      <c r="K263" s="18" t="n"/>
      <c r="L263" s="73" t="n"/>
      <c r="M263" s="73" t="n"/>
      <c r="N263" s="73" t="n"/>
      <c r="O263" s="19" t="n"/>
      <c r="P263" s="18" t="n"/>
      <c r="Q263" s="18" t="n"/>
      <c r="R263" s="73" t="n"/>
      <c r="S263" s="18" t="n"/>
      <c r="T263" s="18" t="n"/>
      <c r="U263" s="26">
        <f>D263+F263+-(H263+J263+L263+N263+P263+R263+T263)</f>
        <v/>
      </c>
      <c r="V263" t="inlineStr">
        <is>
          <t>LAMP</t>
        </is>
      </c>
    </row>
    <row r="264" ht="15" customHeight="1">
      <c r="A264" s="22">
        <f>A263+1</f>
        <v/>
      </c>
      <c r="B264" s="122" t="inlineStr">
        <is>
          <t>Tornado Lamp 8 W, Philips</t>
        </is>
      </c>
      <c r="C264" s="132" t="inlineStr">
        <is>
          <t>PCS</t>
        </is>
      </c>
      <c r="D264" s="26">
        <f>'Week  (4)'!U264</f>
        <v/>
      </c>
      <c r="E264" s="124" t="n"/>
      <c r="F264" s="62" t="n"/>
      <c r="G264" s="25" t="n"/>
      <c r="H264" s="56" t="n"/>
      <c r="I264" s="19" t="n"/>
      <c r="J264" s="64" t="n"/>
      <c r="K264" s="18" t="n"/>
      <c r="L264" s="73" t="n"/>
      <c r="M264" s="73" t="n"/>
      <c r="N264" s="73" t="n"/>
      <c r="O264" s="19" t="n"/>
      <c r="P264" s="18" t="n"/>
      <c r="Q264" s="18" t="n"/>
      <c r="R264" s="73" t="n"/>
      <c r="S264" s="18" t="n"/>
      <c r="T264" s="18" t="n"/>
      <c r="U264" s="26">
        <f>D264+F264+-(H264+J264+L264+N264+P264+R264+T264)</f>
        <v/>
      </c>
      <c r="V264" t="inlineStr">
        <is>
          <t>LAMP</t>
        </is>
      </c>
    </row>
    <row r="265">
      <c r="A265" s="22">
        <f>A264+1</f>
        <v/>
      </c>
      <c r="B265" s="79" t="inlineStr">
        <is>
          <t>V Sock PVC  4" x 2  1/2"</t>
        </is>
      </c>
      <c r="C265" s="106" t="inlineStr">
        <is>
          <t>Pcs</t>
        </is>
      </c>
      <c r="D265" s="26">
        <f>'Week  (4)'!U265</f>
        <v/>
      </c>
      <c r="E265" s="125" t="n"/>
      <c r="F265" s="55" t="n"/>
      <c r="G265" s="52" t="n"/>
      <c r="H265" s="55" t="n"/>
      <c r="I265" s="71" t="n"/>
      <c r="J265" s="55" t="n"/>
      <c r="K265" s="18" t="n"/>
      <c r="L265" s="73" t="n"/>
      <c r="M265" s="73" t="n"/>
      <c r="N265" s="73" t="n"/>
      <c r="O265" s="19" t="n"/>
      <c r="P265" s="18" t="n"/>
      <c r="Q265" s="18" t="n"/>
      <c r="R265" s="73" t="n"/>
      <c r="S265" s="18" t="n"/>
      <c r="T265" s="18" t="n"/>
      <c r="U265" s="26">
        <f>D265+F265+-(H265+J265+L265+N265+P265+R265+T265)</f>
        <v/>
      </c>
      <c r="V265" t="inlineStr">
        <is>
          <t>VALVE AND PIPE</t>
        </is>
      </c>
    </row>
    <row r="266">
      <c r="A266" s="22">
        <f>A265+1</f>
        <v/>
      </c>
      <c r="B266" s="79" t="inlineStr">
        <is>
          <t>V Sock PVC  4" x 2  "</t>
        </is>
      </c>
      <c r="C266" s="106" t="inlineStr">
        <is>
          <t>Pcs</t>
        </is>
      </c>
      <c r="D266" s="26">
        <f>'Week  (4)'!U266</f>
        <v/>
      </c>
      <c r="E266" s="124" t="n"/>
      <c r="F266" s="62" t="n"/>
      <c r="G266" s="25" t="n"/>
      <c r="H266" s="56" t="n"/>
      <c r="I266" s="19" t="n"/>
      <c r="J266" s="64" t="n"/>
      <c r="K266" s="18" t="n"/>
      <c r="L266" s="73" t="n"/>
      <c r="M266" s="73" t="n"/>
      <c r="N266" s="73" t="n"/>
      <c r="O266" s="19" t="n"/>
      <c r="P266" s="18" t="n"/>
      <c r="Q266" s="18" t="n"/>
      <c r="R266" s="73" t="n"/>
      <c r="S266" s="18" t="n"/>
      <c r="T266" s="18" t="n"/>
      <c r="U266" s="26">
        <f>D266+F266+-(H266+J266+L266+N266+P266+R266+T266)</f>
        <v/>
      </c>
      <c r="V266" t="inlineStr">
        <is>
          <t>VALVE AND PIPE</t>
        </is>
      </c>
    </row>
    <row r="267">
      <c r="A267" s="22">
        <f>A266+1</f>
        <v/>
      </c>
      <c r="B267" s="79" t="inlineStr">
        <is>
          <t>V Sock PVC  2" x 2  1/2"</t>
        </is>
      </c>
      <c r="C267" s="106" t="inlineStr">
        <is>
          <t>Pcs</t>
        </is>
      </c>
      <c r="D267" s="26">
        <f>'Week  (4)'!U267</f>
        <v/>
      </c>
      <c r="E267" s="125" t="n"/>
      <c r="F267" s="55" t="n"/>
      <c r="G267" s="52" t="n"/>
      <c r="H267" s="55" t="n"/>
      <c r="I267" s="71" t="n"/>
      <c r="J267" s="55" t="n"/>
      <c r="K267" s="18" t="n"/>
      <c r="L267" s="73" t="n"/>
      <c r="M267" s="73" t="n"/>
      <c r="N267" s="73" t="n"/>
      <c r="O267" s="19" t="n"/>
      <c r="P267" s="18" t="n"/>
      <c r="Q267" s="18" t="n"/>
      <c r="R267" s="73" t="n"/>
      <c r="S267" s="18" t="n"/>
      <c r="T267" s="18" t="n"/>
      <c r="U267" s="26">
        <f>D267+F267+-(H267+J267+L267+N267+P267+R267+T267)</f>
        <v/>
      </c>
      <c r="V267" t="inlineStr">
        <is>
          <t>VALVE AND PIPE</t>
        </is>
      </c>
    </row>
    <row r="268" ht="15" customHeight="1">
      <c r="A268" s="22">
        <f>A267+1</f>
        <v/>
      </c>
      <c r="B268" s="122" t="inlineStr">
        <is>
          <t>VALVE BALL 1/2' ONDA PVC</t>
        </is>
      </c>
      <c r="C268" s="132" t="inlineStr">
        <is>
          <t>PCS</t>
        </is>
      </c>
      <c r="D268" s="26">
        <f>'Week  (4)'!U268</f>
        <v/>
      </c>
      <c r="E268" s="124" t="n"/>
      <c r="F268" s="62" t="n"/>
      <c r="G268" s="25" t="n"/>
      <c r="H268" s="56" t="n"/>
      <c r="I268" s="19" t="n"/>
      <c r="J268" s="64" t="n"/>
      <c r="K268" s="18" t="n"/>
      <c r="L268" s="73" t="n"/>
      <c r="M268" s="73" t="n"/>
      <c r="N268" s="73" t="n"/>
      <c r="O268" s="19" t="n"/>
      <c r="P268" s="18" t="n"/>
      <c r="Q268" s="18" t="n"/>
      <c r="R268" s="73" t="n"/>
      <c r="S268" s="18" t="n"/>
      <c r="T268" s="18" t="n"/>
      <c r="U268" s="26">
        <f>D268+F268+-(H268+J268+L268+N268+P268+R268+T268)</f>
        <v/>
      </c>
      <c r="V268" t="inlineStr">
        <is>
          <t>VALVE AND PIPE</t>
        </is>
      </c>
    </row>
    <row r="269" ht="15" customHeight="1">
      <c r="A269" s="22">
        <f>A268+1</f>
        <v/>
      </c>
      <c r="B269" s="122" t="inlineStr">
        <is>
          <t>VALVE BALL 3/4' ONDA PVC</t>
        </is>
      </c>
      <c r="C269" s="34" t="inlineStr">
        <is>
          <t>PCS</t>
        </is>
      </c>
      <c r="D269" s="26">
        <f>'Week  (4)'!U269</f>
        <v/>
      </c>
      <c r="E269" s="125" t="n"/>
      <c r="F269" s="55" t="n"/>
      <c r="G269" s="52" t="n"/>
      <c r="H269" s="55" t="n"/>
      <c r="I269" s="71" t="n"/>
      <c r="J269" s="55" t="n"/>
      <c r="K269" s="18" t="n"/>
      <c r="L269" s="73" t="n"/>
      <c r="M269" s="73" t="n"/>
      <c r="N269" s="73" t="n"/>
      <c r="O269" s="19" t="n"/>
      <c r="P269" s="18" t="n"/>
      <c r="Q269" s="18" t="n"/>
      <c r="R269" s="73" t="n"/>
      <c r="S269" s="18" t="n"/>
      <c r="T269" s="18" t="n"/>
      <c r="U269" s="26">
        <f>D269+F269+-(H269+J269+L269+N269+P269+R269+T269)</f>
        <v/>
      </c>
      <c r="V269" t="inlineStr">
        <is>
          <t>VALVE AND PIPE</t>
        </is>
      </c>
    </row>
    <row r="270">
      <c r="A270" s="22">
        <f>A269+1</f>
        <v/>
      </c>
      <c r="B270" s="38" t="inlineStr">
        <is>
          <t>VALVE GATE 1/2" ONDA</t>
        </is>
      </c>
      <c r="C270" s="34" t="inlineStr">
        <is>
          <t>PCS</t>
        </is>
      </c>
      <c r="D270" s="26">
        <f>'Week  (4)'!U270</f>
        <v/>
      </c>
      <c r="E270" s="124" t="n"/>
      <c r="F270" s="62" t="n"/>
      <c r="G270" s="25" t="n"/>
      <c r="H270" s="56" t="n"/>
      <c r="I270" s="19" t="n"/>
      <c r="J270" s="64" t="n"/>
      <c r="K270" s="18" t="n"/>
      <c r="L270" s="73" t="n"/>
      <c r="M270" s="73" t="n"/>
      <c r="N270" s="73" t="n"/>
      <c r="O270" s="19" t="n"/>
      <c r="P270" s="18" t="n"/>
      <c r="Q270" s="18" t="n"/>
      <c r="R270" s="73" t="n"/>
      <c r="S270" s="18" t="n"/>
      <c r="T270" s="18" t="n"/>
      <c r="U270" s="26">
        <f>D270+F270+-(H270+J270+L270+N270+P270+R270+T270)</f>
        <v/>
      </c>
      <c r="V270" t="inlineStr">
        <is>
          <t>VALVE AND PIPE</t>
        </is>
      </c>
    </row>
    <row r="271" ht="15" customHeight="1">
      <c r="A271" s="22">
        <f>A270+1</f>
        <v/>
      </c>
      <c r="B271" s="38" t="inlineStr">
        <is>
          <t>VALVE GATE 3/4" ONDA</t>
        </is>
      </c>
      <c r="C271" s="132" t="inlineStr">
        <is>
          <t>PCS</t>
        </is>
      </c>
      <c r="D271" s="26">
        <f>'Week  (4)'!U271</f>
        <v/>
      </c>
      <c r="E271" s="125" t="n"/>
      <c r="F271" s="55" t="n"/>
      <c r="G271" s="52" t="n"/>
      <c r="H271" s="55" t="n"/>
      <c r="I271" s="71" t="n"/>
      <c r="J271" s="55" t="n"/>
      <c r="K271" s="18" t="n"/>
      <c r="L271" s="73" t="n"/>
      <c r="M271" s="73" t="n"/>
      <c r="N271" s="73" t="n"/>
      <c r="O271" s="19" t="n"/>
      <c r="P271" s="18" t="n"/>
      <c r="Q271" s="18" t="n"/>
      <c r="R271" s="73" t="n"/>
      <c r="S271" s="18" t="n"/>
      <c r="T271" s="18" t="n"/>
      <c r="U271" s="26">
        <f>D271+F271+-(H271+J271+L271+N271+P271+R271+T271)</f>
        <v/>
      </c>
      <c r="V271" t="inlineStr">
        <is>
          <t>VALVE AND PIPE</t>
        </is>
      </c>
    </row>
    <row r="272" ht="30" customHeight="1">
      <c r="A272" s="22">
        <f>A271+1</f>
        <v/>
      </c>
      <c r="B272" s="122" t="inlineStr">
        <is>
          <t>Washbasin Lamp, Essential Batten 7 W, Philips</t>
        </is>
      </c>
      <c r="C272" s="132" t="inlineStr">
        <is>
          <t>PCS</t>
        </is>
      </c>
      <c r="D272" s="26">
        <f>'Week  (4)'!U272</f>
        <v/>
      </c>
      <c r="E272" s="124" t="n"/>
      <c r="F272" s="62" t="n"/>
      <c r="G272" s="25" t="n"/>
      <c r="H272" s="56" t="n"/>
      <c r="I272" s="19" t="n"/>
      <c r="J272" s="64" t="n"/>
      <c r="K272" s="18" t="n"/>
      <c r="L272" s="73" t="n"/>
      <c r="M272" s="73" t="n"/>
      <c r="N272" s="73" t="n"/>
      <c r="O272" s="19" t="n"/>
      <c r="P272" s="18" t="n"/>
      <c r="Q272" s="18" t="n"/>
      <c r="R272" s="73" t="n"/>
      <c r="S272" s="18" t="n"/>
      <c r="T272" s="18" t="n"/>
      <c r="U272" s="26">
        <f>D272+F272+-(H272+J272+L272+N272+P272+R272+T272)</f>
        <v/>
      </c>
      <c r="V272" t="inlineStr">
        <is>
          <t>LAMP</t>
        </is>
      </c>
    </row>
    <row r="273" ht="25.5" customHeight="1">
      <c r="A273" s="22">
        <f>A272+1</f>
        <v/>
      </c>
      <c r="B273" s="38" t="inlineStr">
        <is>
          <t>Wastavel American Standard ( Wash Basin )</t>
        </is>
      </c>
      <c r="C273" s="34" t="inlineStr">
        <is>
          <t>SET</t>
        </is>
      </c>
      <c r="D273" s="26">
        <f>'Week  (4)'!U273</f>
        <v/>
      </c>
      <c r="E273" s="124" t="n"/>
      <c r="F273" s="55" t="n"/>
      <c r="G273" s="52" t="n"/>
      <c r="H273" s="55" t="n"/>
      <c r="I273" s="71" t="n"/>
      <c r="J273" s="55" t="n"/>
      <c r="K273" s="80" t="n"/>
      <c r="L273" s="73" t="n"/>
      <c r="M273" s="73" t="n"/>
      <c r="N273" s="73" t="n"/>
      <c r="O273" s="19" t="n"/>
      <c r="P273" s="18" t="n"/>
      <c r="Q273" s="18" t="n"/>
      <c r="R273" s="73" t="n"/>
      <c r="S273" s="18" t="n"/>
      <c r="T273" s="18" t="n"/>
      <c r="U273" s="26">
        <f>D273+F273+-(H273+J273+L273+N273+P273+R273+T273)</f>
        <v/>
      </c>
      <c r="V273" t="inlineStr">
        <is>
          <t>SANITARY</t>
        </is>
      </c>
    </row>
    <row r="274" ht="33" customHeight="1">
      <c r="A274" s="22">
        <f>A273+1</f>
        <v/>
      </c>
      <c r="B274" s="38" t="inlineStr">
        <is>
          <t>Water Closet American Standard</t>
        </is>
      </c>
      <c r="C274" s="34" t="inlineStr">
        <is>
          <t>SET</t>
        </is>
      </c>
      <c r="D274" s="26">
        <f>'Week  (4)'!U274</f>
        <v/>
      </c>
      <c r="E274" s="124" t="n"/>
      <c r="F274" s="62" t="n"/>
      <c r="G274" s="25" t="n"/>
      <c r="H274" s="56" t="n"/>
      <c r="I274" s="19" t="n"/>
      <c r="J274" s="64" t="n"/>
      <c r="K274" s="18" t="n"/>
      <c r="L274" s="73" t="n"/>
      <c r="M274" s="73" t="n"/>
      <c r="N274" s="73" t="n"/>
      <c r="O274" s="19" t="n"/>
      <c r="P274" s="18" t="n"/>
      <c r="Q274" s="18" t="n"/>
      <c r="R274" s="73" t="n"/>
      <c r="S274" s="18" t="n"/>
      <c r="T274" s="18" t="n"/>
      <c r="U274" s="26">
        <f>D274+F274+-(H274+J274+L274+N274+P274+R274+T274)</f>
        <v/>
      </c>
      <c r="V274" t="inlineStr">
        <is>
          <t>SANITARY</t>
        </is>
      </c>
    </row>
    <row r="275">
      <c r="D275" s="26">
        <f>SUM(D6:D274)</f>
        <v/>
      </c>
      <c r="F275" s="63">
        <f>SUM(F6:F274)</f>
        <v/>
      </c>
      <c r="U275" s="1">
        <f>SUM(U6:U274)</f>
        <v/>
      </c>
      <c r="V275" t="inlineStr">
        <is>
          <t>-</t>
        </is>
      </c>
    </row>
  </sheetData>
  <mergeCells count="16">
    <mergeCell ref="A1:T1"/>
    <mergeCell ref="G4:H4"/>
    <mergeCell ref="G3:N3"/>
    <mergeCell ref="I4:J4"/>
    <mergeCell ref="B4:B5"/>
    <mergeCell ref="C4:C5"/>
    <mergeCell ref="A4:A5"/>
    <mergeCell ref="F4:F5"/>
    <mergeCell ref="D4:D5"/>
    <mergeCell ref="E4:E5"/>
    <mergeCell ref="U4:U5"/>
    <mergeCell ref="K4:L4"/>
    <mergeCell ref="O4:P4"/>
    <mergeCell ref="M4:N4"/>
    <mergeCell ref="S4:T4"/>
    <mergeCell ref="Q4:R4"/>
  </mergeCells>
  <pageMargins left="0.7086614173228347" right="0.1968503937007874" top="0.2362204724409449" bottom="0.2755905511811024" header="0.2362204724409449" footer="0.2755905511811024"/>
  <pageSetup orientation="portrait" paperSize="9" scale="92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2026-01-06T03:37:55Z</dcterms:modified>
</cp:coreProperties>
</file>